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ools\MutualFundPerformance\Consolidate\"/>
    </mc:Choice>
  </mc:AlternateContent>
  <xr:revisionPtr revIDLastSave="0" documentId="13_ncr:1_{3E892326-1B5D-4873-BD05-354FBA56C1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V PullSheet" sheetId="1" r:id="rId1"/>
  </sheets>
  <definedNames>
    <definedName name="_xlnm._FilterDatabase" localSheetId="0" hidden="1">'NAV PullSheet'!$B$1:$H$120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" i="1" l="1"/>
  <c r="F23" i="1"/>
  <c r="F3" i="1"/>
  <c r="F4" i="1"/>
  <c r="I16" i="1"/>
  <c r="H16" i="1"/>
  <c r="G16" i="1"/>
  <c r="F16" i="1"/>
  <c r="C16" i="1" a="1"/>
  <c r="C16" i="1"/>
  <c r="I15" i="1"/>
  <c r="H15" i="1"/>
  <c r="G15" i="1"/>
  <c r="F15" i="1"/>
  <c r="C15" i="1" a="1"/>
  <c r="C15" i="1"/>
  <c r="I2" i="1"/>
  <c r="H2" i="1"/>
  <c r="G2" i="1"/>
  <c r="F2" i="1"/>
  <c r="C2" i="1" a="1"/>
  <c r="C2" i="1"/>
  <c r="I93" i="1"/>
  <c r="H93" i="1"/>
  <c r="G93" i="1"/>
  <c r="F93" i="1"/>
  <c r="C93" i="1" a="1"/>
  <c r="C93" i="1"/>
  <c r="I83" i="1"/>
  <c r="H83" i="1"/>
  <c r="G83" i="1"/>
  <c r="F83" i="1"/>
  <c r="C83" i="1" a="1"/>
  <c r="C83" i="1"/>
  <c r="I40" i="1"/>
  <c r="H40" i="1"/>
  <c r="G40" i="1"/>
  <c r="F40" i="1"/>
  <c r="C40" i="1" a="1"/>
  <c r="C40" i="1"/>
  <c r="I78" i="1"/>
  <c r="H78" i="1"/>
  <c r="G78" i="1"/>
  <c r="F78" i="1"/>
  <c r="C78" i="1" a="1"/>
  <c r="C78" i="1"/>
  <c r="I75" i="1"/>
  <c r="H75" i="1"/>
  <c r="G75" i="1"/>
  <c r="F75" i="1"/>
  <c r="C75" i="1" a="1"/>
  <c r="C75" i="1"/>
  <c r="I77" i="1"/>
  <c r="H77" i="1"/>
  <c r="G77" i="1"/>
  <c r="F77" i="1"/>
  <c r="C77" i="1" a="1"/>
  <c r="C77" i="1"/>
  <c r="I74" i="1"/>
  <c r="H74" i="1"/>
  <c r="G74" i="1"/>
  <c r="F74" i="1"/>
  <c r="C74" i="1" a="1"/>
  <c r="C74" i="1"/>
  <c r="I72" i="1"/>
  <c r="H72" i="1"/>
  <c r="G72" i="1"/>
  <c r="F72" i="1"/>
  <c r="C72" i="1" a="1"/>
  <c r="C72" i="1"/>
  <c r="I68" i="1"/>
  <c r="H68" i="1"/>
  <c r="G68" i="1"/>
  <c r="F68" i="1"/>
  <c r="C68" i="1" a="1"/>
  <c r="C68" i="1"/>
  <c r="I44" i="1"/>
  <c r="H44" i="1"/>
  <c r="G44" i="1"/>
  <c r="F44" i="1"/>
  <c r="C44" i="1" a="1"/>
  <c r="C44" i="1"/>
  <c r="I51" i="1"/>
  <c r="H51" i="1"/>
  <c r="G51" i="1"/>
  <c r="F51" i="1"/>
  <c r="C51" i="1" a="1"/>
  <c r="C51" i="1"/>
  <c r="I25" i="1"/>
  <c r="H25" i="1"/>
  <c r="G25" i="1"/>
  <c r="F25" i="1"/>
  <c r="C25" i="1" a="1"/>
  <c r="C25" i="1"/>
  <c r="I27" i="1"/>
  <c r="H27" i="1"/>
  <c r="G27" i="1"/>
  <c r="F27" i="1"/>
  <c r="C27" i="1" a="1"/>
  <c r="C27" i="1"/>
  <c r="I33" i="1"/>
  <c r="H33" i="1"/>
  <c r="G33" i="1"/>
  <c r="F33" i="1"/>
  <c r="C33" i="1" a="1"/>
  <c r="C33" i="1"/>
  <c r="I17" i="1"/>
  <c r="H17" i="1"/>
  <c r="G17" i="1"/>
  <c r="F17" i="1"/>
  <c r="C17" i="1" a="1"/>
  <c r="C17" i="1"/>
  <c r="I119" i="1"/>
  <c r="H119" i="1"/>
  <c r="G119" i="1"/>
  <c r="F119" i="1"/>
  <c r="C119" i="1" a="1"/>
  <c r="C119" i="1"/>
  <c r="I76" i="1"/>
  <c r="H76" i="1"/>
  <c r="G76" i="1"/>
  <c r="F76" i="1"/>
  <c r="C76" i="1" a="1"/>
  <c r="C76" i="1"/>
  <c r="I110" i="1"/>
  <c r="H110" i="1"/>
  <c r="G110" i="1"/>
  <c r="F110" i="1"/>
  <c r="C110" i="1" a="1"/>
  <c r="C110" i="1"/>
  <c r="I115" i="1"/>
  <c r="H115" i="1"/>
  <c r="G115" i="1"/>
  <c r="F115" i="1"/>
  <c r="C115" i="1" a="1"/>
  <c r="C115" i="1"/>
  <c r="I109" i="1"/>
  <c r="H109" i="1"/>
  <c r="G109" i="1"/>
  <c r="F109" i="1"/>
  <c r="C109" i="1" a="1"/>
  <c r="C109" i="1"/>
  <c r="I116" i="1"/>
  <c r="H116" i="1"/>
  <c r="G116" i="1"/>
  <c r="F116" i="1"/>
  <c r="C116" i="1" a="1"/>
  <c r="C116" i="1"/>
  <c r="I112" i="1"/>
  <c r="H112" i="1"/>
  <c r="G112" i="1"/>
  <c r="F112" i="1"/>
  <c r="C112" i="1" a="1"/>
  <c r="C112" i="1"/>
  <c r="I117" i="1"/>
  <c r="H117" i="1"/>
  <c r="G117" i="1"/>
  <c r="F117" i="1"/>
  <c r="C117" i="1" a="1"/>
  <c r="C117" i="1"/>
  <c r="I105" i="1"/>
  <c r="H105" i="1"/>
  <c r="G105" i="1"/>
  <c r="F105" i="1"/>
  <c r="C105" i="1" a="1"/>
  <c r="C105" i="1"/>
  <c r="I97" i="1"/>
  <c r="H97" i="1"/>
  <c r="G97" i="1"/>
  <c r="F97" i="1"/>
  <c r="C97" i="1" a="1"/>
  <c r="C97" i="1"/>
  <c r="I114" i="1"/>
  <c r="H114" i="1"/>
  <c r="G114" i="1"/>
  <c r="F114" i="1"/>
  <c r="C114" i="1" a="1"/>
  <c r="C114" i="1"/>
  <c r="I87" i="1"/>
  <c r="H87" i="1"/>
  <c r="G87" i="1"/>
  <c r="C87" i="1" a="1"/>
  <c r="C87" i="1"/>
  <c r="D87" i="1" s="1"/>
  <c r="I111" i="1"/>
  <c r="H111" i="1"/>
  <c r="G111" i="1"/>
  <c r="F111" i="1"/>
  <c r="C111" i="1" a="1"/>
  <c r="C111" i="1"/>
  <c r="I95" i="1"/>
  <c r="H95" i="1"/>
  <c r="G95" i="1"/>
  <c r="F95" i="1"/>
  <c r="C95" i="1" a="1"/>
  <c r="C95" i="1"/>
  <c r="I107" i="1"/>
  <c r="H107" i="1"/>
  <c r="G107" i="1"/>
  <c r="F107" i="1"/>
  <c r="C107" i="1" a="1"/>
  <c r="C107" i="1"/>
  <c r="I96" i="1"/>
  <c r="H96" i="1"/>
  <c r="G96" i="1"/>
  <c r="F96" i="1"/>
  <c r="C96" i="1" a="1"/>
  <c r="C96" i="1"/>
  <c r="I64" i="1"/>
  <c r="H64" i="1"/>
  <c r="G64" i="1"/>
  <c r="F64" i="1"/>
  <c r="C64" i="1" a="1"/>
  <c r="C64" i="1"/>
  <c r="I90" i="1"/>
  <c r="H90" i="1"/>
  <c r="G90" i="1"/>
  <c r="F90" i="1"/>
  <c r="C90" i="1" a="1"/>
  <c r="C90" i="1"/>
  <c r="I104" i="1"/>
  <c r="H104" i="1"/>
  <c r="G104" i="1"/>
  <c r="F104" i="1"/>
  <c r="C104" i="1" a="1"/>
  <c r="C104" i="1"/>
  <c r="I82" i="1"/>
  <c r="H82" i="1"/>
  <c r="G82" i="1"/>
  <c r="F82" i="1"/>
  <c r="C82" i="1" a="1"/>
  <c r="C82" i="1"/>
  <c r="I84" i="1"/>
  <c r="H84" i="1"/>
  <c r="G84" i="1"/>
  <c r="F84" i="1"/>
  <c r="C84" i="1" a="1"/>
  <c r="C84" i="1"/>
  <c r="I92" i="1"/>
  <c r="H92" i="1"/>
  <c r="G92" i="1"/>
  <c r="F92" i="1"/>
  <c r="C92" i="1" a="1"/>
  <c r="C92" i="1"/>
  <c r="I98" i="1"/>
  <c r="H98" i="1"/>
  <c r="G98" i="1"/>
  <c r="F98" i="1"/>
  <c r="C98" i="1" a="1"/>
  <c r="C98" i="1"/>
  <c r="I94" i="1"/>
  <c r="H94" i="1"/>
  <c r="G94" i="1"/>
  <c r="F94" i="1"/>
  <c r="C94" i="1" a="1"/>
  <c r="C94" i="1"/>
  <c r="I67" i="1"/>
  <c r="H67" i="1"/>
  <c r="G67" i="1"/>
  <c r="F67" i="1"/>
  <c r="C67" i="1" a="1"/>
  <c r="C67" i="1"/>
  <c r="I99" i="1"/>
  <c r="H99" i="1"/>
  <c r="G99" i="1"/>
  <c r="F99" i="1"/>
  <c r="C99" i="1" a="1"/>
  <c r="C99" i="1" s="1"/>
  <c r="I89" i="1"/>
  <c r="H89" i="1"/>
  <c r="G89" i="1"/>
  <c r="F89" i="1"/>
  <c r="C89" i="1" a="1"/>
  <c r="C89" i="1"/>
  <c r="I69" i="1"/>
  <c r="H69" i="1"/>
  <c r="G69" i="1"/>
  <c r="F69" i="1"/>
  <c r="C69" i="1" a="1"/>
  <c r="C69" i="1"/>
  <c r="I66" i="1"/>
  <c r="H66" i="1"/>
  <c r="G66" i="1"/>
  <c r="F66" i="1"/>
  <c r="C66" i="1" a="1"/>
  <c r="C66" i="1" s="1"/>
  <c r="I58" i="1"/>
  <c r="H58" i="1"/>
  <c r="G58" i="1"/>
  <c r="F58" i="1"/>
  <c r="C58" i="1" a="1"/>
  <c r="C58" i="1" s="1"/>
  <c r="I61" i="1"/>
  <c r="H61" i="1"/>
  <c r="G61" i="1"/>
  <c r="F61" i="1"/>
  <c r="C61" i="1" a="1"/>
  <c r="C61" i="1" s="1"/>
  <c r="I32" i="1"/>
  <c r="H32" i="1"/>
  <c r="G32" i="1"/>
  <c r="F32" i="1"/>
  <c r="C32" i="1" a="1"/>
  <c r="C32" i="1" s="1"/>
  <c r="I38" i="1"/>
  <c r="H38" i="1"/>
  <c r="G38" i="1"/>
  <c r="F38" i="1"/>
  <c r="C38" i="1" a="1"/>
  <c r="C38" i="1" s="1"/>
  <c r="I36" i="1"/>
  <c r="H36" i="1"/>
  <c r="G36" i="1"/>
  <c r="F36" i="1"/>
  <c r="C36" i="1" a="1"/>
  <c r="C36" i="1" s="1"/>
  <c r="I18" i="1"/>
  <c r="H18" i="1"/>
  <c r="G18" i="1"/>
  <c r="F18" i="1"/>
  <c r="C18" i="1" a="1"/>
  <c r="C18" i="1" s="1"/>
  <c r="I23" i="1"/>
  <c r="H23" i="1"/>
  <c r="G23" i="1"/>
  <c r="C23" i="1" a="1"/>
  <c r="C23" i="1" s="1"/>
  <c r="D23" i="1" s="1"/>
  <c r="I3" i="1"/>
  <c r="H3" i="1"/>
  <c r="G3" i="1"/>
  <c r="C3" i="1" a="1"/>
  <c r="C3" i="1" s="1"/>
  <c r="D3" i="1" s="1"/>
  <c r="I4" i="1"/>
  <c r="H4" i="1"/>
  <c r="G4" i="1"/>
  <c r="C4" i="1" a="1"/>
  <c r="C4" i="1" s="1"/>
  <c r="D4" i="1" s="1"/>
  <c r="I118" i="1"/>
  <c r="H118" i="1"/>
  <c r="G118" i="1"/>
  <c r="F118" i="1"/>
  <c r="C118" i="1" a="1"/>
  <c r="C118" i="1" s="1"/>
  <c r="I108" i="1"/>
  <c r="H108" i="1"/>
  <c r="G108" i="1"/>
  <c r="F108" i="1"/>
  <c r="C108" i="1" a="1"/>
  <c r="C108" i="1" s="1"/>
  <c r="I106" i="1"/>
  <c r="H106" i="1"/>
  <c r="G106" i="1"/>
  <c r="F106" i="1"/>
  <c r="C106" i="1" a="1"/>
  <c r="C106" i="1" s="1"/>
  <c r="I73" i="1"/>
  <c r="H73" i="1"/>
  <c r="G73" i="1"/>
  <c r="F73" i="1"/>
  <c r="C73" i="1" a="1"/>
  <c r="C73" i="1" s="1"/>
  <c r="I86" i="1"/>
  <c r="H86" i="1"/>
  <c r="G86" i="1"/>
  <c r="F86" i="1"/>
  <c r="C86" i="1" a="1"/>
  <c r="C86" i="1" s="1"/>
  <c r="I101" i="1"/>
  <c r="H101" i="1"/>
  <c r="G101" i="1"/>
  <c r="F101" i="1"/>
  <c r="C101" i="1" a="1"/>
  <c r="C101" i="1" s="1"/>
  <c r="I43" i="1"/>
  <c r="H43" i="1"/>
  <c r="G43" i="1"/>
  <c r="F43" i="1"/>
  <c r="C43" i="1" a="1"/>
  <c r="C43" i="1" s="1"/>
  <c r="I88" i="1"/>
  <c r="H88" i="1"/>
  <c r="G88" i="1"/>
  <c r="F88" i="1"/>
  <c r="C88" i="1" a="1"/>
  <c r="C88" i="1" s="1"/>
  <c r="I79" i="1"/>
  <c r="H79" i="1"/>
  <c r="G79" i="1"/>
  <c r="F79" i="1"/>
  <c r="C79" i="1" a="1"/>
  <c r="C79" i="1" s="1"/>
  <c r="I37" i="1"/>
  <c r="H37" i="1"/>
  <c r="G37" i="1"/>
  <c r="F37" i="1"/>
  <c r="C37" i="1" a="1"/>
  <c r="C37" i="1" s="1"/>
  <c r="I41" i="1"/>
  <c r="H41" i="1"/>
  <c r="G41" i="1"/>
  <c r="F41" i="1"/>
  <c r="C41" i="1" a="1"/>
  <c r="C41" i="1" s="1"/>
  <c r="I47" i="1"/>
  <c r="H47" i="1"/>
  <c r="G47" i="1"/>
  <c r="F47" i="1"/>
  <c r="C47" i="1" a="1"/>
  <c r="C47" i="1" s="1"/>
  <c r="I35" i="1"/>
  <c r="H35" i="1"/>
  <c r="G35" i="1"/>
  <c r="F35" i="1"/>
  <c r="C35" i="1" a="1"/>
  <c r="C35" i="1" s="1"/>
  <c r="I24" i="1"/>
  <c r="H24" i="1"/>
  <c r="G24" i="1"/>
  <c r="F24" i="1"/>
  <c r="C24" i="1" a="1"/>
  <c r="C24" i="1" s="1"/>
  <c r="I39" i="1"/>
  <c r="H39" i="1"/>
  <c r="G39" i="1"/>
  <c r="F39" i="1"/>
  <c r="C39" i="1" a="1"/>
  <c r="C39" i="1" s="1"/>
  <c r="I34" i="1"/>
  <c r="H34" i="1"/>
  <c r="G34" i="1"/>
  <c r="F34" i="1"/>
  <c r="C34" i="1" a="1"/>
  <c r="C34" i="1" s="1"/>
  <c r="I45" i="1"/>
  <c r="H45" i="1"/>
  <c r="G45" i="1"/>
  <c r="F45" i="1"/>
  <c r="C45" i="1" a="1"/>
  <c r="C45" i="1" s="1"/>
  <c r="I21" i="1"/>
  <c r="H21" i="1"/>
  <c r="G21" i="1"/>
  <c r="F21" i="1"/>
  <c r="C21" i="1" a="1"/>
  <c r="C21" i="1" s="1"/>
  <c r="I29" i="1"/>
  <c r="H29" i="1"/>
  <c r="G29" i="1"/>
  <c r="F29" i="1"/>
  <c r="C29" i="1" a="1"/>
  <c r="C29" i="1" s="1"/>
  <c r="I22" i="1"/>
  <c r="H22" i="1"/>
  <c r="G22" i="1"/>
  <c r="F22" i="1"/>
  <c r="C22" i="1" a="1"/>
  <c r="C22" i="1" s="1"/>
  <c r="I113" i="1"/>
  <c r="H113" i="1"/>
  <c r="G113" i="1"/>
  <c r="F113" i="1"/>
  <c r="C113" i="1" a="1"/>
  <c r="C113" i="1" s="1"/>
  <c r="I120" i="1"/>
  <c r="H120" i="1"/>
  <c r="G120" i="1"/>
  <c r="F120" i="1"/>
  <c r="C120" i="1" a="1"/>
  <c r="C120" i="1" s="1"/>
  <c r="I65" i="1"/>
  <c r="H65" i="1"/>
  <c r="G65" i="1"/>
  <c r="F65" i="1"/>
  <c r="C65" i="1" a="1"/>
  <c r="C65" i="1" s="1"/>
  <c r="I103" i="1"/>
  <c r="H103" i="1"/>
  <c r="G103" i="1"/>
  <c r="F103" i="1"/>
  <c r="C103" i="1" a="1"/>
  <c r="C103" i="1" s="1"/>
  <c r="I102" i="1"/>
  <c r="H102" i="1"/>
  <c r="G102" i="1"/>
  <c r="F102" i="1"/>
  <c r="C102" i="1" a="1"/>
  <c r="C102" i="1" s="1"/>
  <c r="I85" i="1"/>
  <c r="H85" i="1"/>
  <c r="G85" i="1"/>
  <c r="F85" i="1"/>
  <c r="C85" i="1" a="1"/>
  <c r="C85" i="1" s="1"/>
  <c r="I100" i="1"/>
  <c r="H100" i="1"/>
  <c r="G100" i="1"/>
  <c r="F100" i="1"/>
  <c r="C100" i="1" a="1"/>
  <c r="C100" i="1" s="1"/>
  <c r="I81" i="1"/>
  <c r="H81" i="1"/>
  <c r="G81" i="1"/>
  <c r="F81" i="1"/>
  <c r="C81" i="1" a="1"/>
  <c r="C81" i="1" s="1"/>
  <c r="I26" i="1"/>
  <c r="H26" i="1"/>
  <c r="G26" i="1"/>
  <c r="F26" i="1"/>
  <c r="C26" i="1" a="1"/>
  <c r="C26" i="1" s="1"/>
  <c r="I60" i="1"/>
  <c r="H60" i="1"/>
  <c r="G60" i="1"/>
  <c r="F60" i="1"/>
  <c r="C60" i="1" a="1"/>
  <c r="C60" i="1" s="1"/>
  <c r="I70" i="1"/>
  <c r="H70" i="1"/>
  <c r="G70" i="1"/>
  <c r="F70" i="1"/>
  <c r="C70" i="1" a="1"/>
  <c r="C70" i="1" s="1"/>
  <c r="I91" i="1"/>
  <c r="H91" i="1"/>
  <c r="G91" i="1"/>
  <c r="F91" i="1"/>
  <c r="C91" i="1" a="1"/>
  <c r="C91" i="1" s="1"/>
  <c r="I80" i="1"/>
  <c r="H80" i="1"/>
  <c r="G80" i="1"/>
  <c r="F80" i="1"/>
  <c r="C80" i="1" a="1"/>
  <c r="C80" i="1" s="1"/>
  <c r="I62" i="1"/>
  <c r="H62" i="1"/>
  <c r="G62" i="1"/>
  <c r="F62" i="1"/>
  <c r="C62" i="1" a="1"/>
  <c r="C62" i="1" s="1"/>
  <c r="I50" i="1"/>
  <c r="H50" i="1"/>
  <c r="G50" i="1"/>
  <c r="F50" i="1"/>
  <c r="C50" i="1" a="1"/>
  <c r="C50" i="1" s="1"/>
  <c r="I71" i="1"/>
  <c r="H71" i="1"/>
  <c r="G71" i="1"/>
  <c r="F71" i="1"/>
  <c r="C71" i="1" a="1"/>
  <c r="C71" i="1" s="1"/>
  <c r="I63" i="1"/>
  <c r="H63" i="1"/>
  <c r="G63" i="1"/>
  <c r="F63" i="1"/>
  <c r="C63" i="1" a="1"/>
  <c r="C63" i="1" s="1"/>
  <c r="I59" i="1"/>
  <c r="H59" i="1"/>
  <c r="G59" i="1"/>
  <c r="F59" i="1"/>
  <c r="C59" i="1" a="1"/>
  <c r="C59" i="1" s="1"/>
  <c r="I57" i="1"/>
  <c r="H57" i="1"/>
  <c r="G57" i="1"/>
  <c r="F57" i="1"/>
  <c r="C57" i="1" a="1"/>
  <c r="C57" i="1" s="1"/>
  <c r="I49" i="1"/>
  <c r="H49" i="1"/>
  <c r="G49" i="1"/>
  <c r="F49" i="1"/>
  <c r="C49" i="1" a="1"/>
  <c r="C49" i="1" s="1"/>
  <c r="I42" i="1"/>
  <c r="H42" i="1"/>
  <c r="G42" i="1"/>
  <c r="F42" i="1"/>
  <c r="C42" i="1" a="1"/>
  <c r="C42" i="1" s="1"/>
  <c r="I31" i="1"/>
  <c r="H31" i="1"/>
  <c r="G31" i="1"/>
  <c r="F31" i="1"/>
  <c r="C31" i="1" a="1"/>
  <c r="C31" i="1" s="1"/>
  <c r="I56" i="1"/>
  <c r="H56" i="1"/>
  <c r="G56" i="1"/>
  <c r="F56" i="1"/>
  <c r="C56" i="1" a="1"/>
  <c r="C56" i="1" s="1"/>
  <c r="I55" i="1"/>
  <c r="H55" i="1"/>
  <c r="G55" i="1"/>
  <c r="F55" i="1"/>
  <c r="C55" i="1" a="1"/>
  <c r="C55" i="1" s="1"/>
  <c r="I48" i="1"/>
  <c r="H48" i="1"/>
  <c r="G48" i="1"/>
  <c r="F48" i="1"/>
  <c r="C48" i="1" a="1"/>
  <c r="C48" i="1" s="1"/>
  <c r="I54" i="1"/>
  <c r="H54" i="1"/>
  <c r="G54" i="1"/>
  <c r="F54" i="1"/>
  <c r="C54" i="1" a="1"/>
  <c r="C54" i="1" s="1"/>
  <c r="I30" i="1"/>
  <c r="H30" i="1"/>
  <c r="G30" i="1"/>
  <c r="F30" i="1"/>
  <c r="C30" i="1" a="1"/>
  <c r="C30" i="1" s="1"/>
  <c r="I46" i="1"/>
  <c r="H46" i="1"/>
  <c r="G46" i="1"/>
  <c r="F46" i="1"/>
  <c r="C46" i="1" a="1"/>
  <c r="C46" i="1" s="1"/>
  <c r="I20" i="1"/>
  <c r="H20" i="1"/>
  <c r="G20" i="1"/>
  <c r="F20" i="1"/>
  <c r="C20" i="1" a="1"/>
  <c r="C20" i="1" s="1"/>
  <c r="I19" i="1"/>
  <c r="H19" i="1"/>
  <c r="G19" i="1"/>
  <c r="F19" i="1"/>
  <c r="C19" i="1" a="1"/>
  <c r="C19" i="1" s="1"/>
  <c r="I52" i="1"/>
  <c r="H52" i="1"/>
  <c r="G52" i="1"/>
  <c r="F52" i="1"/>
  <c r="C52" i="1" a="1"/>
  <c r="C52" i="1" s="1"/>
  <c r="I53" i="1"/>
  <c r="H53" i="1"/>
  <c r="G53" i="1"/>
  <c r="F53" i="1"/>
  <c r="C53" i="1" a="1"/>
  <c r="C53" i="1" s="1"/>
  <c r="I12" i="1"/>
  <c r="H12" i="1"/>
  <c r="G12" i="1"/>
  <c r="F12" i="1"/>
  <c r="C12" i="1" a="1"/>
  <c r="C12" i="1" s="1"/>
  <c r="I11" i="1"/>
  <c r="H11" i="1"/>
  <c r="G11" i="1"/>
  <c r="F11" i="1"/>
  <c r="C11" i="1" a="1"/>
  <c r="C11" i="1" s="1"/>
  <c r="I13" i="1"/>
  <c r="H13" i="1"/>
  <c r="G13" i="1"/>
  <c r="F13" i="1"/>
  <c r="C13" i="1" a="1"/>
  <c r="C13" i="1" s="1"/>
  <c r="I7" i="1"/>
  <c r="H7" i="1"/>
  <c r="G7" i="1"/>
  <c r="F7" i="1"/>
  <c r="C7" i="1" a="1"/>
  <c r="C7" i="1" s="1"/>
  <c r="I6" i="1"/>
  <c r="H6" i="1"/>
  <c r="G6" i="1"/>
  <c r="F6" i="1"/>
  <c r="C6" i="1" a="1"/>
  <c r="C6" i="1" s="1"/>
  <c r="I9" i="1"/>
  <c r="H9" i="1"/>
  <c r="G9" i="1"/>
  <c r="F9" i="1"/>
  <c r="C9" i="1" a="1"/>
  <c r="C9" i="1" s="1"/>
  <c r="I8" i="1"/>
  <c r="H8" i="1"/>
  <c r="G8" i="1"/>
  <c r="F8" i="1"/>
  <c r="C8" i="1" a="1"/>
  <c r="C8" i="1" s="1"/>
  <c r="I10" i="1"/>
  <c r="H10" i="1"/>
  <c r="G10" i="1"/>
  <c r="F10" i="1"/>
  <c r="C10" i="1" a="1"/>
  <c r="C10" i="1" s="1"/>
  <c r="I14" i="1"/>
  <c r="H14" i="1"/>
  <c r="G14" i="1"/>
  <c r="F14" i="1"/>
  <c r="C14" i="1" a="1"/>
  <c r="C14" i="1" s="1"/>
  <c r="I5" i="1"/>
  <c r="H5" i="1"/>
  <c r="G5" i="1"/>
  <c r="F5" i="1"/>
  <c r="C5" i="1" a="1"/>
  <c r="C5" i="1" s="1"/>
  <c r="I28" i="1"/>
  <c r="H28" i="1"/>
  <c r="G28" i="1"/>
  <c r="F28" i="1"/>
  <c r="C28" i="1" a="1"/>
  <c r="C28" i="1" s="1"/>
  <c r="E16" i="1" l="1"/>
  <c r="D16" i="1"/>
  <c r="E15" i="1"/>
  <c r="D15" i="1"/>
  <c r="E2" i="1"/>
  <c r="D2" i="1"/>
  <c r="E93" i="1"/>
  <c r="D93" i="1"/>
  <c r="E83" i="1"/>
  <c r="D83" i="1"/>
  <c r="E40" i="1"/>
  <c r="D40" i="1"/>
  <c r="E78" i="1"/>
  <c r="D78" i="1"/>
  <c r="E75" i="1"/>
  <c r="D75" i="1"/>
  <c r="E77" i="1"/>
  <c r="D77" i="1"/>
  <c r="E74" i="1"/>
  <c r="D74" i="1"/>
  <c r="E72" i="1"/>
  <c r="D72" i="1"/>
  <c r="E68" i="1"/>
  <c r="D68" i="1"/>
  <c r="E44" i="1"/>
  <c r="D44" i="1"/>
  <c r="E51" i="1"/>
  <c r="D51" i="1"/>
  <c r="E25" i="1"/>
  <c r="D25" i="1"/>
  <c r="E27" i="1"/>
  <c r="D27" i="1"/>
  <c r="E33" i="1"/>
  <c r="D33" i="1"/>
  <c r="E17" i="1"/>
  <c r="D17" i="1"/>
  <c r="E119" i="1"/>
  <c r="D119" i="1"/>
  <c r="E76" i="1"/>
  <c r="D76" i="1"/>
  <c r="E110" i="1"/>
  <c r="D110" i="1"/>
  <c r="E115" i="1"/>
  <c r="D115" i="1"/>
  <c r="E109" i="1"/>
  <c r="D109" i="1"/>
  <c r="E116" i="1"/>
  <c r="D116" i="1"/>
  <c r="E112" i="1"/>
  <c r="D112" i="1"/>
  <c r="E117" i="1"/>
  <c r="D117" i="1"/>
  <c r="E105" i="1"/>
  <c r="D105" i="1"/>
  <c r="E97" i="1"/>
  <c r="D97" i="1"/>
  <c r="E114" i="1"/>
  <c r="D114" i="1"/>
  <c r="E87" i="1"/>
  <c r="E111" i="1"/>
  <c r="D111" i="1"/>
  <c r="D95" i="1"/>
  <c r="E95" i="1"/>
  <c r="E107" i="1"/>
  <c r="D107" i="1"/>
  <c r="D96" i="1"/>
  <c r="E96" i="1"/>
  <c r="E64" i="1"/>
  <c r="D64" i="1"/>
  <c r="D90" i="1"/>
  <c r="E90" i="1"/>
  <c r="E104" i="1"/>
  <c r="D104" i="1"/>
  <c r="E82" i="1"/>
  <c r="D82" i="1"/>
  <c r="E84" i="1"/>
  <c r="D84" i="1"/>
  <c r="D92" i="1"/>
  <c r="E92" i="1"/>
  <c r="D98" i="1"/>
  <c r="E98" i="1"/>
  <c r="D94" i="1"/>
  <c r="E94" i="1"/>
  <c r="D67" i="1"/>
  <c r="E67" i="1"/>
  <c r="E99" i="1"/>
  <c r="D99" i="1"/>
  <c r="D89" i="1"/>
  <c r="E89" i="1"/>
  <c r="D69" i="1"/>
  <c r="E69" i="1"/>
  <c r="D66" i="1"/>
  <c r="E66" i="1"/>
  <c r="D58" i="1"/>
  <c r="E58" i="1"/>
  <c r="E61" i="1"/>
  <c r="D61" i="1"/>
  <c r="D32" i="1"/>
  <c r="E32" i="1"/>
  <c r="E38" i="1"/>
  <c r="D38" i="1"/>
  <c r="E36" i="1"/>
  <c r="D36" i="1"/>
  <c r="E18" i="1"/>
  <c r="D18" i="1"/>
  <c r="E23" i="1"/>
  <c r="E3" i="1"/>
  <c r="E4" i="1"/>
  <c r="D118" i="1"/>
  <c r="E118" i="1"/>
  <c r="D108" i="1"/>
  <c r="E108" i="1"/>
  <c r="D106" i="1"/>
  <c r="E106" i="1"/>
  <c r="D73" i="1"/>
  <c r="E73" i="1"/>
  <c r="D86" i="1"/>
  <c r="E86" i="1"/>
  <c r="E101" i="1"/>
  <c r="D101" i="1"/>
  <c r="E43" i="1"/>
  <c r="D43" i="1"/>
  <c r="E88" i="1"/>
  <c r="D88" i="1"/>
  <c r="E79" i="1"/>
  <c r="D79" i="1"/>
  <c r="E37" i="1"/>
  <c r="D37" i="1"/>
  <c r="E41" i="1"/>
  <c r="D41" i="1"/>
  <c r="E47" i="1"/>
  <c r="D47" i="1"/>
  <c r="E35" i="1"/>
  <c r="D35" i="1"/>
  <c r="E24" i="1"/>
  <c r="D24" i="1"/>
  <c r="E39" i="1"/>
  <c r="D39" i="1"/>
  <c r="D34" i="1"/>
  <c r="E34" i="1"/>
  <c r="D45" i="1"/>
  <c r="E45" i="1"/>
  <c r="E21" i="1"/>
  <c r="D21" i="1"/>
  <c r="E29" i="1"/>
  <c r="D29" i="1"/>
  <c r="E22" i="1"/>
  <c r="D22" i="1"/>
  <c r="D113" i="1"/>
  <c r="E113" i="1"/>
  <c r="D120" i="1"/>
  <c r="E120" i="1"/>
  <c r="D65" i="1"/>
  <c r="E65" i="1"/>
  <c r="D103" i="1"/>
  <c r="E103" i="1"/>
  <c r="D102" i="1"/>
  <c r="E102" i="1"/>
  <c r="E85" i="1"/>
  <c r="D85" i="1"/>
  <c r="E100" i="1"/>
  <c r="D100" i="1"/>
  <c r="E81" i="1"/>
  <c r="D81" i="1"/>
  <c r="E26" i="1"/>
  <c r="D26" i="1"/>
  <c r="E60" i="1"/>
  <c r="D60" i="1"/>
  <c r="E70" i="1"/>
  <c r="D70" i="1"/>
  <c r="E91" i="1"/>
  <c r="D91" i="1"/>
  <c r="E80" i="1"/>
  <c r="D80" i="1"/>
  <c r="D62" i="1"/>
  <c r="E62" i="1"/>
  <c r="D50" i="1"/>
  <c r="E50" i="1"/>
  <c r="D71" i="1"/>
  <c r="E71" i="1"/>
  <c r="E63" i="1"/>
  <c r="D63" i="1"/>
  <c r="D59" i="1"/>
  <c r="E59" i="1"/>
  <c r="D57" i="1"/>
  <c r="E57" i="1"/>
  <c r="D49" i="1"/>
  <c r="E49" i="1"/>
  <c r="D42" i="1"/>
  <c r="E42" i="1"/>
  <c r="D31" i="1"/>
  <c r="E31" i="1"/>
  <c r="D56" i="1"/>
  <c r="E56" i="1"/>
  <c r="D55" i="1"/>
  <c r="E55" i="1"/>
  <c r="D48" i="1"/>
  <c r="E48" i="1"/>
  <c r="D54" i="1"/>
  <c r="E54" i="1"/>
  <c r="D30" i="1"/>
  <c r="E30" i="1"/>
  <c r="D46" i="1"/>
  <c r="E46" i="1"/>
  <c r="D20" i="1"/>
  <c r="E20" i="1"/>
  <c r="D19" i="1"/>
  <c r="E19" i="1"/>
  <c r="D52" i="1"/>
  <c r="E52" i="1"/>
  <c r="D53" i="1"/>
  <c r="E53" i="1"/>
  <c r="D12" i="1"/>
  <c r="E12" i="1"/>
  <c r="D11" i="1"/>
  <c r="E11" i="1"/>
  <c r="D13" i="1"/>
  <c r="E13" i="1"/>
  <c r="D7" i="1"/>
  <c r="E7" i="1"/>
  <c r="D6" i="1"/>
  <c r="E6" i="1"/>
  <c r="D9" i="1"/>
  <c r="E9" i="1"/>
  <c r="D8" i="1"/>
  <c r="E8" i="1"/>
  <c r="D10" i="1"/>
  <c r="E10" i="1"/>
  <c r="D14" i="1"/>
  <c r="E14" i="1"/>
  <c r="D5" i="1"/>
  <c r="E5" i="1"/>
  <c r="D28" i="1"/>
  <c r="E28" i="1"/>
</calcChain>
</file>

<file path=xl/sharedStrings.xml><?xml version="1.0" encoding="utf-8"?>
<sst xmlns="http://schemas.openxmlformats.org/spreadsheetml/2006/main" count="127" uniqueCount="126">
  <si>
    <t>Fund Name</t>
  </si>
  <si>
    <t>Current NAV from Latest Month</t>
  </si>
  <si>
    <t>YTD</t>
  </si>
  <si>
    <t>MAY 
MTD%</t>
  </si>
  <si>
    <t>% MTD
 - Jan 26</t>
  </si>
  <si>
    <t>% MTD
 - Feb 26</t>
  </si>
  <si>
    <t>% MTD
 - March 26</t>
  </si>
  <si>
    <t>% MTD
 - April 26</t>
  </si>
  <si>
    <t>Motilal Oswal ELSS Tax Saver Fund - Direct Plan - Growth Option</t>
  </si>
  <si>
    <t>Motilal Oswal Nifty India Defence Index Fund Direct Plan Growth</t>
  </si>
  <si>
    <t>Nippon India Power &amp; Infra Fund - Direct Plan Growth Plan - Growth Option</t>
  </si>
  <si>
    <t>Groww Nifty Capital Markets ETF FOF Direct Growth</t>
  </si>
  <si>
    <t>Motilal Oswal Nifty Capital Market Index Fund - Direct Plan - Growth</t>
  </si>
  <si>
    <t>Tata Nifty Capital Markets Index Fund - Direct Plan Growth Option</t>
  </si>
  <si>
    <t>Aditya Birla Sun Life Nifty India Defence Index Fund-Direct Growth</t>
  </si>
  <si>
    <t>Groww Nifty India Defence ETF FOF - Direct Growth</t>
  </si>
  <si>
    <t>DSP India T.I.G.E.R. Fund - Direct Plan - Growth</t>
  </si>
  <si>
    <t>BANK OF INDIA Small Cap Fund Direct Plan Growth</t>
  </si>
  <si>
    <t>Union Small Cap Fund - Direct Plan - Growth Option</t>
  </si>
  <si>
    <t>BANK OF INDIA MID &amp; SMALL CAP EQUITY &amp; DEBT FUND - DIRECT PLAN GROWTH</t>
  </si>
  <si>
    <t>DSP Small Cap Fund - Direct Plan - Growth</t>
  </si>
  <si>
    <t>TRUSTMF SMALL CAP FUND -DIRECT PLAN-GROWTH</t>
  </si>
  <si>
    <t>LIC MF Small Cap Fund-Direct Plan-Growth</t>
  </si>
  <si>
    <t>Sundaram Small Cap Fund Direct Plan - Growth</t>
  </si>
  <si>
    <t>Aditya Birla Sun Life Small Cap Fund - Growth - Direct Plan</t>
  </si>
  <si>
    <t>Mahindra Manulife Small Cap Fund - Direct Plan - Growth</t>
  </si>
  <si>
    <t>Franklin India Small Cap Fund - Direct - Growth</t>
  </si>
  <si>
    <t>Nippon India Small Cap Fund - Direct Plan Growth Plan - Bonus Option</t>
  </si>
  <si>
    <t>Nippon India Small Cap Fund - Direct Plan Growth Plan - Growth Option</t>
  </si>
  <si>
    <t>ITI Small Cap Fund - Direct Plan - Growth Option</t>
  </si>
  <si>
    <t>Motilal Oswal Small Cap Fund - Direct - Growth</t>
  </si>
  <si>
    <t>BAJAJ FINSERV SMALL CAP FUND - DIRECT - GROWTH</t>
  </si>
  <si>
    <t>Baroda BNP Paribas Small Cap Fund - Direct Plan - Growth option</t>
  </si>
  <si>
    <t>BANDHAN SMALL CAP FUND - DIRECT PLAN GROWTH</t>
  </si>
  <si>
    <t>PGIM India Small Cap Fund - Direct Plan- Growth Option</t>
  </si>
  <si>
    <t>Invesco India Smallcap Fund - Direct Plan - Growth</t>
  </si>
  <si>
    <t>HSBC Small Cap Fund - Direct Growth</t>
  </si>
  <si>
    <t>UTI Small Cap Fund - Direct Plan - Growth Option</t>
  </si>
  <si>
    <t>Kotak-Small Cap Fund - Growth - Direct</t>
  </si>
  <si>
    <t>Mirae Asset Small Cap Fund - Direct Plan - Growth</t>
  </si>
  <si>
    <t>Axis Small Cap Fund - Direct Plan - Growth</t>
  </si>
  <si>
    <t>quant Small Cap Fund - Growth Option - Direct Plan</t>
  </si>
  <si>
    <t>JM Small Cap Fund (Direct) - Growth Option</t>
  </si>
  <si>
    <t>CANARA ROBECO SMALL CAP FUND - DIRECT PLAN - GROWTH OPTION</t>
  </si>
  <si>
    <t>SBI Small Cap Fund - Direct Plan - Growth</t>
  </si>
  <si>
    <t>Edelweiss Small Cap Fund - Direct Plan - Growth</t>
  </si>
  <si>
    <t>ICICI Prudential Smallcap Fund - Direct Plan - Growth</t>
  </si>
  <si>
    <t>QUANTUM SMALL CAP FUND - DIRECT PLAN GROWTH OPTION</t>
  </si>
  <si>
    <t>Helios Small Cap Fund - Direct Plan - Growth Option</t>
  </si>
  <si>
    <t>HDFC Small Cap Fund - Growth Option - Direct Plan</t>
  </si>
  <si>
    <t>Tata Small Cap Fund-Direct Plan-Growth</t>
  </si>
  <si>
    <t>CANARA ROBECO INFRASTRUCTURE FUND - DIRECT PLAN - GROWTH OPTION</t>
  </si>
  <si>
    <t>Aditya Birla Sun Life Infrastructure Fund - Growth - Direct Plan</t>
  </si>
  <si>
    <t>HSBC Infrastructure Fund - Direct Growth</t>
  </si>
  <si>
    <t>Aditya Birla Sun Life BSE India Infrastructure Index Fund-Direct Growth</t>
  </si>
  <si>
    <t>Tata Infrastructure Fund -Direct Plan -Growth Option</t>
  </si>
  <si>
    <t>Motilal Oswal Infrastructure Fund-Direct-Growth</t>
  </si>
  <si>
    <t>Invesco India Infrastructure Fund - Direct Plan - Growth Option</t>
  </si>
  <si>
    <t>LIC MF Infrastructure Fund-Direct Plan-Growth</t>
  </si>
  <si>
    <t>Sundaram Infrastructure Advantage Fund Direct Plan - Growth</t>
  </si>
  <si>
    <t>BANK OF INDIA Manufacturing &amp; Infrastructure Fund-Direct Plan-Growth</t>
  </si>
  <si>
    <t>Mirae Asset Infrastructure Fund - Direct Plan - Growth</t>
  </si>
  <si>
    <t>Kotak Infrastructure &amp; Economic Reform Fund- Direct Plan- Growth Option</t>
  </si>
  <si>
    <t>ICICI Prudential Infrastructure Fund - Direct Plan -  Growth</t>
  </si>
  <si>
    <t>quant Infrastructure Fund - Growth Option-Direct Plan</t>
  </si>
  <si>
    <t>UTI Infrastructure Fund-Growth Option- Direct</t>
  </si>
  <si>
    <t>BANDHAN Infrastructure Fund-Direct Plan-Growth</t>
  </si>
  <si>
    <t>SBI INFRASTRUCTURE FUND -  DIRECT PLAN - GROWTH</t>
  </si>
  <si>
    <t>HDFC Infrastructure Fund - Growth Option - Direct Plan</t>
  </si>
  <si>
    <t>Tata Nifty500 Multicap Infrastructure 50:30:20 Index Fund - Direct Plan - Growth</t>
  </si>
  <si>
    <t xml:space="preserve">Taurus Infrastructure Fund - Direct Plan - Growth </t>
  </si>
  <si>
    <t>ICICI Prudential Strategic Metal and Energy Equity Fund of Fund - Direct Plan Growth</t>
  </si>
  <si>
    <t>DSP Global Clean Energy Overseas Equity Omni FoF Direct Plan - Growth</t>
  </si>
  <si>
    <t>DSP Natural Resources and New Energy Fund - Direct Plan - Growth</t>
  </si>
  <si>
    <t>ICICI PRUDENTIAL ENERGY OPPORTUNITIES FUND - Direct Plan - Growth</t>
  </si>
  <si>
    <t>Kotak Energy Opportunities Fund-Direct-Growth</t>
  </si>
  <si>
    <t>Tata Resources &amp; Energy Fund-Direct Plan-Growth</t>
  </si>
  <si>
    <t>Baroda BNP Paribas Energy Opportunities Fund - Direct Plan - Growth Option</t>
  </si>
  <si>
    <t>SBI Energy Opportunities Fund - Direct Plan - Growth</t>
  </si>
  <si>
    <t>The Wealth Company Multi Asset Allocation Fund - Direct Growth</t>
  </si>
  <si>
    <t>Bank of India Multi Asset Allocation Fund-Direct Plan-Growth</t>
  </si>
  <si>
    <t>360 ONE Multi Asset Allocation Fund - Direct Plan - Growth</t>
  </si>
  <si>
    <t>Kotak Multi Asset Allocation Fund - Direct Plan - Growth Option</t>
  </si>
  <si>
    <t>Mahindra Manulife Multi Asset Allocation Fund- Direct Plan - Growth</t>
  </si>
  <si>
    <t>HSBC Multi Asset Allocation Fund - Direct - Growth</t>
  </si>
  <si>
    <t>Edelweiss Multi Asset Allocation Fund - Direct Plan - Growth</t>
  </si>
  <si>
    <t>Mirae Asset Multi Asset Allocation Fund - Direct Plan - Growth</t>
  </si>
  <si>
    <t>Invesco India Multi Asset Allocation Fund - Direct Plan - Growth</t>
  </si>
  <si>
    <t>Nippon India Multi Asset Allocation Fund - Direct Plan - Growth Option</t>
  </si>
  <si>
    <t>Bandhan Multi Asset Allocation Fund - Direct Plan - Growth</t>
  </si>
  <si>
    <t>Franklin India Multi Asset Allocation Fund- Direct-Growth</t>
  </si>
  <si>
    <t>WhiteOak Capital Multi Asset Allocation Fund Direct Plan Growth</t>
  </si>
  <si>
    <t>quant Multi Asset Allocation Fund-GROWTH OPTION-Direct Plan</t>
  </si>
  <si>
    <t>SBI MULTI ASSET ALLOCATION FUND - DIRECT PLAN - GROWTH</t>
  </si>
  <si>
    <t>Canara Robeco Multi Asset Allocation Fund - Direct Plan - Growth</t>
  </si>
  <si>
    <t>PGIM India Multi Asset Allocation Fund - Direct Plan - Growth Option</t>
  </si>
  <si>
    <t>LIC MF Multi Asset Allocation Fund-Direct Plan-Growth</t>
  </si>
  <si>
    <t>DSP Multi Asset Allocation Fund - Direct - Growth</t>
  </si>
  <si>
    <t>Groww Multi Asset Allocation Fund Direct Growth</t>
  </si>
  <si>
    <t>Union Multi Asset Allocation Fund- Direct Plan - Growth Option</t>
  </si>
  <si>
    <t>Aditya Birla Sun Life Multi Asset Allocation Fund-Direct Growth</t>
  </si>
  <si>
    <t>Tata Multi Asset Allocation Fund-Direct Plan-Growth</t>
  </si>
  <si>
    <t>Shriram Multi Asset Allocation Fund - Direct Growth</t>
  </si>
  <si>
    <t>UTI Multi Asset Allocation Fund - Direct Plan - Growth Option</t>
  </si>
  <si>
    <t>Axis Multi Asset Allocation Fund - Direct Plan - Growth Option</t>
  </si>
  <si>
    <t>Bajaj Finserv Multi Asset Allocation Fund - Direct Growth</t>
  </si>
  <si>
    <t>Sundaram Multi Asset Allocation Fund Direct Plan Growth</t>
  </si>
  <si>
    <t>Samco Multi Asset Allocation Fund - Direct Plan - Growth</t>
  </si>
  <si>
    <t>Quantum Multi Asset Allocation Fund - Direct Plan Growth Option</t>
  </si>
  <si>
    <t>LIC MF Manufacturing Fund-Direct Plan-Growth</t>
  </si>
  <si>
    <t>Aditya Birla Sun Life Manufacturing Equity Fund - Direct Plan - Growth</t>
  </si>
  <si>
    <t>Baroda BNP Paribas Manufacturing Fund - Direct Plan - Growth Option</t>
  </si>
  <si>
    <t>Canara Robeco Manufacturing Fund - Direct Plan - Growth Option</t>
  </si>
  <si>
    <t>Axis India Manufacturing Fund - Direct Plan - Growth</t>
  </si>
  <si>
    <t>Invesco India Manufacturing Fund - Direct Plan - Growth</t>
  </si>
  <si>
    <t>Mahindra Manulife Manufacturing Fund - Direct Plan - Growth</t>
  </si>
  <si>
    <t>Navi Nifty India Manufacturing Index Fund- Direct Plan- Growth</t>
  </si>
  <si>
    <t>Nippon India Nifty India Manufacturing Index Fund- Direct Plan- Growth Option</t>
  </si>
  <si>
    <t>UTI Nifty India Manufacturing Index Fund - Direct Plan - Growth Option</t>
  </si>
  <si>
    <t>Mirae Asset Nifty India Manufacturing ETF FOF - Direct Plan - Growth</t>
  </si>
  <si>
    <t>HDFC Manufacturing fund - Growth Option - Direct Plan</t>
  </si>
  <si>
    <t>quant Manufacturing Fund - Growth Option - Direct Plan</t>
  </si>
  <si>
    <t>Tata Nifty500 Multicap India Manufacturing 50:30:20 Index Fund -Direct Plan-Growth</t>
  </si>
  <si>
    <t>Motilal Oswal Manufacturing Fund - Direct Plan- Growth</t>
  </si>
  <si>
    <t>Groww BSE Power ETF FOF Direct Growth</t>
  </si>
  <si>
    <t>Nippon India Power &amp; Infra Fund - Direct Plan Growth Plan - Bonus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</si>
</sst>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/>
    <xf numFmtId="9" fontId="1" fillId="0" borderId="0"/>
  </cellStyleXfs>
  <cellXfs count="16">
    <xf numFmtId="0" fontId="0" fillId="0" borderId="0" xfId="0"/>
    <xf numFmtId="0" fontId="1" fillId="0" borderId="0" xfId="0" applyFont="1"/>
    <xf numFmtId="10" fontId="1" fillId="6" borderId="0" xfId="2" applyNumberFormat="1" applyFill="1" applyAlignment="1">
      <alignment horizontal="center" vertical="center"/>
    </xf>
    <xf numFmtId="10" fontId="1" fillId="7" borderId="0" xfId="2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" fontId="1" fillId="5" borderId="4" xfId="0" applyNumberFormat="1" applyFont="1" applyFill="1" applyBorder="1" applyAlignment="1">
      <alignment horizontal="center" vertical="center" wrapText="1"/>
    </xf>
    <xf numFmtId="16" fontId="1" fillId="3" borderId="0" xfId="0" applyNumberFormat="1" applyFont="1" applyFill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justify" vertical="justify" wrapText="1"/>
    </xf>
    <xf numFmtId="0" fontId="1" fillId="0" borderId="2" xfId="0" applyFont="1" applyBorder="1" applyAlignment="1">
      <alignment horizontal="justify" vertical="justify"/>
    </xf>
    <xf numFmtId="0" fontId="1" fillId="0" borderId="0" xfId="0" applyFont="1" applyAlignment="1">
      <alignment horizontal="justify" vertical="justify"/>
    </xf>
    <xf numFmtId="0" fontId="2" fillId="0" borderId="0" xfId="0" applyFont="1" applyBorder="1" applyAlignment="1">
      <alignment horizontal="justify" vertical="justify" wrapText="1"/>
    </xf>
    <xf numFmtId="0" fontId="1" fillId="0" borderId="0" xfId="0" applyFont="1" applyAlignment="1">
      <alignment horizontal="justify" vertical="justify" wrapText="1"/>
    </xf>
  </cellXfs>
  <cellStyles count="3">
    <cellStyle name="Normal" xfId="0" builtinId="0"/>
    <cellStyle name="Percent" xfId="2" builtinId="5"/>
    <cellStyle name="Percent 2" xfId="1" xr:uid="{00000000-0005-0000-0000-000001000000}"/>
  </cellStyles>
  <dxfs count="2"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K128"/>
  <sheetViews>
    <sheetView tabSelected="1" zoomScaleNormal="100" workbookViewId="0">
      <pane xSplit="9" ySplit="1" topLeftCell="J2" activePane="bottomRight" state="frozen"/>
      <selection pane="topRight" activeCell="K1" sqref="K1"/>
      <selection pane="bottomLeft" activeCell="A2" sqref="A2"/>
      <selection pane="bottomRight" activeCell="D2" sqref="D2"/>
    </sheetView>
  </sheetViews>
  <sheetFormatPr defaultRowHeight="12.75" x14ac:dyDescent="0.2"/>
  <cols>
    <col min="1" max="1" width="1.85546875" style="1" customWidth="1"/>
    <col min="2" max="2" width="45.140625" style="15" customWidth="1"/>
    <col min="3" max="3" width="15.5703125" style="4" customWidth="1"/>
    <col min="4" max="4" width="10" style="4" bestFit="1" customWidth="1"/>
    <col min="5" max="5" width="10.5703125" style="4" bestFit="1" customWidth="1"/>
    <col min="6" max="6" width="12.42578125" style="4" bestFit="1" customWidth="1"/>
    <col min="7" max="7" width="12.5703125" style="4" customWidth="1"/>
    <col min="8" max="8" width="12.5703125" style="4" bestFit="1" customWidth="1"/>
    <col min="9" max="9" width="11.28515625" style="4" customWidth="1"/>
    <col min="10" max="10" width="12.5703125" style="4" bestFit="1" customWidth="1"/>
    <col min="11" max="11" width="11.28515625" style="4" customWidth="1"/>
    <col min="12" max="12" width="7.140625" style="4" customWidth="1"/>
    <col min="13" max="25" width="11.28515625" style="4" customWidth="1"/>
    <col min="26" max="27" width="7.140625" style="4" customWidth="1"/>
    <col min="28" max="28" width="10.5703125" style="4" customWidth="1"/>
    <col min="29" max="30" width="7.140625" style="4" customWidth="1"/>
    <col min="31" max="31" width="10.5703125" style="4" customWidth="1"/>
    <col min="32" max="32" width="9.28515625" style="4" customWidth="1"/>
    <col min="33" max="33" width="10.5703125" style="4" customWidth="1"/>
    <col min="34" max="34" width="7.140625" style="4" customWidth="1"/>
    <col min="35" max="35" width="10.5703125" style="4" customWidth="1"/>
    <col min="36" max="36" width="9.28515625" style="1" customWidth="1"/>
    <col min="37" max="37" width="10.5703125" style="1" customWidth="1"/>
    <col min="38" max="38" width="9.28515625" style="1" customWidth="1"/>
    <col min="39" max="39" width="10.5703125" style="1" customWidth="1"/>
    <col min="40" max="119" width="9.140625" style="1" customWidth="1"/>
    <col min="120" max="120" width="10.5703125" style="1" bestFit="1" customWidth="1"/>
    <col min="121" max="121" width="9.140625" style="1" customWidth="1"/>
    <col min="122" max="16384" width="9.140625" style="1"/>
  </cols>
  <sheetData>
    <row r="1" spans="2:141" ht="26.25" customHeight="1" thickBot="1" x14ac:dyDescent="0.25">
      <c r="B1" s="11" t="s">
        <v>0</v>
      </c>
      <c r="C1" s="5" t="s">
        <v>1</v>
      </c>
      <c r="D1" s="6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9">
        <v>46023</v>
      </c>
      <c r="K1" s="9">
        <v>46024</v>
      </c>
      <c r="L1" s="9">
        <v>46052</v>
      </c>
      <c r="M1" s="9">
        <v>46053</v>
      </c>
      <c r="N1" s="9">
        <v>46055</v>
      </c>
      <c r="O1" s="9">
        <v>46080</v>
      </c>
      <c r="P1" s="9">
        <v>46081</v>
      </c>
      <c r="Q1" s="9">
        <v>46083</v>
      </c>
      <c r="R1" s="9">
        <v>46112</v>
      </c>
      <c r="S1" s="9">
        <v>46113</v>
      </c>
      <c r="T1" s="9">
        <v>46114</v>
      </c>
      <c r="U1" s="9">
        <v>46115</v>
      </c>
      <c r="V1" s="9">
        <v>46116</v>
      </c>
      <c r="W1" s="9">
        <v>46117</v>
      </c>
      <c r="X1" s="9">
        <v>46118</v>
      </c>
      <c r="Y1" s="9">
        <v>46119</v>
      </c>
      <c r="Z1" s="9">
        <v>46120</v>
      </c>
      <c r="AA1" s="9">
        <v>46121</v>
      </c>
      <c r="AB1" s="9">
        <v>46122</v>
      </c>
      <c r="AC1" s="9">
        <v>46123</v>
      </c>
      <c r="AD1" s="9">
        <v>46124</v>
      </c>
      <c r="AE1" s="9">
        <v>46125</v>
      </c>
      <c r="AF1" s="9">
        <v>46126</v>
      </c>
      <c r="AG1" s="9">
        <v>46127</v>
      </c>
      <c r="AH1" s="9">
        <v>46128</v>
      </c>
      <c r="AI1" s="9">
        <v>46129</v>
      </c>
      <c r="AJ1" s="9">
        <v>46130</v>
      </c>
      <c r="AK1" s="9">
        <v>46131</v>
      </c>
      <c r="AL1" s="9">
        <v>46132</v>
      </c>
      <c r="AM1" s="9">
        <v>46133</v>
      </c>
      <c r="AN1" s="9">
        <v>46134</v>
      </c>
      <c r="AO1" s="9">
        <v>46135</v>
      </c>
      <c r="AP1" s="9">
        <v>46136</v>
      </c>
      <c r="AQ1" s="9">
        <v>46137</v>
      </c>
      <c r="AR1" s="9">
        <v>46138</v>
      </c>
      <c r="AS1" s="9">
        <v>46139</v>
      </c>
      <c r="AT1" s="9">
        <v>46140</v>
      </c>
      <c r="AU1" s="9">
        <v>46141</v>
      </c>
      <c r="AV1" s="9">
        <v>46142</v>
      </c>
      <c r="AW1" s="9">
        <v>46143</v>
      </c>
      <c r="AX1" s="9">
        <v>46144</v>
      </c>
      <c r="AY1" s="9">
        <v>46145</v>
      </c>
      <c r="AZ1" s="9">
        <v>46146</v>
      </c>
      <c r="BA1" s="9">
        <v>46147</v>
      </c>
      <c r="BB1" s="9">
        <v>46148</v>
      </c>
      <c r="BC1" s="9">
        <v>46149</v>
      </c>
      <c r="BD1" s="9">
        <v>46150</v>
      </c>
      <c r="BE1" s="9">
        <v>46151</v>
      </c>
      <c r="BF1" s="9">
        <v>46152</v>
      </c>
      <c r="BG1" s="9">
        <v>46153</v>
      </c>
      <c r="BH1" s="9">
        <v>46154</v>
      </c>
      <c r="BI1" s="9">
        <v>46155</v>
      </c>
      <c r="BJ1" s="9">
        <v>46156</v>
      </c>
      <c r="BK1" s="9">
        <v>46157</v>
      </c>
      <c r="BL1" s="9">
        <v>46158</v>
      </c>
      <c r="BM1" s="9">
        <v>46159</v>
      </c>
      <c r="BN1" s="9">
        <v>46160</v>
      </c>
      <c r="BO1" s="9">
        <v>46161</v>
      </c>
      <c r="BP1" s="9">
        <v>46162</v>
      </c>
      <c r="BQ1" s="9">
        <v>46163</v>
      </c>
      <c r="BR1" s="9">
        <v>46164</v>
      </c>
      <c r="BS1" s="9">
        <v>46165</v>
      </c>
      <c r="BT1" s="9">
        <v>46166</v>
      </c>
      <c r="BU1" s="9">
        <v>46167</v>
      </c>
      <c r="BV1" s="9">
        <v>46168</v>
      </c>
      <c r="BW1" s="9">
        <v>46169</v>
      </c>
      <c r="BX1" s="9">
        <v>46170</v>
      </c>
      <c r="BY1" s="9">
        <v>46171</v>
      </c>
      <c r="BZ1" s="9">
        <v>46172</v>
      </c>
      <c r="CA1" s="9">
        <v>46173</v>
      </c>
      <c r="CB1" s="9">
        <v>46174</v>
      </c>
      <c r="CC1" s="9">
        <v>46175</v>
      </c>
      <c r="CD1" s="9">
        <v>46176</v>
      </c>
      <c r="CE1" s="9">
        <v>46177</v>
      </c>
      <c r="CF1" s="9">
        <v>46178</v>
      </c>
      <c r="CG1" s="9">
        <v>46179</v>
      </c>
      <c r="CH1" s="9">
        <v>46180</v>
      </c>
      <c r="CI1" s="9">
        <v>46181</v>
      </c>
      <c r="CJ1" s="9">
        <v>46182</v>
      </c>
      <c r="CK1" s="9">
        <v>46183</v>
      </c>
      <c r="CL1" s="9">
        <v>46184</v>
      </c>
      <c r="CM1" s="9">
        <v>46185</v>
      </c>
      <c r="CN1" s="9">
        <v>46186</v>
      </c>
      <c r="CO1" s="9">
        <v>46187</v>
      </c>
      <c r="CP1" s="9">
        <v>46188</v>
      </c>
      <c r="CQ1" s="9">
        <v>46189</v>
      </c>
      <c r="CR1" s="9">
        <v>46190</v>
      </c>
      <c r="CS1" s="9">
        <v>46191</v>
      </c>
      <c r="CT1" s="9">
        <v>46192</v>
      </c>
      <c r="CU1" s="9">
        <v>46193</v>
      </c>
      <c r="CV1" s="9">
        <v>46194</v>
      </c>
      <c r="CW1" s="9">
        <v>46195</v>
      </c>
      <c r="CX1" s="9">
        <v>46196</v>
      </c>
      <c r="CY1" s="9">
        <v>46197</v>
      </c>
      <c r="CZ1" s="9">
        <v>46198</v>
      </c>
      <c r="DA1" s="9">
        <v>46199</v>
      </c>
      <c r="DB1" s="9">
        <v>46200</v>
      </c>
      <c r="DC1" s="9">
        <v>46201</v>
      </c>
      <c r="DD1" s="9">
        <v>46202</v>
      </c>
      <c r="DE1" s="9">
        <v>46203</v>
      </c>
      <c r="DF1" s="9">
        <v>46204</v>
      </c>
      <c r="DG1" s="9">
        <v>46205</v>
      </c>
      <c r="DH1" s="9">
        <v>46206</v>
      </c>
      <c r="DI1" s="9">
        <v>46207</v>
      </c>
      <c r="DJ1" s="9">
        <v>46208</v>
      </c>
      <c r="DK1" s="9">
        <v>46209</v>
      </c>
      <c r="DL1" s="9">
        <v>46210</v>
      </c>
      <c r="DM1" s="9">
        <v>46211</v>
      </c>
      <c r="DN1" s="9">
        <v>46212</v>
      </c>
      <c r="DO1" s="9">
        <v>46213</v>
      </c>
      <c r="DP1" s="9">
        <v>46214</v>
      </c>
      <c r="DQ1" s="9">
        <v>46215</v>
      </c>
      <c r="DR1" s="9">
        <v>46216</v>
      </c>
      <c r="DS1" s="9">
        <v>46217</v>
      </c>
      <c r="DT1" s="9">
        <v>46218</v>
      </c>
      <c r="DU1" s="9">
        <v>46219</v>
      </c>
      <c r="DV1" s="9">
        <v>46220</v>
      </c>
      <c r="DW1" s="9">
        <v>46221</v>
      </c>
      <c r="DX1" s="9">
        <v>46222</v>
      </c>
      <c r="DY1" s="9">
        <v>46223</v>
      </c>
      <c r="DZ1" s="9">
        <v>46224</v>
      </c>
      <c r="EA1" s="9">
        <v>46225</v>
      </c>
      <c r="EB1" s="9">
        <v>46226</v>
      </c>
      <c r="EC1" s="9">
        <v>46227</v>
      </c>
      <c r="ED1" s="9">
        <v>46228</v>
      </c>
      <c r="EE1" s="9">
        <v>46229</v>
      </c>
      <c r="EF1" s="9">
        <v>46230</v>
      </c>
      <c r="EG1" s="9">
        <v>46231</v>
      </c>
      <c r="EH1" s="9">
        <v>46232</v>
      </c>
      <c r="EI1" s="9">
        <v>46233</v>
      </c>
      <c r="EJ1" s="9">
        <v>46234</v>
      </c>
      <c r="EK1" s="9">
        <v>46235</v>
      </c>
    </row>
    <row r="2" spans="2:141" x14ac:dyDescent="0.2">
      <c r="B2" s="12" t="s">
        <v>124</v>
      </c>
      <c r="C2" s="10">
        <f t="array" ref="C2">_xlfn.IFNA(LOOKUP(2,1/(AW2:CA2&lt;&gt;""),AW2:CA2),"")</f>
        <v>12.741400000000001</v>
      </c>
      <c r="D2" s="2">
        <f>(C2-$J2)/$J2</f>
        <v>0.27500700476323908</v>
      </c>
      <c r="E2" s="3">
        <f>(C2-AZ2)/AZ2</f>
        <v>1.034819085077192E-2</v>
      </c>
      <c r="F2" s="3">
        <f>(L2-J2)/J2</f>
        <v>-2.7198494976584147E-2</v>
      </c>
      <c r="G2" s="3">
        <f>(O2-N2)/N2</f>
        <v>0.1077999401512727</v>
      </c>
      <c r="H2" s="3">
        <f>(R2-Q2)/Q2</f>
        <v>-3.0160458181473945E-2</v>
      </c>
      <c r="I2" s="3">
        <f>(AV2-S2)/S2</f>
        <v>0.18996905325895938</v>
      </c>
      <c r="J2" s="1">
        <v>9.9931999999999999</v>
      </c>
      <c r="K2" s="1">
        <v>10.2256</v>
      </c>
      <c r="L2" s="1">
        <v>9.7213999999999992</v>
      </c>
      <c r="N2">
        <v>9.6911000000000005</v>
      </c>
      <c r="O2">
        <v>10.735799999999999</v>
      </c>
      <c r="Q2" s="1">
        <v>10.563499999999999</v>
      </c>
      <c r="R2" s="1">
        <v>10.244899999999999</v>
      </c>
      <c r="S2" s="1">
        <v>10.4696</v>
      </c>
      <c r="T2" s="1">
        <v>10.367599999999999</v>
      </c>
      <c r="AV2">
        <v>12.458500000000001</v>
      </c>
      <c r="AZ2">
        <v>12.610900000000001</v>
      </c>
      <c r="BC2">
        <v>12.741400000000001</v>
      </c>
    </row>
    <row r="3" spans="2:141" ht="18" customHeight="1" x14ac:dyDescent="0.2">
      <c r="B3" s="12" t="s">
        <v>72</v>
      </c>
      <c r="C3" s="10">
        <f t="array" ref="C3">_xlfn.IFNA(LOOKUP(2,1/(AW3:CA3&lt;&gt;""),AW3:CA3),"")</f>
        <v>32.2288</v>
      </c>
      <c r="D3" s="2">
        <f>(C3-$K3)/$K3</f>
        <v>0.26493606399095709</v>
      </c>
      <c r="E3" s="3">
        <f>(C3-AZ3)/AZ3</f>
        <v>1.2608593197706358E-2</v>
      </c>
      <c r="F3" s="3">
        <f>(L3-K3)/K3</f>
        <v>8.4243247274183031E-2</v>
      </c>
      <c r="G3" s="3">
        <f>(O3-N3)/N3</f>
        <v>2.9916529010189017E-2</v>
      </c>
      <c r="H3" s="3">
        <f>(R3-Q3)/Q3</f>
        <v>-3.5514516558560579E-6</v>
      </c>
      <c r="I3" s="3" t="e">
        <f>(AV3-S3)/S3</f>
        <v>#DIV/0!</v>
      </c>
      <c r="J3" s="1"/>
      <c r="K3" s="1">
        <v>25.4786</v>
      </c>
      <c r="L3" s="1">
        <v>27.625</v>
      </c>
      <c r="N3">
        <v>27.3628</v>
      </c>
      <c r="O3">
        <v>28.1814</v>
      </c>
      <c r="Q3" s="1">
        <v>28.157499999999999</v>
      </c>
      <c r="R3" s="1">
        <v>28.157399999999999</v>
      </c>
      <c r="S3" s="1"/>
      <c r="T3" s="1">
        <v>28.090800000000002</v>
      </c>
      <c r="AV3">
        <v>31.405000000000001</v>
      </c>
      <c r="AZ3">
        <v>31.827500000000001</v>
      </c>
      <c r="BC3">
        <v>32.2288</v>
      </c>
    </row>
    <row r="4" spans="2:141" ht="25.5" customHeight="1" x14ac:dyDescent="0.2">
      <c r="B4" s="13" t="s">
        <v>71</v>
      </c>
      <c r="C4" s="10">
        <f t="array" ref="C4">_xlfn.IFNA(LOOKUP(2,1/(AW4:CA4&lt;&gt;""),AW4:CA4),"")</f>
        <v>30.170200000000001</v>
      </c>
      <c r="D4" s="2">
        <f>(C4-$K4)/$K4</f>
        <v>0.23664072074730819</v>
      </c>
      <c r="E4" s="3">
        <f>(C4-AZ4)/AZ4</f>
        <v>-3.5550455049660611E-2</v>
      </c>
      <c r="F4" s="3">
        <f>(L4-K4)/K4</f>
        <v>0.11884296775409992</v>
      </c>
      <c r="G4" s="3">
        <f>(O4-N4)/N4</f>
        <v>0.15723880569277029</v>
      </c>
      <c r="H4" s="3">
        <f>(R4-Q4)/Q4</f>
        <v>3.1256018362121559E-3</v>
      </c>
      <c r="I4" s="3" t="e">
        <f>(AV4-S4)/S4</f>
        <v>#DIV/0!</v>
      </c>
      <c r="J4" s="1"/>
      <c r="K4" s="1">
        <v>24.396899999999999</v>
      </c>
      <c r="L4" s="1">
        <v>27.296299999999999</v>
      </c>
      <c r="N4">
        <v>26.904299999999999</v>
      </c>
      <c r="O4">
        <v>31.134699999999999</v>
      </c>
      <c r="Q4" s="1">
        <v>31.6739</v>
      </c>
      <c r="R4" s="1">
        <v>31.7729</v>
      </c>
      <c r="S4" s="1"/>
      <c r="T4" s="1">
        <v>31.057500000000001</v>
      </c>
      <c r="AV4">
        <v>31.4406</v>
      </c>
      <c r="AZ4">
        <v>31.282299999999999</v>
      </c>
      <c r="BC4">
        <v>30.170200000000001</v>
      </c>
    </row>
    <row r="5" spans="2:141" ht="14.25" customHeight="1" x14ac:dyDescent="0.2">
      <c r="B5" s="14" t="s">
        <v>9</v>
      </c>
      <c r="C5" s="10">
        <f t="array" ref="C5">_xlfn.IFNA(LOOKUP(2,1/(AW5:CA5&lt;&gt;""),AW5:CA5),"")</f>
        <v>12.3522</v>
      </c>
      <c r="D5" s="2">
        <f>(C5-J5)/J5</f>
        <v>0.22041634967840101</v>
      </c>
      <c r="E5" s="3">
        <f>(C5-AZ5)/AZ5</f>
        <v>4.9206227862293908E-2</v>
      </c>
      <c r="F5" s="3">
        <f>(L5-J5)/J5</f>
        <v>5.8648592572100457E-2</v>
      </c>
      <c r="G5" s="3">
        <f>(O5-N5)/N5</f>
        <v>3.6966778539812152E-2</v>
      </c>
      <c r="H5" s="3">
        <f>(R5-Q5)/Q5</f>
        <v>-0.11646905050882275</v>
      </c>
      <c r="I5" s="3">
        <f>(AV5-S5)/S5</f>
        <v>0.18057046542192964</v>
      </c>
      <c r="J5">
        <v>10.1213</v>
      </c>
      <c r="K5" s="1">
        <v>10.199299999999999</v>
      </c>
      <c r="L5" s="1">
        <v>10.7149</v>
      </c>
      <c r="N5" s="1">
        <v>10.279500000000001</v>
      </c>
      <c r="O5" s="1">
        <v>10.6595</v>
      </c>
      <c r="Q5" s="1">
        <v>10.711</v>
      </c>
      <c r="R5" s="1">
        <v>9.4634999999999998</v>
      </c>
      <c r="S5" s="1">
        <v>9.9672999999999998</v>
      </c>
      <c r="T5" s="1">
        <v>9.9708000000000006</v>
      </c>
      <c r="AV5">
        <v>11.767099999999999</v>
      </c>
      <c r="AZ5">
        <v>11.7729</v>
      </c>
      <c r="BC5">
        <v>12.3522</v>
      </c>
    </row>
    <row r="6" spans="2:141" ht="14.25" customHeight="1" x14ac:dyDescent="0.2">
      <c r="B6" s="13" t="s">
        <v>14</v>
      </c>
      <c r="C6" s="10">
        <f t="array" ref="C6">_xlfn.IFNA(LOOKUP(2,1/(AW6:CA6&lt;&gt;""),AW6:CA6),"")</f>
        <v>13.478999999999999</v>
      </c>
      <c r="D6" s="2">
        <f>(C6-J6)/J6</f>
        <v>0.22021654113557348</v>
      </c>
      <c r="E6" s="3">
        <f>(C6-AZ6)/AZ6</f>
        <v>4.9137199654412815E-2</v>
      </c>
      <c r="F6" s="3">
        <f>(L6-J6)/J6</f>
        <v>5.8670698146002266E-2</v>
      </c>
      <c r="G6" s="3">
        <f>(O6-N6)/N6</f>
        <v>3.7043969658885414E-2</v>
      </c>
      <c r="H6" s="3">
        <f>(R6-Q6)/Q6</f>
        <v>-0.11627847300036774</v>
      </c>
      <c r="I6" s="3">
        <f>(AV6-S6)/S6</f>
        <v>0.18043592171426992</v>
      </c>
      <c r="J6" s="1">
        <v>11.0464</v>
      </c>
      <c r="K6" s="1">
        <v>11.1313</v>
      </c>
      <c r="L6" s="1">
        <v>11.6945</v>
      </c>
      <c r="N6">
        <v>11.219099999999999</v>
      </c>
      <c r="O6">
        <v>11.6347</v>
      </c>
      <c r="Q6" s="1">
        <v>11.690899999999999</v>
      </c>
      <c r="R6" s="1">
        <v>10.3315</v>
      </c>
      <c r="S6" s="1">
        <v>10.8781</v>
      </c>
      <c r="T6" s="1">
        <v>10.8825</v>
      </c>
      <c r="AV6">
        <v>12.8409</v>
      </c>
      <c r="AZ6">
        <v>12.8477</v>
      </c>
      <c r="BC6">
        <v>13.478999999999999</v>
      </c>
    </row>
    <row r="7" spans="2:141" ht="14.25" customHeight="1" x14ac:dyDescent="0.2">
      <c r="B7" s="13" t="s">
        <v>15</v>
      </c>
      <c r="C7" s="10">
        <f t="array" ref="C7">_xlfn.IFNA(LOOKUP(2,1/(AW7:CA7&lt;&gt;""),AW7:CA7),"")</f>
        <v>13.823399999999999</v>
      </c>
      <c r="D7" s="2">
        <f>(C7-J7)/J7</f>
        <v>0.21369682602396942</v>
      </c>
      <c r="E7" s="3">
        <f>(C7-AZ7)/AZ7</f>
        <v>4.1240141911282807E-2</v>
      </c>
      <c r="F7" s="3">
        <f>(L7-J7)/J7</f>
        <v>6.0801615523069563E-2</v>
      </c>
      <c r="G7" s="3">
        <f>(O7-N7)/N7</f>
        <v>3.6788050172620122E-2</v>
      </c>
      <c r="H7" s="3">
        <f>(R7-Q7)/Q7</f>
        <v>-0.12000960606838522</v>
      </c>
      <c r="I7" s="3">
        <f>(AV7-S7)/S7</f>
        <v>0.167259407731945</v>
      </c>
      <c r="J7" s="1">
        <v>11.3895</v>
      </c>
      <c r="K7" s="1">
        <v>11.494</v>
      </c>
      <c r="L7" s="1">
        <v>12.082000000000001</v>
      </c>
      <c r="N7">
        <v>11.5282</v>
      </c>
      <c r="O7">
        <v>11.952299999999999</v>
      </c>
      <c r="Q7" s="1">
        <v>12.075699999999999</v>
      </c>
      <c r="R7" s="1">
        <v>10.6265</v>
      </c>
      <c r="S7" s="1">
        <v>11.2753</v>
      </c>
      <c r="T7" s="1">
        <v>11.225</v>
      </c>
      <c r="AV7">
        <v>13.161199999999999</v>
      </c>
      <c r="AZ7">
        <v>13.2759</v>
      </c>
      <c r="BC7">
        <v>13.823399999999999</v>
      </c>
    </row>
    <row r="8" spans="2:141" ht="14.25" customHeight="1" x14ac:dyDescent="0.2">
      <c r="B8" s="13" t="s">
        <v>12</v>
      </c>
      <c r="C8" s="10">
        <f t="array" ref="C8">_xlfn.IFNA(LOOKUP(2,1/(AW8:CA8&lt;&gt;""),AW8:CA8),"")</f>
        <v>13.1234</v>
      </c>
      <c r="D8" s="2">
        <f>(C8-J8)/J8</f>
        <v>0.1940241472490879</v>
      </c>
      <c r="E8" s="3">
        <f>(C8-AZ8)/AZ8</f>
        <v>4.9913996559862457E-2</v>
      </c>
      <c r="F8" s="3">
        <f>(L8-J8)/J8</f>
        <v>5.0951241481590167E-3</v>
      </c>
      <c r="G8" s="3">
        <f>(O8-N8)/N8</f>
        <v>2.1391023426485183E-2</v>
      </c>
      <c r="H8" s="3">
        <f>(R8-Q8)/Q8</f>
        <v>-6.2709332640583426E-2</v>
      </c>
      <c r="I8" s="3">
        <f>(AV8-S8)/S8</f>
        <v>0.17698763376257198</v>
      </c>
      <c r="J8" s="1">
        <v>10.9909</v>
      </c>
      <c r="K8" s="1">
        <v>11.1159</v>
      </c>
      <c r="L8" s="1">
        <v>11.046900000000001</v>
      </c>
      <c r="N8">
        <v>10.710100000000001</v>
      </c>
      <c r="O8">
        <v>10.9392</v>
      </c>
      <c r="Q8" s="1">
        <v>10.7783</v>
      </c>
      <c r="R8" s="1">
        <v>10.102399999999999</v>
      </c>
      <c r="S8" s="1">
        <v>10.569100000000001</v>
      </c>
      <c r="T8" s="1">
        <v>10.5358</v>
      </c>
      <c r="AV8">
        <v>12.4397</v>
      </c>
      <c r="AZ8">
        <v>12.499499999999999</v>
      </c>
      <c r="BC8">
        <v>13.1234</v>
      </c>
    </row>
    <row r="9" spans="2:141" ht="14.25" customHeight="1" x14ac:dyDescent="0.2">
      <c r="B9" s="13" t="s">
        <v>13</v>
      </c>
      <c r="C9" s="10">
        <f t="array" ref="C9">_xlfn.IFNA(LOOKUP(2,1/(AW9:CA9&lt;&gt;""),AW9:CA9),"")</f>
        <v>15.0261</v>
      </c>
      <c r="D9" s="2">
        <f>(C9-J9)/J9</f>
        <v>0.19290738476683444</v>
      </c>
      <c r="E9" s="3">
        <f>(C9-AZ9)/AZ9</f>
        <v>4.9829175079823006E-2</v>
      </c>
      <c r="F9" s="3">
        <f>(L9-J9)/J9</f>
        <v>4.6045632809894911E-3</v>
      </c>
      <c r="G9" s="3">
        <f>(O9-N9)/N9</f>
        <v>2.0832484330809514E-2</v>
      </c>
      <c r="H9" s="3">
        <f>(R9-Q9)/Q9</f>
        <v>-6.3006482982171791E-2</v>
      </c>
      <c r="I9" s="3">
        <f>(AV9-S9)/S9</f>
        <v>0.1775404252504878</v>
      </c>
      <c r="J9" s="1">
        <v>12.5962</v>
      </c>
      <c r="K9" s="1">
        <v>12.7394</v>
      </c>
      <c r="L9" s="1">
        <v>12.654199999999999</v>
      </c>
      <c r="N9">
        <v>12.269299999999999</v>
      </c>
      <c r="O9">
        <v>12.524900000000001</v>
      </c>
      <c r="Q9" s="1">
        <v>12.34</v>
      </c>
      <c r="R9" s="1">
        <v>11.5625</v>
      </c>
      <c r="S9" s="1">
        <v>12.096399999999999</v>
      </c>
      <c r="T9" s="1">
        <v>12.058199999999999</v>
      </c>
      <c r="AV9">
        <v>14.244</v>
      </c>
      <c r="AZ9">
        <v>14.312900000000001</v>
      </c>
      <c r="BC9">
        <v>15.0261</v>
      </c>
    </row>
    <row r="10" spans="2:141" ht="14.25" customHeight="1" x14ac:dyDescent="0.2">
      <c r="B10" s="13" t="s">
        <v>11</v>
      </c>
      <c r="C10" s="10">
        <f t="array" ref="C10">_xlfn.IFNA(LOOKUP(2,1/(AW10:CA10&lt;&gt;""),AW10:CA10),"")</f>
        <v>11.7758</v>
      </c>
      <c r="D10" s="2">
        <f>(C10-J10)/J10</f>
        <v>0.18880229365207565</v>
      </c>
      <c r="E10" s="3">
        <f>(C10-AZ10)/AZ10</f>
        <v>4.3990921663888786E-2</v>
      </c>
      <c r="F10" s="3">
        <f>(L10-J10)/J10</f>
        <v>1.9988693264416128E-3</v>
      </c>
      <c r="G10" s="3">
        <f>(O10-N10)/N10</f>
        <v>2.8256934185064128E-2</v>
      </c>
      <c r="H10" s="3">
        <f>(R10-Q10)/Q10</f>
        <v>-5.6490347370704429E-2</v>
      </c>
      <c r="I10" s="3">
        <f>(AV10-S10)/S10</f>
        <v>0.16860404558048461</v>
      </c>
      <c r="J10" s="1">
        <v>9.9055999999999997</v>
      </c>
      <c r="K10" s="1">
        <v>10.026999999999999</v>
      </c>
      <c r="L10" s="1">
        <v>9.9253999999999998</v>
      </c>
      <c r="N10">
        <v>9.6118000000000006</v>
      </c>
      <c r="O10">
        <v>9.8834</v>
      </c>
      <c r="Q10" s="1">
        <v>9.6813000000000002</v>
      </c>
      <c r="R10" s="1">
        <v>9.1343999999999994</v>
      </c>
      <c r="S10" s="1">
        <v>9.6006</v>
      </c>
      <c r="T10" s="1">
        <v>9.5193999999999992</v>
      </c>
      <c r="AV10">
        <v>11.2193</v>
      </c>
      <c r="AZ10">
        <v>11.2796</v>
      </c>
      <c r="BC10">
        <v>11.7758</v>
      </c>
    </row>
    <row r="11" spans="2:141" ht="14.25" customHeight="1" x14ac:dyDescent="0.2">
      <c r="B11" s="15" t="s">
        <v>17</v>
      </c>
      <c r="C11" s="10">
        <f t="array" ref="C11">_xlfn.IFNA(LOOKUP(2,1/(AW11:CA11&lt;&gt;""),AW11:CA11),"")</f>
        <v>57.09</v>
      </c>
      <c r="D11" s="2">
        <f>(C11-$J11)/$J11</f>
        <v>0.13296288946219492</v>
      </c>
      <c r="E11" s="3">
        <f>(C11-AZ11)/AZ11</f>
        <v>2.9390551749008339E-2</v>
      </c>
      <c r="F11" s="3">
        <f>(L11-J11)/J11</f>
        <v>-5.6558841039888896E-2</v>
      </c>
      <c r="G11" s="3">
        <f>(O11-N11)/N11</f>
        <v>4.4548154433602064E-2</v>
      </c>
      <c r="H11" s="3">
        <f>(R11-Q11)/Q11</f>
        <v>-5.8750517170045577E-2</v>
      </c>
      <c r="I11" s="3">
        <f>(AV11-S11)/S11</f>
        <v>0.16776525621943442</v>
      </c>
      <c r="J11" s="1">
        <v>50.39</v>
      </c>
      <c r="K11" s="1">
        <v>50.8</v>
      </c>
      <c r="L11" s="1">
        <v>47.54</v>
      </c>
      <c r="N11">
        <v>47.14</v>
      </c>
      <c r="O11">
        <v>49.24</v>
      </c>
      <c r="Q11" s="1">
        <v>48.34</v>
      </c>
      <c r="R11" s="1">
        <v>45.5</v>
      </c>
      <c r="S11" s="1">
        <v>47.03</v>
      </c>
      <c r="T11" s="1">
        <v>47.1</v>
      </c>
      <c r="AV11">
        <v>54.92</v>
      </c>
      <c r="AZ11">
        <v>55.46</v>
      </c>
      <c r="BC11">
        <v>57.09</v>
      </c>
    </row>
    <row r="12" spans="2:141" x14ac:dyDescent="0.2">
      <c r="B12" s="13" t="s">
        <v>18</v>
      </c>
      <c r="C12" s="10">
        <f t="array" ref="C12">_xlfn.IFNA(LOOKUP(2,1/(AW12:CA12&lt;&gt;""),AW12:CA12),"")</f>
        <v>61.32</v>
      </c>
      <c r="D12" s="2">
        <f>(C12-$J12)/$J12</f>
        <v>0.12762044869437289</v>
      </c>
      <c r="E12" s="3">
        <f>(C12-AZ12)/AZ12</f>
        <v>3.5111411208642779E-2</v>
      </c>
      <c r="F12" s="3">
        <f>(L12-J12)/J12</f>
        <v>-3.0709819786686313E-2</v>
      </c>
      <c r="G12" s="3">
        <f>(O12-N12)/N12</f>
        <v>5.7466846050355604E-2</v>
      </c>
      <c r="H12" s="3">
        <f>(R12-Q12)/Q12</f>
        <v>-7.0110701107011147E-2</v>
      </c>
      <c r="I12" s="3">
        <f>(AV12-S12)/S12</f>
        <v>0.13625776397515518</v>
      </c>
      <c r="J12" s="1">
        <v>54.38</v>
      </c>
      <c r="K12" s="1">
        <v>54.92</v>
      </c>
      <c r="L12" s="1">
        <v>52.71</v>
      </c>
      <c r="N12">
        <v>52.03</v>
      </c>
      <c r="O12">
        <v>55.02</v>
      </c>
      <c r="Q12" s="1">
        <v>54.2</v>
      </c>
      <c r="R12" s="1">
        <v>50.4</v>
      </c>
      <c r="S12" s="1">
        <v>51.52</v>
      </c>
      <c r="T12" s="1">
        <v>50.99</v>
      </c>
      <c r="AV12">
        <v>58.54</v>
      </c>
      <c r="AZ12">
        <v>59.24</v>
      </c>
      <c r="BC12">
        <v>61.32</v>
      </c>
    </row>
    <row r="13" spans="2:141" x14ac:dyDescent="0.2">
      <c r="B13" s="13" t="s">
        <v>16</v>
      </c>
      <c r="C13" s="10">
        <f t="array" ref="C13">_xlfn.IFNA(LOOKUP(2,1/(AW13:CA13&lt;&gt;""),AW13:CA13),"")</f>
        <v>387.41</v>
      </c>
      <c r="D13" s="2">
        <f>(C13-J13)/J13</f>
        <v>0.12673229892244842</v>
      </c>
      <c r="E13" s="3">
        <f>(C13-AZ13)/AZ13</f>
        <v>1.7577314442710896E-2</v>
      </c>
      <c r="F13" s="3">
        <f>(L13-J13)/J13</f>
        <v>-1.9390114444428209E-2</v>
      </c>
      <c r="G13" s="3">
        <f>(O13-N13)/N13</f>
        <v>7.4825846745135594E-2</v>
      </c>
      <c r="H13" s="3">
        <f>(R13-Q13)/Q13</f>
        <v>-7.6146153084463708E-2</v>
      </c>
      <c r="I13" s="3">
        <f>(AV13-S13)/S13</f>
        <v>0.1334827895012051</v>
      </c>
      <c r="J13" s="1">
        <v>343.83499999999998</v>
      </c>
      <c r="K13" s="1">
        <v>348.09</v>
      </c>
      <c r="L13" s="1">
        <v>337.16800000000001</v>
      </c>
      <c r="N13">
        <v>333.04</v>
      </c>
      <c r="O13">
        <v>357.96</v>
      </c>
      <c r="Q13" s="1">
        <v>353.46499999999997</v>
      </c>
      <c r="R13" s="1">
        <v>326.55</v>
      </c>
      <c r="S13" s="1">
        <v>332.762</v>
      </c>
      <c r="T13" s="1">
        <v>332.41500000000002</v>
      </c>
      <c r="AV13">
        <v>377.18</v>
      </c>
      <c r="AZ13">
        <v>380.71800000000002</v>
      </c>
      <c r="BC13">
        <v>387.41</v>
      </c>
    </row>
    <row r="14" spans="2:141" ht="25.5" x14ac:dyDescent="0.2">
      <c r="B14" s="15" t="s">
        <v>10</v>
      </c>
      <c r="C14" s="10">
        <f t="array" ref="C14">_xlfn.IFNA(LOOKUP(2,1/(AW14:CA14&lt;&gt;""),AW14:CA14),"")</f>
        <v>423.19630000000001</v>
      </c>
      <c r="D14" s="2">
        <f>(C14-J14)/J14</f>
        <v>0.1189290232684805</v>
      </c>
      <c r="E14" s="3">
        <f>(C14-AZ14)/AZ14</f>
        <v>1.3230773945567544E-2</v>
      </c>
      <c r="F14" s="3">
        <f>(L14-J14)/J14</f>
        <v>-3.8569016870011942E-2</v>
      </c>
      <c r="G14" s="3">
        <f>(O14-N14)/N14</f>
        <v>6.8774381944286186E-2</v>
      </c>
      <c r="H14" s="3">
        <f>(R14-Q14)/Q14</f>
        <v>-6.405532582725397E-2</v>
      </c>
      <c r="I14" s="3">
        <f>(AV14-S14)/S14</f>
        <v>0.14365777405694591</v>
      </c>
      <c r="J14">
        <v>378.21550000000002</v>
      </c>
      <c r="K14" s="1">
        <v>383.79899999999998</v>
      </c>
      <c r="L14" s="1">
        <v>363.62810000000002</v>
      </c>
      <c r="N14">
        <v>359.84620000000001</v>
      </c>
      <c r="O14">
        <v>384.59440000000001</v>
      </c>
      <c r="Q14" s="1">
        <v>376.89449999999999</v>
      </c>
      <c r="R14" s="1">
        <v>352.75240000000002</v>
      </c>
      <c r="S14" s="1">
        <v>361.09010000000001</v>
      </c>
      <c r="T14" s="1">
        <v>360.08690000000001</v>
      </c>
      <c r="AV14">
        <v>412.96350000000001</v>
      </c>
      <c r="AZ14">
        <v>417.67020000000002</v>
      </c>
      <c r="BC14">
        <v>423.19630000000001</v>
      </c>
    </row>
    <row r="15" spans="2:141" ht="25.5" x14ac:dyDescent="0.2">
      <c r="B15" s="13" t="s">
        <v>125</v>
      </c>
      <c r="C15" s="10">
        <f t="array" ref="C15">_xlfn.IFNA(LOOKUP(2,1/(AW15:CA15&lt;&gt;""),AW15:CA15),"")</f>
        <v>423.19630000000001</v>
      </c>
      <c r="D15" s="2">
        <f>(C15-$J15)/$J15</f>
        <v>0.1189290232684805</v>
      </c>
      <c r="E15" s="3">
        <f>(C15-AZ15)/AZ15</f>
        <v>1.3230773945567544E-2</v>
      </c>
      <c r="F15" s="3">
        <f>(L15-J15)/J15</f>
        <v>-3.8569016870011942E-2</v>
      </c>
      <c r="G15" s="3">
        <f>(O15-N15)/N15</f>
        <v>6.8774381944286186E-2</v>
      </c>
      <c r="H15" s="3">
        <f>(R15-Q15)/Q15</f>
        <v>-6.405532582725397E-2</v>
      </c>
      <c r="I15" s="3">
        <f>(AV15-S15)/S15</f>
        <v>0.14365777405694591</v>
      </c>
      <c r="J15">
        <v>378.21550000000002</v>
      </c>
      <c r="K15">
        <v>383.79899999999998</v>
      </c>
      <c r="L15">
        <v>363.62810000000002</v>
      </c>
      <c r="N15">
        <v>359.84620000000001</v>
      </c>
      <c r="O15">
        <v>384.59440000000001</v>
      </c>
      <c r="Q15">
        <v>376.89449999999999</v>
      </c>
      <c r="R15">
        <v>352.75240000000002</v>
      </c>
      <c r="S15">
        <v>361.09010000000001</v>
      </c>
      <c r="T15">
        <v>360.08690000000001</v>
      </c>
      <c r="AV15">
        <v>412.96350000000001</v>
      </c>
      <c r="AZ15">
        <v>417.67020000000002</v>
      </c>
      <c r="BC15">
        <v>423.19630000000001</v>
      </c>
    </row>
    <row r="16" spans="2:141" ht="25.5" x14ac:dyDescent="0.2">
      <c r="B16" s="13" t="s">
        <v>10</v>
      </c>
      <c r="C16" s="10">
        <f t="array" ref="C16">_xlfn.IFNA(LOOKUP(2,1/(AW16:CA16&lt;&gt;""),AW16:CA16),"")</f>
        <v>423.19630000000001</v>
      </c>
      <c r="D16" s="2">
        <f>(C16-$J16)/$J16</f>
        <v>0.1189290232684805</v>
      </c>
      <c r="E16" s="3">
        <f>(C16-AZ16)/AZ16</f>
        <v>1.3230773945567544E-2</v>
      </c>
      <c r="F16" s="3">
        <f>(L16-J16)/J16</f>
        <v>-3.8569016870011942E-2</v>
      </c>
      <c r="G16" s="3">
        <f>(O16-N16)/N16</f>
        <v>6.8774381944286186E-2</v>
      </c>
      <c r="H16" s="3">
        <f>(R16-Q16)/Q16</f>
        <v>-6.405532582725397E-2</v>
      </c>
      <c r="I16" s="3">
        <f>(AV16-S16)/S16</f>
        <v>0.14365777405694591</v>
      </c>
      <c r="J16">
        <v>378.21550000000002</v>
      </c>
      <c r="K16">
        <v>383.79899999999998</v>
      </c>
      <c r="L16">
        <v>363.62810000000002</v>
      </c>
      <c r="N16">
        <v>359.84620000000001</v>
      </c>
      <c r="O16">
        <v>384.59440000000001</v>
      </c>
      <c r="Q16">
        <v>376.89449999999999</v>
      </c>
      <c r="R16">
        <v>352.75240000000002</v>
      </c>
      <c r="S16">
        <v>361.09010000000001</v>
      </c>
      <c r="T16">
        <v>360.08690000000001</v>
      </c>
      <c r="AV16">
        <v>412.96350000000001</v>
      </c>
      <c r="AZ16">
        <v>417.67020000000002</v>
      </c>
      <c r="BC16">
        <v>423.19630000000001</v>
      </c>
    </row>
    <row r="17" spans="2:55" x14ac:dyDescent="0.2">
      <c r="B17" s="13" t="s">
        <v>109</v>
      </c>
      <c r="C17" s="10">
        <f t="array" ref="C17">_xlfn.IFNA(LOOKUP(2,1/(AW17:CA17&lt;&gt;""),AW17:CA17),"")</f>
        <v>11.354799999999999</v>
      </c>
      <c r="D17" s="2">
        <f>(C17-$J17)/$J17</f>
        <v>0.1178294726272162</v>
      </c>
      <c r="E17" s="3">
        <f>(C17-AZ17)/AZ17</f>
        <v>3.2517368057323658E-2</v>
      </c>
      <c r="F17" s="3">
        <f>(L17-J17)/J17</f>
        <v>-3.1758532767599559E-2</v>
      </c>
      <c r="G17" s="3">
        <f>(O17-N17)/N17</f>
        <v>7.7561531122077365E-2</v>
      </c>
      <c r="H17" s="3">
        <f>(R17-Q17)/Q17</f>
        <v>-8.6888233925385736E-2</v>
      </c>
      <c r="I17" s="3">
        <f>(AV17-S17)/S17</f>
        <v>0.12859003783884379</v>
      </c>
      <c r="J17" s="1">
        <v>10.1579</v>
      </c>
      <c r="K17" s="1">
        <v>10.3131</v>
      </c>
      <c r="L17" s="1">
        <v>9.8353000000000002</v>
      </c>
      <c r="N17">
        <v>9.7470999999999997</v>
      </c>
      <c r="O17">
        <v>10.5031</v>
      </c>
      <c r="Q17" s="1">
        <v>10.314399999999999</v>
      </c>
      <c r="R17" s="1">
        <v>9.4182000000000006</v>
      </c>
      <c r="S17" s="1">
        <v>9.6725999999999992</v>
      </c>
      <c r="T17" s="1">
        <v>9.6692</v>
      </c>
      <c r="AV17">
        <v>10.916399999999999</v>
      </c>
      <c r="AZ17">
        <v>10.997199999999999</v>
      </c>
      <c r="BC17">
        <v>11.354799999999999</v>
      </c>
    </row>
    <row r="18" spans="2:55" ht="25.5" x14ac:dyDescent="0.2">
      <c r="B18" s="13" t="s">
        <v>74</v>
      </c>
      <c r="C18" s="10">
        <f t="array" ref="C18">_xlfn.IFNA(LOOKUP(2,1/(AW18:CA18&lt;&gt;""),AW18:CA18),"")</f>
        <v>11.95</v>
      </c>
      <c r="D18" s="2">
        <f>(C18-$J18)/$J18</f>
        <v>0.11577964519140974</v>
      </c>
      <c r="E18" s="3">
        <f>(C18-AZ18)/AZ18</f>
        <v>-3.3361134278566242E-3</v>
      </c>
      <c r="F18" s="3">
        <f>(L18-J18)/J18</f>
        <v>-1.400560224089639E-2</v>
      </c>
      <c r="G18" s="3">
        <f>(O18-N18)/N18</f>
        <v>7.0678127984718259E-2</v>
      </c>
      <c r="H18" s="3">
        <f>(R18-Q18)/Q18</f>
        <v>-5.4694621695533401E-2</v>
      </c>
      <c r="I18" s="3">
        <f>(AV18-S18)/S18</f>
        <v>0.12903225806451626</v>
      </c>
      <c r="J18" s="1">
        <v>10.71</v>
      </c>
      <c r="K18" s="1">
        <v>10.89</v>
      </c>
      <c r="L18" s="1">
        <v>10.56</v>
      </c>
      <c r="N18">
        <v>10.47</v>
      </c>
      <c r="O18">
        <v>11.21</v>
      </c>
      <c r="Q18" s="1">
        <v>10.97</v>
      </c>
      <c r="R18" s="1">
        <v>10.37</v>
      </c>
      <c r="S18" s="1">
        <v>10.54</v>
      </c>
      <c r="T18" s="1">
        <v>10.53</v>
      </c>
      <c r="AV18">
        <v>11.9</v>
      </c>
      <c r="AZ18">
        <v>11.99</v>
      </c>
      <c r="BC18">
        <v>11.95</v>
      </c>
    </row>
    <row r="19" spans="2:55" ht="25.5" x14ac:dyDescent="0.2">
      <c r="B19" s="13" t="s">
        <v>21</v>
      </c>
      <c r="C19" s="10">
        <f t="array" ref="C19">_xlfn.IFNA(LOOKUP(2,1/(AW19:CA19&lt;&gt;""),AW19:CA19),"")</f>
        <v>12.15</v>
      </c>
      <c r="D19" s="2">
        <f>(C19-$J19)/$J19</f>
        <v>0.11365719523373054</v>
      </c>
      <c r="E19" s="3">
        <f>(C19-AZ19)/AZ19</f>
        <v>3.2285471537808051E-2</v>
      </c>
      <c r="F19" s="3">
        <f>(L19-J19)/J19</f>
        <v>-3.7580201649862525E-2</v>
      </c>
      <c r="G19" s="3">
        <f>(O19-N19)/N19</f>
        <v>4.1666666666666637E-2</v>
      </c>
      <c r="H19" s="3">
        <f>(R19-Q19)/Q19</f>
        <v>-6.2322946175637411E-2</v>
      </c>
      <c r="I19" s="3">
        <f>(AV19-S19)/S19</f>
        <v>0.15148514851485159</v>
      </c>
      <c r="J19" s="1">
        <v>10.91</v>
      </c>
      <c r="K19" s="1">
        <v>10.97</v>
      </c>
      <c r="L19" s="1">
        <v>10.5</v>
      </c>
      <c r="N19">
        <v>10.32</v>
      </c>
      <c r="O19">
        <v>10.75</v>
      </c>
      <c r="Q19" s="1">
        <v>10.59</v>
      </c>
      <c r="R19" s="1">
        <v>9.93</v>
      </c>
      <c r="S19" s="1">
        <v>10.1</v>
      </c>
      <c r="T19" s="1">
        <v>10.029999999999999</v>
      </c>
      <c r="AV19">
        <v>11.63</v>
      </c>
      <c r="AZ19">
        <v>11.77</v>
      </c>
      <c r="BC19">
        <v>12.15</v>
      </c>
    </row>
    <row r="20" spans="2:55" x14ac:dyDescent="0.2">
      <c r="B20" s="13" t="s">
        <v>22</v>
      </c>
      <c r="C20" s="10">
        <f t="array" ref="C20">_xlfn.IFNA(LOOKUP(2,1/(AW20:CA20&lt;&gt;""),AW20:CA20),"")</f>
        <v>36.604599999999998</v>
      </c>
      <c r="D20" s="2">
        <f>(C20-$J20)/$J20</f>
        <v>0.10329258294753085</v>
      </c>
      <c r="E20" s="3">
        <f>(C20-AZ20)/AZ20</f>
        <v>4.3469584973645586E-2</v>
      </c>
      <c r="F20" s="3">
        <f>(L20-J20)/J20</f>
        <v>-5.4630232445987553E-2</v>
      </c>
      <c r="G20" s="3">
        <f>(O20-N20)/N20</f>
        <v>3.6176887760212148E-2</v>
      </c>
      <c r="H20" s="3">
        <f>(R20-Q20)/Q20</f>
        <v>-6.8798388019475978E-2</v>
      </c>
      <c r="I20" s="3">
        <f>(AV20-S20)/S20</f>
        <v>0.14505368808018826</v>
      </c>
      <c r="J20" s="1">
        <v>33.177599999999998</v>
      </c>
      <c r="K20" s="1">
        <v>33.532899999999998</v>
      </c>
      <c r="L20" s="1">
        <v>31.365100000000002</v>
      </c>
      <c r="N20">
        <v>30.950700000000001</v>
      </c>
      <c r="O20">
        <v>32.070399999999999</v>
      </c>
      <c r="Q20" s="1">
        <v>31.464400000000001</v>
      </c>
      <c r="R20" s="1">
        <v>29.299700000000001</v>
      </c>
      <c r="S20" s="1">
        <v>30.248799999999999</v>
      </c>
      <c r="T20" s="1">
        <v>30.472300000000001</v>
      </c>
      <c r="AV20">
        <v>34.636499999999998</v>
      </c>
      <c r="AZ20">
        <v>35.079700000000003</v>
      </c>
      <c r="BC20">
        <v>36.604599999999998</v>
      </c>
    </row>
    <row r="21" spans="2:55" x14ac:dyDescent="0.2">
      <c r="B21" s="13" t="s">
        <v>53</v>
      </c>
      <c r="C21" s="10">
        <f t="array" ref="C21">_xlfn.IFNA(LOOKUP(2,1/(AW21:CA21&lt;&gt;""),AW21:CA21),"")</f>
        <v>57.707299999999996</v>
      </c>
      <c r="D21" s="2">
        <f>(C21-$J21)/$J21</f>
        <v>0.10268796349551805</v>
      </c>
      <c r="E21" s="3">
        <f>(C21-AZ21)/AZ21</f>
        <v>1.996005514510929E-2</v>
      </c>
      <c r="F21" s="3">
        <f>(L21-J21)/J21</f>
        <v>-2.8937598049425545E-2</v>
      </c>
      <c r="G21" s="3">
        <f>(O21-N21)/N21</f>
        <v>6.1446535626340101E-2</v>
      </c>
      <c r="H21" s="3">
        <f>(R21-Q21)/Q21</f>
        <v>-9.0229120753856765E-2</v>
      </c>
      <c r="I21" s="3">
        <f>(AV21-S21)/S21</f>
        <v>0.14754837551313552</v>
      </c>
      <c r="J21" s="1">
        <v>52.333300000000001</v>
      </c>
      <c r="K21" s="1">
        <v>52.9514</v>
      </c>
      <c r="L21" s="1">
        <v>50.818899999999999</v>
      </c>
      <c r="N21">
        <v>50.2746</v>
      </c>
      <c r="O21">
        <v>53.363799999999998</v>
      </c>
      <c r="Q21" s="1">
        <v>52.636000000000003</v>
      </c>
      <c r="R21" s="1">
        <v>47.886699999999998</v>
      </c>
      <c r="S21" s="1">
        <v>49.0124</v>
      </c>
      <c r="T21" s="1">
        <v>48.975999999999999</v>
      </c>
      <c r="AV21">
        <v>56.244100000000003</v>
      </c>
      <c r="AZ21">
        <v>56.578000000000003</v>
      </c>
      <c r="BC21">
        <v>57.707299999999996</v>
      </c>
    </row>
    <row r="22" spans="2:55" ht="25.5" x14ac:dyDescent="0.2">
      <c r="B22" s="13" t="s">
        <v>51</v>
      </c>
      <c r="C22" s="10">
        <f t="array" ref="C22">_xlfn.IFNA(LOOKUP(2,1/(AW22:CA22&lt;&gt;""),AW22:CA22),"")</f>
        <v>197.31</v>
      </c>
      <c r="D22" s="2">
        <f>(C22-$J22)/$J22</f>
        <v>0.10087596942476156</v>
      </c>
      <c r="E22" s="3">
        <f>(C22-AZ22)/AZ22</f>
        <v>1.0188408765103466E-2</v>
      </c>
      <c r="F22" s="3">
        <f>(L22-J22)/J22</f>
        <v>-1.4841265413156262E-2</v>
      </c>
      <c r="G22" s="3">
        <f>(O22-N22)/N22</f>
        <v>6.7202920873980276E-2</v>
      </c>
      <c r="H22" s="3">
        <f>(R22-Q22)/Q22</f>
        <v>-6.639500135832653E-2</v>
      </c>
      <c r="I22" s="3">
        <f>(AV22-S22)/S22</f>
        <v>0.10541586073500968</v>
      </c>
      <c r="J22" s="1">
        <v>179.23</v>
      </c>
      <c r="K22" s="1">
        <v>181.42</v>
      </c>
      <c r="L22" s="1">
        <v>176.57</v>
      </c>
      <c r="N22">
        <v>175.29</v>
      </c>
      <c r="O22">
        <v>187.07</v>
      </c>
      <c r="Q22" s="1">
        <v>184.05</v>
      </c>
      <c r="R22" s="1">
        <v>171.83</v>
      </c>
      <c r="S22" s="1">
        <v>175.78</v>
      </c>
      <c r="T22" s="1">
        <v>175.87</v>
      </c>
      <c r="AV22">
        <v>194.31</v>
      </c>
      <c r="AZ22">
        <v>195.32</v>
      </c>
      <c r="BC22">
        <v>197.31</v>
      </c>
    </row>
    <row r="23" spans="2:55" ht="25.5" x14ac:dyDescent="0.2">
      <c r="B23" s="13" t="s">
        <v>73</v>
      </c>
      <c r="C23" s="10">
        <f t="array" ref="C23">_xlfn.IFNA(LOOKUP(2,1/(AW23:CA23&lt;&gt;""),AW23:CA23),"")</f>
        <v>125.69499999999999</v>
      </c>
      <c r="D23" s="2">
        <f>(C23-$K23)/$K23</f>
        <v>9.9895868882296804E-2</v>
      </c>
      <c r="E23" s="3">
        <f>(C23-AZ23)/AZ23</f>
        <v>8.2011593095097164E-4</v>
      </c>
      <c r="F23" s="3">
        <f>(L23-K23)/K23</f>
        <v>3.7644711626808137E-2</v>
      </c>
      <c r="G23" s="3">
        <f>(O23-N23)/N23</f>
        <v>6.0562581620730006E-2</v>
      </c>
      <c r="H23" s="3">
        <f>(R23-Q23)/Q23</f>
        <v>-4.9457608925463983E-2</v>
      </c>
      <c r="I23" s="3">
        <f>(AV23-S23)/S23</f>
        <v>6.2532343584305372E-2</v>
      </c>
      <c r="J23" s="1"/>
      <c r="K23" s="1">
        <v>114.279</v>
      </c>
      <c r="L23" s="1">
        <v>118.581</v>
      </c>
      <c r="N23">
        <v>116.392</v>
      </c>
      <c r="O23">
        <v>123.441</v>
      </c>
      <c r="Q23" s="1">
        <v>122.974</v>
      </c>
      <c r="R23" s="1">
        <v>116.892</v>
      </c>
      <c r="S23" s="1">
        <v>117.875</v>
      </c>
      <c r="T23" s="1">
        <v>117.672</v>
      </c>
      <c r="AV23">
        <v>125.246</v>
      </c>
      <c r="AZ23">
        <v>125.592</v>
      </c>
      <c r="BC23">
        <v>125.69499999999999</v>
      </c>
    </row>
    <row r="24" spans="2:55" ht="25.5" x14ac:dyDescent="0.2">
      <c r="B24" s="13" t="s">
        <v>57</v>
      </c>
      <c r="C24" s="10">
        <f t="array" ref="C24">_xlfn.IFNA(LOOKUP(2,1/(AW24:CA24&lt;&gt;""),AW24:CA24),"")</f>
        <v>80.45</v>
      </c>
      <c r="D24" s="2">
        <f>(C24-$J24)/$J24</f>
        <v>9.9644614543466459E-2</v>
      </c>
      <c r="E24" s="3">
        <f>(C24-AZ24)/AZ24</f>
        <v>1.5526382226710477E-2</v>
      </c>
      <c r="F24" s="3">
        <f>(L24-J24)/J24</f>
        <v>-3.9092400218698739E-2</v>
      </c>
      <c r="G24" s="3">
        <f>(O24-N24)/N24</f>
        <v>4.6441409058231548E-2</v>
      </c>
      <c r="H24" s="3">
        <f>(R24-Q24)/Q24</f>
        <v>-9.170977212358454E-2</v>
      </c>
      <c r="I24" s="3">
        <f>(AV24-S24)/S24</f>
        <v>0.16007700281356438</v>
      </c>
      <c r="J24" s="1">
        <v>73.16</v>
      </c>
      <c r="K24" s="1">
        <v>73.67</v>
      </c>
      <c r="L24" s="1">
        <v>70.3</v>
      </c>
      <c r="N24">
        <v>69.55</v>
      </c>
      <c r="O24">
        <v>72.78</v>
      </c>
      <c r="Q24" s="1">
        <v>71.53</v>
      </c>
      <c r="R24" s="1">
        <v>64.97</v>
      </c>
      <c r="S24" s="1">
        <v>67.53</v>
      </c>
      <c r="T24" s="1">
        <v>67.69</v>
      </c>
      <c r="AV24">
        <v>78.34</v>
      </c>
      <c r="AZ24">
        <v>79.22</v>
      </c>
      <c r="BC24">
        <v>80.45</v>
      </c>
    </row>
    <row r="25" spans="2:55" ht="25.5" x14ac:dyDescent="0.2">
      <c r="B25" s="13" t="s">
        <v>112</v>
      </c>
      <c r="C25" s="10">
        <f t="array" ref="C25">_xlfn.IFNA(LOOKUP(2,1/(AW25:CA25&lt;&gt;""),AW25:CA25),"")</f>
        <v>14.01</v>
      </c>
      <c r="D25" s="2">
        <f>(C25-$J25)/$J25</f>
        <v>9.7962382445141064E-2</v>
      </c>
      <c r="E25" s="3">
        <f>(C25-AZ25)/AZ25</f>
        <v>2.9390154298310094E-2</v>
      </c>
      <c r="F25" s="3">
        <f>(L25-J25)/J25</f>
        <v>-3.7617554858934206E-2</v>
      </c>
      <c r="G25" s="3">
        <f>(O25-N25)/N25</f>
        <v>6.1525840853158327E-2</v>
      </c>
      <c r="H25" s="3">
        <f>(R25-Q25)/Q25</f>
        <v>-8.5490196078431363E-2</v>
      </c>
      <c r="I25" s="3">
        <f>(AV25-S25)/S25</f>
        <v>0.12227805695142387</v>
      </c>
      <c r="J25" s="1">
        <v>12.76</v>
      </c>
      <c r="K25" s="1">
        <v>12.84</v>
      </c>
      <c r="L25" s="1">
        <v>12.28</v>
      </c>
      <c r="N25">
        <v>12.19</v>
      </c>
      <c r="O25">
        <v>12.94</v>
      </c>
      <c r="Q25" s="1">
        <v>12.75</v>
      </c>
      <c r="R25" s="1">
        <v>11.66</v>
      </c>
      <c r="S25" s="1">
        <v>11.94</v>
      </c>
      <c r="T25" s="1">
        <v>11.9</v>
      </c>
      <c r="AV25">
        <v>13.4</v>
      </c>
      <c r="AZ25">
        <v>13.61</v>
      </c>
      <c r="BC25">
        <v>14.01</v>
      </c>
    </row>
    <row r="26" spans="2:55" x14ac:dyDescent="0.2">
      <c r="B26" s="13" t="s">
        <v>42</v>
      </c>
      <c r="C26" s="10">
        <f t="array" ref="C26">_xlfn.IFNA(LOOKUP(2,1/(AW26:CA26&lt;&gt;""),AW26:CA26),"")</f>
        <v>10.775600000000001</v>
      </c>
      <c r="D26" s="2">
        <f>(C26-$J26)/$J26</f>
        <v>9.788179196935283E-2</v>
      </c>
      <c r="E26" s="3">
        <f>(C26-AZ26)/AZ26</f>
        <v>5.5334652224159335E-2</v>
      </c>
      <c r="F26" s="3">
        <f>(L26-J26)/J26</f>
        <v>-5.5588951492119155E-2</v>
      </c>
      <c r="G26" s="3">
        <f>(O26-N26)/N26</f>
        <v>4.6443611254659165E-2</v>
      </c>
      <c r="H26" s="3">
        <f>(R26-Q26)/Q26</f>
        <v>-9.0274496327161835E-2</v>
      </c>
      <c r="I26" s="3">
        <f>(AV26-S26)/S26</f>
        <v>0.15408412296481311</v>
      </c>
      <c r="J26" s="1">
        <v>9.8148999999999997</v>
      </c>
      <c r="K26" s="1">
        <v>9.9156999999999993</v>
      </c>
      <c r="L26" s="1">
        <v>9.2692999999999994</v>
      </c>
      <c r="N26">
        <v>9.0949000000000009</v>
      </c>
      <c r="O26">
        <v>9.5173000000000005</v>
      </c>
      <c r="Q26" s="1">
        <v>9.3116000000000003</v>
      </c>
      <c r="R26" s="1">
        <v>8.4710000000000001</v>
      </c>
      <c r="S26" s="1">
        <v>8.7277000000000005</v>
      </c>
      <c r="T26" s="1">
        <v>8.6792999999999996</v>
      </c>
      <c r="AV26">
        <v>10.0725</v>
      </c>
      <c r="AZ26">
        <v>10.210599999999999</v>
      </c>
      <c r="BC26">
        <v>10.775600000000001</v>
      </c>
    </row>
    <row r="27" spans="2:55" ht="25.5" x14ac:dyDescent="0.2">
      <c r="B27" s="13" t="s">
        <v>111</v>
      </c>
      <c r="C27" s="10">
        <f t="array" ref="C27">_xlfn.IFNA(LOOKUP(2,1/(AW27:CA27&lt;&gt;""),AW27:CA27),"")</f>
        <v>11.348100000000001</v>
      </c>
      <c r="D27" s="2">
        <f>(C27-$J27)/$J27</f>
        <v>9.5175595209372812E-2</v>
      </c>
      <c r="E27" s="3">
        <f>(C27-AZ27)/AZ27</f>
        <v>2.7377169396235679E-2</v>
      </c>
      <c r="F27" s="3">
        <f>(L27-J27)/J27</f>
        <v>-2.1212325924782241E-2</v>
      </c>
      <c r="G27" s="3">
        <f>(O27-N27)/N27</f>
        <v>6.5549811095645255E-2</v>
      </c>
      <c r="H27" s="3">
        <f>(R27-Q27)/Q27</f>
        <v>-7.8886464325861327E-2</v>
      </c>
      <c r="I27" s="3">
        <f>(AV27-S27)/S27</f>
        <v>0.10121416696055219</v>
      </c>
      <c r="J27" s="1">
        <v>10.3619</v>
      </c>
      <c r="K27" s="1">
        <v>10.4998</v>
      </c>
      <c r="L27" s="1">
        <v>10.142099999999999</v>
      </c>
      <c r="N27">
        <v>10.058</v>
      </c>
      <c r="O27">
        <v>10.7173</v>
      </c>
      <c r="Q27" s="1">
        <v>10.5861</v>
      </c>
      <c r="R27" s="1">
        <v>9.7509999999999994</v>
      </c>
      <c r="S27" s="1">
        <v>9.9245000000000001</v>
      </c>
      <c r="T27" s="1">
        <v>9.9110999999999994</v>
      </c>
      <c r="AV27">
        <v>10.929</v>
      </c>
      <c r="AZ27">
        <v>11.0457</v>
      </c>
      <c r="BC27">
        <v>11.348100000000001</v>
      </c>
    </row>
    <row r="28" spans="2:55" ht="25.5" x14ac:dyDescent="0.2">
      <c r="B28" s="14" t="s">
        <v>8</v>
      </c>
      <c r="C28" s="10">
        <f t="array" ref="C28">_xlfn.IFNA(LOOKUP(2,1/(AW28:CA28&lt;&gt;""),AW28:CA28),"")</f>
        <v>63.619</v>
      </c>
      <c r="D28" s="2">
        <f>(C28-J28)/J28</f>
        <v>9.4801075888700875E-2</v>
      </c>
      <c r="E28" s="3">
        <f>(C28-AZ28)/AZ28</f>
        <v>2.7876872568407728E-2</v>
      </c>
      <c r="F28" s="3">
        <f>(L28-J28)/J28</f>
        <v>-3.5202142140522905E-2</v>
      </c>
      <c r="G28" s="3">
        <f>(O28-N28)/N28</f>
        <v>2.2469727977779411E-2</v>
      </c>
      <c r="H28" s="3">
        <f>(R28-Q28)/Q28</f>
        <v>-4.2424143727483765E-2</v>
      </c>
      <c r="I28" s="3">
        <f>(AV28-S28)/S28</f>
        <v>0.13905950766222266</v>
      </c>
      <c r="J28">
        <v>58.110100000000003</v>
      </c>
      <c r="K28" s="1">
        <v>58.568800000000003</v>
      </c>
      <c r="L28" s="1">
        <v>56.064500000000002</v>
      </c>
      <c r="N28" s="1">
        <v>54.580100000000002</v>
      </c>
      <c r="O28" s="1">
        <v>55.8065</v>
      </c>
      <c r="Q28" s="1">
        <v>55.265700000000002</v>
      </c>
      <c r="R28" s="1">
        <v>52.921100000000003</v>
      </c>
      <c r="S28" s="1">
        <v>54.409799999999997</v>
      </c>
      <c r="T28" s="1">
        <v>54.133600000000001</v>
      </c>
      <c r="AV28">
        <v>61.975999999999999</v>
      </c>
      <c r="AZ28">
        <v>61.893599999999999</v>
      </c>
      <c r="BC28">
        <v>63.619</v>
      </c>
    </row>
    <row r="29" spans="2:55" ht="25.5" x14ac:dyDescent="0.2">
      <c r="B29" s="13" t="s">
        <v>52</v>
      </c>
      <c r="C29" s="10">
        <f t="array" ref="C29">_xlfn.IFNA(LOOKUP(2,1/(AW29:CA29&lt;&gt;""),AW29:CA29),"")</f>
        <v>115.1</v>
      </c>
      <c r="D29" s="2">
        <f>(C29-$J29)/$J29</f>
        <v>9.369061193462562E-2</v>
      </c>
      <c r="E29" s="3">
        <f>(C29-AZ29)/AZ29</f>
        <v>7.8809106830121847E-3</v>
      </c>
      <c r="F29" s="3">
        <f>(L29-J29)/J29</f>
        <v>-2.4040288863549992E-2</v>
      </c>
      <c r="G29" s="3">
        <f>(O29-N29)/N29</f>
        <v>5.6794733221971122E-2</v>
      </c>
      <c r="H29" s="3">
        <f>(R29-Q29)/Q29</f>
        <v>-8.5451441578148629E-2</v>
      </c>
      <c r="I29" s="3">
        <f>(AV29-S29)/S29</f>
        <v>0.14253920080930707</v>
      </c>
      <c r="J29" s="1">
        <v>105.24</v>
      </c>
      <c r="K29" s="1">
        <v>106.12</v>
      </c>
      <c r="L29" s="1">
        <v>102.71</v>
      </c>
      <c r="N29">
        <v>101.77</v>
      </c>
      <c r="O29">
        <v>107.55</v>
      </c>
      <c r="Q29" s="1">
        <v>105.44</v>
      </c>
      <c r="R29" s="1">
        <v>96.43</v>
      </c>
      <c r="S29" s="1">
        <v>98.85</v>
      </c>
      <c r="T29" s="1">
        <v>98.83</v>
      </c>
      <c r="AV29">
        <v>112.94</v>
      </c>
      <c r="AZ29">
        <v>114.2</v>
      </c>
      <c r="BC29">
        <v>115.1</v>
      </c>
    </row>
    <row r="30" spans="2:55" ht="25.5" x14ac:dyDescent="0.2">
      <c r="B30" s="13" t="s">
        <v>24</v>
      </c>
      <c r="C30" s="10">
        <f t="array" ref="C30">_xlfn.IFNA(LOOKUP(2,1/(AW30:CA30&lt;&gt;""),AW30:CA30),"")</f>
        <v>105.4748</v>
      </c>
      <c r="D30" s="2">
        <f>(C30-$J30)/$J30</f>
        <v>8.9100404973679867E-2</v>
      </c>
      <c r="E30" s="3">
        <f>(C30-AZ30)/AZ30</f>
        <v>2.2557878000542965E-2</v>
      </c>
      <c r="F30" s="3">
        <f>(L30-J30)/J30</f>
        <v>-3.0560953598400737E-2</v>
      </c>
      <c r="G30" s="3">
        <f>(O30-N30)/N30</f>
        <v>4.0339863785784462E-2</v>
      </c>
      <c r="H30" s="3">
        <f>(R30-Q30)/Q30</f>
        <v>-7.8700146586500347E-2</v>
      </c>
      <c r="I30" s="3">
        <f>(AV30-S30)/S30</f>
        <v>0.13773495604382091</v>
      </c>
      <c r="J30" s="1">
        <v>96.845799999999997</v>
      </c>
      <c r="K30" s="1">
        <v>97.838399999999993</v>
      </c>
      <c r="L30" s="1">
        <v>93.886099999999999</v>
      </c>
      <c r="N30">
        <v>92.2958</v>
      </c>
      <c r="O30">
        <v>96.019000000000005</v>
      </c>
      <c r="Q30" s="1">
        <v>94.619900000000001</v>
      </c>
      <c r="R30" s="1">
        <v>87.173299999999998</v>
      </c>
      <c r="S30" s="1">
        <v>89.373099999999994</v>
      </c>
      <c r="T30" s="1">
        <v>89.246600000000001</v>
      </c>
      <c r="AV30">
        <v>101.6829</v>
      </c>
      <c r="AZ30">
        <v>103.148</v>
      </c>
      <c r="BC30">
        <v>105.4748</v>
      </c>
    </row>
    <row r="31" spans="2:55" x14ac:dyDescent="0.2">
      <c r="B31" s="13" t="s">
        <v>29</v>
      </c>
      <c r="C31" s="10">
        <f t="array" ref="C31">_xlfn.IFNA(LOOKUP(2,1/(AW31:CA31&lt;&gt;""),AW31:CA31),"")</f>
        <v>34.090699999999998</v>
      </c>
      <c r="D31" s="2">
        <f>(C31-$J31)/$J31</f>
        <v>8.8940564678674838E-2</v>
      </c>
      <c r="E31" s="3">
        <f>(C31-AZ31)/AZ31</f>
        <v>3.1538591883419391E-2</v>
      </c>
      <c r="F31" s="3">
        <f>(L31-J31)/J31</f>
        <v>-4.2010713498561017E-2</v>
      </c>
      <c r="G31" s="3">
        <f>(O31-N31)/N31</f>
        <v>3.1000329357277957E-2</v>
      </c>
      <c r="H31" s="3">
        <f>(R31-Q31)/Q31</f>
        <v>-6.5816365783250119E-2</v>
      </c>
      <c r="I31" s="3">
        <f>(AV31-S31)/S31</f>
        <v>0.13704514678186894</v>
      </c>
      <c r="J31" s="1">
        <v>31.3063</v>
      </c>
      <c r="K31" s="1">
        <v>31.6129</v>
      </c>
      <c r="L31" s="1">
        <v>29.991099999999999</v>
      </c>
      <c r="N31">
        <v>29.4513</v>
      </c>
      <c r="O31">
        <v>30.3643</v>
      </c>
      <c r="Q31" s="1">
        <v>29.895299999999999</v>
      </c>
      <c r="R31" s="1">
        <v>27.927700000000002</v>
      </c>
      <c r="S31" s="1">
        <v>28.726299999999998</v>
      </c>
      <c r="T31" s="1">
        <v>28.471399999999999</v>
      </c>
      <c r="AV31">
        <v>32.6631</v>
      </c>
      <c r="AZ31">
        <v>33.048400000000001</v>
      </c>
      <c r="BC31">
        <v>34.090699999999998</v>
      </c>
    </row>
    <row r="32" spans="2:55" ht="25.5" x14ac:dyDescent="0.2">
      <c r="B32" s="13" t="s">
        <v>77</v>
      </c>
      <c r="C32" s="10">
        <f t="array" ref="C32">_xlfn.IFNA(LOOKUP(2,1/(AW32:CA32&lt;&gt;""),AW32:CA32),"")</f>
        <v>12.747199999999999</v>
      </c>
      <c r="D32" s="2">
        <f>(C32-$J32)/$J32</f>
        <v>8.8713327924157537E-2</v>
      </c>
      <c r="E32" s="3">
        <f>(C32-AZ32)/AZ32</f>
        <v>2.6679640295666768E-4</v>
      </c>
      <c r="F32" s="3">
        <f>(L32-J32)/J32</f>
        <v>-6.3543579450826906E-3</v>
      </c>
      <c r="G32" s="3">
        <f>(O32-N32)/N32</f>
        <v>5.9347617358810424E-2</v>
      </c>
      <c r="H32" s="3">
        <f>(R32-Q32)/Q32</f>
        <v>-5.9308196011130181E-2</v>
      </c>
      <c r="I32" s="3">
        <f>(AV32-S32)/S32</f>
        <v>0.11011740844676396</v>
      </c>
      <c r="J32" s="1">
        <v>11.708500000000001</v>
      </c>
      <c r="K32" s="1">
        <v>11.8971</v>
      </c>
      <c r="L32" s="1">
        <v>11.6341</v>
      </c>
      <c r="N32">
        <v>11.560700000000001</v>
      </c>
      <c r="O32">
        <v>12.2468</v>
      </c>
      <c r="Q32" s="1">
        <v>12.003399999999999</v>
      </c>
      <c r="R32" s="1">
        <v>11.291499999999999</v>
      </c>
      <c r="S32" s="1">
        <v>11.438700000000001</v>
      </c>
      <c r="T32" s="1">
        <v>11.4147</v>
      </c>
      <c r="AV32">
        <v>12.6983</v>
      </c>
      <c r="AZ32">
        <v>12.7438</v>
      </c>
      <c r="BC32">
        <v>12.747199999999999</v>
      </c>
    </row>
    <row r="33" spans="2:55" ht="25.5" x14ac:dyDescent="0.2">
      <c r="B33" s="13" t="s">
        <v>110</v>
      </c>
      <c r="C33" s="10">
        <f t="array" ref="C33">_xlfn.IFNA(LOOKUP(2,1/(AW33:CA33&lt;&gt;""),AW33:CA33),"")</f>
        <v>40.24</v>
      </c>
      <c r="D33" s="2">
        <f>(C33-$J33)/$J33</f>
        <v>8.7567567567567617E-2</v>
      </c>
      <c r="E33" s="3">
        <f>(C33-AZ33)/AZ33</f>
        <v>2.028397565922932E-2</v>
      </c>
      <c r="F33" s="3">
        <f>(L33-J33)/J33</f>
        <v>-4.0540540540540543E-2</v>
      </c>
      <c r="G33" s="3">
        <f>(O33-N33)/N33</f>
        <v>6.416808631459392E-2</v>
      </c>
      <c r="H33" s="3">
        <f>(R33-Q33)/Q33</f>
        <v>-7.0094722598105633E-2</v>
      </c>
      <c r="I33" s="3">
        <f>(AV33-S33)/S33</f>
        <v>0.11576846307385236</v>
      </c>
      <c r="J33" s="1">
        <v>37</v>
      </c>
      <c r="K33" s="1">
        <v>37.409999999999997</v>
      </c>
      <c r="L33" s="1">
        <v>35.5</v>
      </c>
      <c r="N33">
        <v>35.22</v>
      </c>
      <c r="O33">
        <v>37.479999999999997</v>
      </c>
      <c r="Q33" s="1">
        <v>36.950000000000003</v>
      </c>
      <c r="R33" s="1">
        <v>34.36</v>
      </c>
      <c r="S33" s="1">
        <v>35.07</v>
      </c>
      <c r="T33" s="1">
        <v>34.909999999999997</v>
      </c>
      <c r="AV33">
        <v>39.130000000000003</v>
      </c>
      <c r="AZ33">
        <v>39.44</v>
      </c>
      <c r="BC33">
        <v>40.24</v>
      </c>
    </row>
    <row r="34" spans="2:55" x14ac:dyDescent="0.2">
      <c r="B34" s="13" t="s">
        <v>55</v>
      </c>
      <c r="C34" s="10">
        <f t="array" ref="C34">_xlfn.IFNA(LOOKUP(2,1/(AW34:CA34&lt;&gt;""),AW34:CA34),"")</f>
        <v>198.3724</v>
      </c>
      <c r="D34" s="2">
        <f>(C34-$J34)/$J34</f>
        <v>8.5347898569319E-2</v>
      </c>
      <c r="E34" s="3">
        <f>(C34-AZ34)/AZ34</f>
        <v>1.5241488620701894E-2</v>
      </c>
      <c r="F34" s="3">
        <f>(L34-J34)/J34</f>
        <v>-3.8133073192936975E-2</v>
      </c>
      <c r="G34" s="3">
        <f>(O34-N34)/N34</f>
        <v>6.1424426863179005E-2</v>
      </c>
      <c r="H34" s="3">
        <f>(R34-Q34)/Q34</f>
        <v>-8.4652598811234284E-2</v>
      </c>
      <c r="I34" s="3">
        <f>(AV34-S34)/S34</f>
        <v>0.13939512512478291</v>
      </c>
      <c r="J34" s="1">
        <v>182.7731</v>
      </c>
      <c r="K34" s="1">
        <v>184.6585</v>
      </c>
      <c r="L34" s="1">
        <v>175.80340000000001</v>
      </c>
      <c r="N34">
        <v>174.23849999999999</v>
      </c>
      <c r="O34">
        <v>184.941</v>
      </c>
      <c r="Q34" s="1">
        <v>180.47290000000001</v>
      </c>
      <c r="R34" s="1">
        <v>165.19540000000001</v>
      </c>
      <c r="S34" s="1">
        <v>169.69460000000001</v>
      </c>
      <c r="T34" s="1">
        <v>169.7501</v>
      </c>
      <c r="AV34">
        <v>193.3492</v>
      </c>
      <c r="AZ34">
        <v>195.39429999999999</v>
      </c>
      <c r="BC34">
        <v>198.3724</v>
      </c>
    </row>
    <row r="35" spans="2:55" x14ac:dyDescent="0.2">
      <c r="B35" s="13" t="s">
        <v>58</v>
      </c>
      <c r="C35" s="10">
        <f t="array" ref="C35">_xlfn.IFNA(LOOKUP(2,1/(AW35:CA35&lt;&gt;""),AW35:CA35),"")</f>
        <v>61.722299999999997</v>
      </c>
      <c r="D35" s="2">
        <f>(C35-$J35)/$J35</f>
        <v>8.333962274085939E-2</v>
      </c>
      <c r="E35" s="3">
        <f>(C35-AZ35)/AZ35</f>
        <v>2.3525958649234773E-2</v>
      </c>
      <c r="F35" s="3">
        <f>(L35-J35)/J35</f>
        <v>-3.6372667580532182E-2</v>
      </c>
      <c r="G35" s="3">
        <f>(O35-N35)/N35</f>
        <v>6.9289417953460608E-2</v>
      </c>
      <c r="H35" s="3">
        <f>(R35-Q35)/Q35</f>
        <v>-8.5877675240526238E-2</v>
      </c>
      <c r="I35" s="3">
        <f>(AV35-S35)/S35</f>
        <v>0.11846404770845829</v>
      </c>
      <c r="J35" s="1">
        <v>56.9741</v>
      </c>
      <c r="K35" s="1">
        <v>57.827199999999998</v>
      </c>
      <c r="L35" s="1">
        <v>54.901800000000001</v>
      </c>
      <c r="N35">
        <v>54.444099999999999</v>
      </c>
      <c r="O35">
        <v>58.216500000000003</v>
      </c>
      <c r="Q35" s="1">
        <v>57.041600000000003</v>
      </c>
      <c r="R35" s="1">
        <v>52.143000000000001</v>
      </c>
      <c r="S35" s="1">
        <v>53.525100000000002</v>
      </c>
      <c r="T35" s="1">
        <v>53.779899999999998</v>
      </c>
      <c r="AV35">
        <v>59.865900000000003</v>
      </c>
      <c r="AZ35">
        <v>60.303600000000003</v>
      </c>
      <c r="BC35">
        <v>61.722299999999997</v>
      </c>
    </row>
    <row r="36" spans="2:55" x14ac:dyDescent="0.2">
      <c r="B36" s="13" t="s">
        <v>75</v>
      </c>
      <c r="C36" s="10">
        <f t="array" ref="C36">_xlfn.IFNA(LOOKUP(2,1/(AW36:CA36&lt;&gt;""),AW36:CA36),"")</f>
        <v>11.215</v>
      </c>
      <c r="D36" s="2">
        <f>(C36-$J36)/$J36</f>
        <v>8.2528957528957572E-2</v>
      </c>
      <c r="E36" s="3">
        <f>(C36-AZ36)/AZ36</f>
        <v>7.0036814222860198E-3</v>
      </c>
      <c r="F36" s="3">
        <f>(L36-J36)/J36</f>
        <v>-2.9826254826254759E-2</v>
      </c>
      <c r="G36" s="3">
        <f>(O36-N36)/N36</f>
        <v>6.8607897885919311E-2</v>
      </c>
      <c r="H36" s="3">
        <f>(R36-Q36)/Q36</f>
        <v>-6.9363610342524598E-2</v>
      </c>
      <c r="I36" s="3">
        <f>(AV36-S36)/S36</f>
        <v>0.11742118027485843</v>
      </c>
      <c r="J36" s="1">
        <v>10.36</v>
      </c>
      <c r="K36" s="1">
        <v>10.486000000000001</v>
      </c>
      <c r="L36" s="1">
        <v>10.051</v>
      </c>
      <c r="N36">
        <v>10.028</v>
      </c>
      <c r="O36">
        <v>10.715999999999999</v>
      </c>
      <c r="Q36" s="1">
        <v>10.481</v>
      </c>
      <c r="R36" s="1">
        <v>9.7539999999999996</v>
      </c>
      <c r="S36" s="1">
        <v>9.8960000000000008</v>
      </c>
      <c r="T36" s="1">
        <v>9.8680000000000003</v>
      </c>
      <c r="AV36">
        <v>11.058</v>
      </c>
      <c r="AZ36">
        <v>11.137</v>
      </c>
      <c r="BC36">
        <v>11.215</v>
      </c>
    </row>
    <row r="37" spans="2:55" ht="25.5" x14ac:dyDescent="0.2">
      <c r="B37" s="13" t="s">
        <v>61</v>
      </c>
      <c r="C37" s="10">
        <f t="array" ref="C37">_xlfn.IFNA(LOOKUP(2,1/(AW37:CA37&lt;&gt;""),AW37:CA37),"")</f>
        <v>10.965</v>
      </c>
      <c r="D37" s="2">
        <f>(C37-$J37)/$J37</f>
        <v>8.0827994085756555E-2</v>
      </c>
      <c r="E37" s="3">
        <f>(C37-AZ37)/AZ37</f>
        <v>1.0133578995854393E-2</v>
      </c>
      <c r="F37" s="3">
        <f>(L37-J37)/J37</f>
        <v>-2.5924100542138975E-2</v>
      </c>
      <c r="G37" s="3">
        <f>(O37-N37)/N37</f>
        <v>5.6665307786384116E-2</v>
      </c>
      <c r="H37" s="3">
        <f>(R37-Q37)/Q37</f>
        <v>-9.4285714285714362E-2</v>
      </c>
      <c r="I37" s="3">
        <f>(AV37-S37)/S37</f>
        <v>0.1332134165696752</v>
      </c>
      <c r="J37" s="1">
        <v>10.145</v>
      </c>
      <c r="K37" s="1">
        <v>10.266</v>
      </c>
      <c r="L37" s="1">
        <v>9.8819999999999997</v>
      </c>
      <c r="N37">
        <v>9.8119999999999994</v>
      </c>
      <c r="O37">
        <v>10.368</v>
      </c>
      <c r="Q37" s="1">
        <v>10.15</v>
      </c>
      <c r="R37" s="1">
        <v>9.1929999999999996</v>
      </c>
      <c r="S37" s="1">
        <v>9.4510000000000005</v>
      </c>
      <c r="T37" s="1">
        <v>9.4580000000000002</v>
      </c>
      <c r="AV37">
        <v>10.71</v>
      </c>
      <c r="AZ37">
        <v>10.855</v>
      </c>
      <c r="BC37">
        <v>10.965</v>
      </c>
    </row>
    <row r="38" spans="2:55" x14ac:dyDescent="0.2">
      <c r="B38" s="13" t="s">
        <v>76</v>
      </c>
      <c r="C38" s="10">
        <f t="array" ref="C38">_xlfn.IFNA(LOOKUP(2,1/(AW38:CA38&lt;&gt;""),AW38:CA38),"")</f>
        <v>59.372599999999998</v>
      </c>
      <c r="D38" s="2">
        <f>(C38-$J38)/$J38</f>
        <v>8.0720084458844446E-2</v>
      </c>
      <c r="E38" s="3">
        <f>(C38-AZ38)/AZ38</f>
        <v>1.1546147961747981E-2</v>
      </c>
      <c r="F38" s="3">
        <f>(L38-J38)/J38</f>
        <v>-1.6387564163238586E-2</v>
      </c>
      <c r="G38" s="3">
        <f>(O38-N38)/N38</f>
        <v>4.9475913756585013E-2</v>
      </c>
      <c r="H38" s="3">
        <f>(R38-Q38)/Q38</f>
        <v>-7.5151198995810464E-2</v>
      </c>
      <c r="I38" s="3">
        <f>(AV38-S38)/S38</f>
        <v>0.11364817866343876</v>
      </c>
      <c r="J38" s="1">
        <v>54.938000000000002</v>
      </c>
      <c r="K38" s="1">
        <v>55.5732</v>
      </c>
      <c r="L38" s="1">
        <v>54.037700000000001</v>
      </c>
      <c r="N38">
        <v>53.3977</v>
      </c>
      <c r="O38">
        <v>56.0396</v>
      </c>
      <c r="Q38" s="1">
        <v>55.2087</v>
      </c>
      <c r="R38" s="1">
        <v>51.059699999999999</v>
      </c>
      <c r="S38" s="1">
        <v>52.129300000000001</v>
      </c>
      <c r="T38" s="1">
        <v>52.089500000000001</v>
      </c>
      <c r="AV38">
        <v>58.053699999999999</v>
      </c>
      <c r="AZ38">
        <v>58.694899999999997</v>
      </c>
      <c r="BC38">
        <v>59.372599999999998</v>
      </c>
    </row>
    <row r="39" spans="2:55" x14ac:dyDescent="0.2">
      <c r="B39" s="13" t="s">
        <v>56</v>
      </c>
      <c r="C39" s="10">
        <f t="array" ref="C39">_xlfn.IFNA(LOOKUP(2,1/(AW39:CA39&lt;&gt;""),AW39:CA39),"")</f>
        <v>13.168799999999999</v>
      </c>
      <c r="D39" s="2">
        <f>(C39-$J39)/$J39</f>
        <v>8.0685399159663718E-2</v>
      </c>
      <c r="E39" s="3">
        <f>(C39-AZ39)/AZ39</f>
        <v>2.1827352085354017E-2</v>
      </c>
      <c r="F39" s="3">
        <f>(L39-J39)/J39</f>
        <v>-2.5891215861344546E-2</v>
      </c>
      <c r="G39" s="3">
        <f>(O39-N39)/N39</f>
        <v>3.9795788130185125E-2</v>
      </c>
      <c r="H39" s="3">
        <f>(R39-Q39)/Q39</f>
        <v>-5.0023698061748105E-2</v>
      </c>
      <c r="I39" s="3">
        <f>(AV39-S39)/S39</f>
        <v>0.10868403358446974</v>
      </c>
      <c r="J39" s="1">
        <v>12.185600000000001</v>
      </c>
      <c r="K39" s="1">
        <v>12.298500000000001</v>
      </c>
      <c r="L39" s="1">
        <v>11.870100000000001</v>
      </c>
      <c r="N39">
        <v>11.7525</v>
      </c>
      <c r="O39">
        <v>12.2202</v>
      </c>
      <c r="Q39" s="1">
        <v>12.026300000000001</v>
      </c>
      <c r="R39" s="1">
        <v>11.4247</v>
      </c>
      <c r="S39" s="1">
        <v>11.6006</v>
      </c>
      <c r="T39" s="1">
        <v>11.5616</v>
      </c>
      <c r="AV39">
        <v>12.8614</v>
      </c>
      <c r="AZ39">
        <v>12.887499999999999</v>
      </c>
      <c r="BC39">
        <v>13.168799999999999</v>
      </c>
    </row>
    <row r="40" spans="2:55" ht="25.5" x14ac:dyDescent="0.2">
      <c r="B40" s="13" t="s">
        <v>121</v>
      </c>
      <c r="C40" s="10">
        <f t="array" ref="C40">_xlfn.IFNA(LOOKUP(2,1/(AW40:CA40&lt;&gt;""),AW40:CA40),"")</f>
        <v>16.3398</v>
      </c>
      <c r="D40" s="2">
        <f>(C40-$J40)/$J40</f>
        <v>7.9817605075337084E-2</v>
      </c>
      <c r="E40" s="3">
        <f>(C40-AZ40)/AZ40</f>
        <v>3.1123395554882426E-2</v>
      </c>
      <c r="F40" s="3">
        <f>(L40-J40)/J40</f>
        <v>-6.6124768702088318E-2</v>
      </c>
      <c r="G40" s="3">
        <f>(O40-N40)/N40</f>
        <v>3.8339069644301019E-2</v>
      </c>
      <c r="H40" s="3">
        <f>(R40-Q40)/Q40</f>
        <v>-0.1004425589491339</v>
      </c>
      <c r="I40" s="3">
        <f>(AV40-S40)/S40</f>
        <v>0.1804589103711931</v>
      </c>
      <c r="J40" s="1">
        <v>15.132</v>
      </c>
      <c r="K40" s="1">
        <v>15.2174</v>
      </c>
      <c r="L40" s="1">
        <v>14.131399999999999</v>
      </c>
      <c r="N40">
        <v>13.975300000000001</v>
      </c>
      <c r="O40">
        <v>14.511100000000001</v>
      </c>
      <c r="Q40" s="1">
        <v>14.190200000000001</v>
      </c>
      <c r="R40" s="1">
        <v>12.764900000000001</v>
      </c>
      <c r="S40" s="1">
        <v>13.2357</v>
      </c>
      <c r="T40" s="1">
        <v>13.216699999999999</v>
      </c>
      <c r="AV40">
        <v>15.6242</v>
      </c>
      <c r="AZ40">
        <v>15.8466</v>
      </c>
      <c r="BC40">
        <v>16.3398</v>
      </c>
    </row>
    <row r="41" spans="2:55" ht="25.5" x14ac:dyDescent="0.2">
      <c r="B41" s="13" t="s">
        <v>60</v>
      </c>
      <c r="C41" s="10">
        <f t="array" ref="C41">_xlfn.IFNA(LOOKUP(2,1/(AW41:CA41&lt;&gt;""),AW41:CA41),"")</f>
        <v>76.16</v>
      </c>
      <c r="D41" s="2">
        <f>(C41-$J41)/$J41</f>
        <v>7.8906360674316375E-2</v>
      </c>
      <c r="E41" s="3">
        <f>(C41-AZ41)/AZ41</f>
        <v>1.1018186645426767E-2</v>
      </c>
      <c r="F41" s="3">
        <f>(L41-J41)/J41</f>
        <v>-3.2015866270009991E-2</v>
      </c>
      <c r="G41" s="3">
        <f>(O41-N41)/N41</f>
        <v>4.1957005189028881E-2</v>
      </c>
      <c r="H41" s="3">
        <f>(R41-Q41)/Q41</f>
        <v>-5.5579678679982675E-2</v>
      </c>
      <c r="I41" s="3">
        <f>(AV41-S41)/S41</f>
        <v>0.11663164214950458</v>
      </c>
      <c r="J41" s="1">
        <v>70.59</v>
      </c>
      <c r="K41" s="1">
        <v>71.319999999999993</v>
      </c>
      <c r="L41" s="1">
        <v>68.33</v>
      </c>
      <c r="N41">
        <v>67.45</v>
      </c>
      <c r="O41">
        <v>70.28</v>
      </c>
      <c r="Q41" s="1">
        <v>69.09</v>
      </c>
      <c r="R41" s="1">
        <v>65.25</v>
      </c>
      <c r="S41" s="1">
        <v>66.62</v>
      </c>
      <c r="T41" s="1">
        <v>66.510000000000005</v>
      </c>
      <c r="AV41">
        <v>74.39</v>
      </c>
      <c r="AZ41">
        <v>75.33</v>
      </c>
      <c r="BC41">
        <v>76.16</v>
      </c>
    </row>
    <row r="42" spans="2:55" x14ac:dyDescent="0.2">
      <c r="B42" s="13" t="s">
        <v>30</v>
      </c>
      <c r="C42" s="10">
        <f t="array" ref="C42">_xlfn.IFNA(LOOKUP(2,1/(AW42:CA42&lt;&gt;""),AW42:CA42),"")</f>
        <v>15.454800000000001</v>
      </c>
      <c r="D42" s="2">
        <f>(C42-$J42)/$J42</f>
        <v>7.8899236278848997E-2</v>
      </c>
      <c r="E42" s="3">
        <f>(C42-AZ42)/AZ42</f>
        <v>3.2012500500821349E-2</v>
      </c>
      <c r="F42" s="3">
        <f>(L42-J42)/J42</f>
        <v>-5.5177806012035237E-2</v>
      </c>
      <c r="G42" s="3">
        <f>(O42-N42)/N42</f>
        <v>3.3634965431766931E-2</v>
      </c>
      <c r="H42" s="3">
        <f>(R42-Q42)/Q42</f>
        <v>-7.5886483065192772E-2</v>
      </c>
      <c r="I42" s="3">
        <f>(AV42-S42)/S42</f>
        <v>0.14605332424983755</v>
      </c>
      <c r="J42" s="1">
        <v>14.3246</v>
      </c>
      <c r="K42" s="1">
        <v>14.390499999999999</v>
      </c>
      <c r="L42" s="1">
        <v>13.5342</v>
      </c>
      <c r="N42">
        <v>13.393800000000001</v>
      </c>
      <c r="O42">
        <v>13.8443</v>
      </c>
      <c r="Q42" s="1">
        <v>13.587400000000001</v>
      </c>
      <c r="R42" s="1">
        <v>12.5563</v>
      </c>
      <c r="S42" s="1">
        <v>12.917199999999999</v>
      </c>
      <c r="T42" s="1">
        <v>12.922499999999999</v>
      </c>
      <c r="AV42">
        <v>14.803800000000001</v>
      </c>
      <c r="AZ42">
        <v>14.9754</v>
      </c>
      <c r="BC42">
        <v>15.454800000000001</v>
      </c>
    </row>
    <row r="43" spans="2:55" ht="25.5" x14ac:dyDescent="0.2">
      <c r="B43" s="13" t="s">
        <v>64</v>
      </c>
      <c r="C43" s="10">
        <f t="array" ref="C43">_xlfn.IFNA(LOOKUP(2,1/(AW43:CA43&lt;&gt;""),AW43:CA43),"")</f>
        <v>45.285699999999999</v>
      </c>
      <c r="D43" s="2">
        <f>(C43-$J43)/$J43</f>
        <v>7.8605896335392778E-2</v>
      </c>
      <c r="E43" s="3">
        <f>(C43-AZ43)/AZ43</f>
        <v>1.8956780789862144E-2</v>
      </c>
      <c r="F43" s="3">
        <f>(L43-J43)/J43</f>
        <v>-7.8267683528083512E-2</v>
      </c>
      <c r="G43" s="3">
        <f>(O43-N43)/N43</f>
        <v>4.618890884737991E-2</v>
      </c>
      <c r="H43" s="3">
        <f>(R43-Q43)/Q43</f>
        <v>-0.11036968646843805</v>
      </c>
      <c r="I43" s="3">
        <f>(AV43-S43)/S43</f>
        <v>0.20173254401442309</v>
      </c>
      <c r="J43" s="1">
        <v>41.985399999999998</v>
      </c>
      <c r="K43" s="1">
        <v>42.151299999999999</v>
      </c>
      <c r="L43" s="1">
        <v>38.699300000000001</v>
      </c>
      <c r="N43">
        <v>38.5244</v>
      </c>
      <c r="O43">
        <v>40.303800000000003</v>
      </c>
      <c r="Q43" s="1">
        <v>39.533499999999997</v>
      </c>
      <c r="R43" s="1">
        <v>35.170200000000001</v>
      </c>
      <c r="S43" s="1">
        <v>36.385800000000003</v>
      </c>
      <c r="T43" s="1">
        <v>36.558500000000002</v>
      </c>
      <c r="AV43">
        <v>43.725999999999999</v>
      </c>
      <c r="AZ43">
        <v>44.443199999999997</v>
      </c>
      <c r="BC43">
        <v>45.285699999999999</v>
      </c>
    </row>
    <row r="44" spans="2:55" ht="25.5" x14ac:dyDescent="0.2">
      <c r="B44" s="13" t="s">
        <v>114</v>
      </c>
      <c r="C44" s="10">
        <f t="array" ref="C44">_xlfn.IFNA(LOOKUP(2,1/(AW44:CA44&lt;&gt;""),AW44:CA44),"")</f>
        <v>11</v>
      </c>
      <c r="D44" s="2">
        <f>(C44-$J44)/$J44</f>
        <v>7.8431372549019676E-2</v>
      </c>
      <c r="E44" s="3">
        <f>(C44-AZ44)/AZ44</f>
        <v>3.675777568331768E-2</v>
      </c>
      <c r="F44" s="3">
        <f>(L44-J44)/J44</f>
        <v>-4.1176470588235287E-2</v>
      </c>
      <c r="G44" s="3">
        <f>(O44-N44)/N44</f>
        <v>7.716049382716049E-2</v>
      </c>
      <c r="H44" s="3">
        <f>(R44-Q44)/Q44</f>
        <v>-0.10211946050096343</v>
      </c>
      <c r="I44" s="3">
        <f>(AV44-S44)/S44</f>
        <v>0.10759493670886071</v>
      </c>
      <c r="J44" s="1">
        <v>10.199999999999999</v>
      </c>
      <c r="K44" s="1">
        <v>10.32</v>
      </c>
      <c r="L44" s="1">
        <v>9.7799999999999994</v>
      </c>
      <c r="N44">
        <v>9.7200000000000006</v>
      </c>
      <c r="O44">
        <v>10.47</v>
      </c>
      <c r="Q44" s="1">
        <v>10.38</v>
      </c>
      <c r="R44" s="1">
        <v>9.32</v>
      </c>
      <c r="S44" s="1">
        <v>9.48</v>
      </c>
      <c r="T44" s="1">
        <v>9.42</v>
      </c>
      <c r="AV44">
        <v>10.5</v>
      </c>
      <c r="AZ44">
        <v>10.61</v>
      </c>
      <c r="BC44">
        <v>11</v>
      </c>
    </row>
    <row r="45" spans="2:55" ht="25.5" x14ac:dyDescent="0.2">
      <c r="B45" s="13" t="s">
        <v>54</v>
      </c>
      <c r="C45" s="10">
        <f t="array" ref="C45">_xlfn.IFNA(LOOKUP(2,1/(AW45:CA45&lt;&gt;""),AW45:CA45),"")</f>
        <v>9.9998000000000005</v>
      </c>
      <c r="D45" s="2">
        <f>(C45-$J45)/$J45</f>
        <v>7.7924737789563436E-2</v>
      </c>
      <c r="E45" s="3">
        <f>(C45-AZ45)/AZ45</f>
        <v>7.3944229529337166E-3</v>
      </c>
      <c r="F45" s="3">
        <f>(L45-J45)/J45</f>
        <v>-3.1314339919585182E-2</v>
      </c>
      <c r="G45" s="3">
        <f>(O45-N45)/N45</f>
        <v>6.2457715033151472E-2</v>
      </c>
      <c r="H45" s="3">
        <f>(R45-Q45)/Q45</f>
        <v>-7.0357302806208818E-2</v>
      </c>
      <c r="I45" s="3">
        <f>(AV45-S45)/S45</f>
        <v>0.12490133949508686</v>
      </c>
      <c r="J45" s="1">
        <v>9.2768999999999995</v>
      </c>
      <c r="K45" s="1">
        <v>9.4213000000000005</v>
      </c>
      <c r="L45" s="1">
        <v>8.9863999999999997</v>
      </c>
      <c r="N45">
        <v>8.8683999999999994</v>
      </c>
      <c r="O45">
        <v>9.4222999999999999</v>
      </c>
      <c r="Q45" s="1">
        <v>9.1547000000000001</v>
      </c>
      <c r="R45" s="1">
        <v>8.5106000000000002</v>
      </c>
      <c r="S45" s="1">
        <v>8.7421000000000006</v>
      </c>
      <c r="T45" s="1">
        <v>8.7506000000000004</v>
      </c>
      <c r="AV45">
        <v>9.8339999999999996</v>
      </c>
      <c r="AZ45">
        <v>9.9263999999999992</v>
      </c>
      <c r="BC45">
        <v>9.9998000000000005</v>
      </c>
    </row>
    <row r="46" spans="2:55" x14ac:dyDescent="0.2">
      <c r="B46" s="13" t="s">
        <v>23</v>
      </c>
      <c r="C46" s="10">
        <f t="array" ref="C46">_xlfn.IFNA(LOOKUP(2,1/(AW46:CA46&lt;&gt;""),AW46:CA46),"")</f>
        <v>311.94659999999999</v>
      </c>
      <c r="D46" s="2">
        <f>(C46-$J46)/$J46</f>
        <v>7.5384239890347093E-2</v>
      </c>
      <c r="E46" s="3">
        <f>(C46-AZ46)/AZ46</f>
        <v>2.7281630706752456E-2</v>
      </c>
      <c r="F46" s="3">
        <f>(L46-J46)/J46</f>
        <v>-3.6893027835156821E-2</v>
      </c>
      <c r="G46" s="3">
        <f>(O46-N46)/N46</f>
        <v>1.5487997245227708E-2</v>
      </c>
      <c r="H46" s="3">
        <f>(R46-Q46)/Q46</f>
        <v>-8.0598030829708636E-2</v>
      </c>
      <c r="I46" s="3">
        <f>(AV46-S46)/S46</f>
        <v>0.14631817356485505</v>
      </c>
      <c r="J46" s="1">
        <v>290.07920000000001</v>
      </c>
      <c r="K46" s="1">
        <v>292.14409999999998</v>
      </c>
      <c r="L46" s="1">
        <v>279.37729999999999</v>
      </c>
      <c r="N46">
        <v>276.46570000000003</v>
      </c>
      <c r="O46">
        <v>280.74759999999998</v>
      </c>
      <c r="Q46" s="1">
        <v>274.73500000000001</v>
      </c>
      <c r="R46" s="1">
        <v>252.59190000000001</v>
      </c>
      <c r="S46" s="1">
        <v>261.60250000000002</v>
      </c>
      <c r="T46" s="1">
        <v>262.22579999999999</v>
      </c>
      <c r="AV46">
        <v>299.87970000000001</v>
      </c>
      <c r="AZ46">
        <v>303.66219999999998</v>
      </c>
      <c r="BC46">
        <v>311.94659999999999</v>
      </c>
    </row>
    <row r="47" spans="2:55" ht="25.5" x14ac:dyDescent="0.2">
      <c r="B47" s="13" t="s">
        <v>59</v>
      </c>
      <c r="C47" s="10">
        <f t="array" ref="C47">_xlfn.IFNA(LOOKUP(2,1/(AW47:CA47&lt;&gt;""),AW47:CA47),"")</f>
        <v>111.9676</v>
      </c>
      <c r="D47" s="2">
        <f>(C47-$J47)/$J47</f>
        <v>7.4445085246383075E-2</v>
      </c>
      <c r="E47" s="3">
        <f>(C47-AZ47)/AZ47</f>
        <v>1.13301756249481E-2</v>
      </c>
      <c r="F47" s="3">
        <f>(L47-J47)/J47</f>
        <v>-3.1256207435584188E-2</v>
      </c>
      <c r="G47" s="3">
        <f>(O47-N47)/N47</f>
        <v>6.1604038695879181E-2</v>
      </c>
      <c r="H47" s="3">
        <f>(R47-Q47)/Q47</f>
        <v>-7.801196093827413E-2</v>
      </c>
      <c r="I47" s="3">
        <f>(AV47-S47)/S47</f>
        <v>0.11650769494903715</v>
      </c>
      <c r="J47" s="1">
        <v>104.2097</v>
      </c>
      <c r="K47" s="1">
        <v>105.3262</v>
      </c>
      <c r="L47" s="1">
        <v>100.9525</v>
      </c>
      <c r="N47">
        <v>100.5275</v>
      </c>
      <c r="O47">
        <v>106.7204</v>
      </c>
      <c r="Q47" s="1">
        <v>104.94159999999999</v>
      </c>
      <c r="R47" s="1">
        <v>96.754900000000006</v>
      </c>
      <c r="S47" s="1">
        <v>98.434700000000007</v>
      </c>
      <c r="T47" s="1">
        <v>98.276300000000006</v>
      </c>
      <c r="AV47">
        <v>109.90309999999999</v>
      </c>
      <c r="AZ47">
        <v>110.7132</v>
      </c>
      <c r="BC47">
        <v>111.9676</v>
      </c>
    </row>
    <row r="48" spans="2:55" x14ac:dyDescent="0.2">
      <c r="B48" s="13" t="s">
        <v>26</v>
      </c>
      <c r="C48" s="10">
        <f t="array" ref="C48">_xlfn.IFNA(LOOKUP(2,1/(AW48:CA48&lt;&gt;""),AW48:CA48),"")</f>
        <v>200.358</v>
      </c>
      <c r="D48" s="2">
        <f>(C48-$J48)/$J48</f>
        <v>7.2896195346595624E-2</v>
      </c>
      <c r="E48" s="3">
        <f>(C48-AZ48)/AZ48</f>
        <v>2.1609739756138988E-2</v>
      </c>
      <c r="F48" s="3">
        <f>(L48-J48)/J48</f>
        <v>-3.5627192160432662E-2</v>
      </c>
      <c r="G48" s="3">
        <f>(O48-N48)/N48</f>
        <v>2.7257141441976791E-2</v>
      </c>
      <c r="H48" s="3">
        <f>(R48-Q48)/Q48</f>
        <v>-8.0936111869715777E-2</v>
      </c>
      <c r="I48" s="3">
        <f>(AV48-S48)/S48</f>
        <v>0.14281964418977494</v>
      </c>
      <c r="J48" s="1">
        <v>186.745</v>
      </c>
      <c r="K48" s="1">
        <v>188.9607</v>
      </c>
      <c r="L48" s="1">
        <v>180.09180000000001</v>
      </c>
      <c r="N48">
        <v>177.66720000000001</v>
      </c>
      <c r="O48">
        <v>182.50989999999999</v>
      </c>
      <c r="Q48" s="1">
        <v>179.423</v>
      </c>
      <c r="R48" s="1">
        <v>164.90119999999999</v>
      </c>
      <c r="S48" s="1">
        <v>169.91079999999999</v>
      </c>
      <c r="T48" s="1">
        <v>170.23390000000001</v>
      </c>
      <c r="AV48">
        <v>194.17740000000001</v>
      </c>
      <c r="AZ48">
        <v>196.1199</v>
      </c>
      <c r="BC48">
        <v>200.358</v>
      </c>
    </row>
    <row r="49" spans="2:55" ht="25.5" x14ac:dyDescent="0.2">
      <c r="B49" s="13" t="s">
        <v>31</v>
      </c>
      <c r="C49" s="10">
        <f t="array" ref="C49">_xlfn.IFNA(LOOKUP(2,1/(AW49:CA49&lt;&gt;""),AW49:CA49),"")</f>
        <v>10.382999999999999</v>
      </c>
      <c r="D49" s="2">
        <f>(C49-$J49)/$J49</f>
        <v>7.2402396199132274E-2</v>
      </c>
      <c r="E49" s="3">
        <f>(C49-AZ49)/AZ49</f>
        <v>2.1446138711264141E-2</v>
      </c>
      <c r="F49" s="3">
        <f>(L49-J49)/J49</f>
        <v>-4.9060111547200955E-2</v>
      </c>
      <c r="G49" s="3">
        <f>(O49-N49)/N49</f>
        <v>3.6231884057971023E-2</v>
      </c>
      <c r="H49" s="3">
        <f>(R49-Q49)/Q49</f>
        <v>-8.3270331569284026E-2</v>
      </c>
      <c r="I49" s="3">
        <f>(AV49-S49)/S49</f>
        <v>0.15036563071297976</v>
      </c>
      <c r="J49" s="1">
        <v>9.6820000000000004</v>
      </c>
      <c r="K49" s="1">
        <v>9.7569999999999997</v>
      </c>
      <c r="L49" s="1">
        <v>9.2070000000000007</v>
      </c>
      <c r="N49">
        <v>9.1080000000000005</v>
      </c>
      <c r="O49">
        <v>9.4380000000000006</v>
      </c>
      <c r="Q49" s="1">
        <v>9.2590000000000003</v>
      </c>
      <c r="R49" s="1">
        <v>8.4879999999999995</v>
      </c>
      <c r="S49" s="1">
        <v>8.7520000000000007</v>
      </c>
      <c r="T49" s="1">
        <v>8.7439999999999998</v>
      </c>
      <c r="AV49">
        <v>10.068</v>
      </c>
      <c r="AZ49">
        <v>10.164999999999999</v>
      </c>
      <c r="BC49">
        <v>10.382999999999999</v>
      </c>
    </row>
    <row r="50" spans="2:55" x14ac:dyDescent="0.2">
      <c r="B50" s="13" t="s">
        <v>36</v>
      </c>
      <c r="C50" s="10">
        <f t="array" ref="C50">_xlfn.IFNA(LOOKUP(2,1/(AW50:CA50&lt;&gt;""),AW50:CA50),"")</f>
        <v>93.611800000000002</v>
      </c>
      <c r="D50" s="2">
        <f>(C50-$J50)/$J50</f>
        <v>7.2221509534238115E-2</v>
      </c>
      <c r="E50" s="3">
        <f>(C50-AZ50)/AZ50</f>
        <v>3.4505699010049781E-2</v>
      </c>
      <c r="F50" s="3">
        <f>(L50-J50)/J50</f>
        <v>-5.5205574849037424E-2</v>
      </c>
      <c r="G50" s="3">
        <f>(O50-N50)/N50</f>
        <v>3.3414493378737219E-2</v>
      </c>
      <c r="H50" s="3">
        <f>(R50-Q50)/Q50</f>
        <v>-8.4304233820700583E-2</v>
      </c>
      <c r="I50" s="3">
        <f>(AV50-S50)/S50</f>
        <v>0.14445589336987896</v>
      </c>
      <c r="J50" s="1">
        <v>87.306399999999996</v>
      </c>
      <c r="K50" s="1">
        <v>87.941299999999998</v>
      </c>
      <c r="L50" s="1">
        <v>82.486599999999996</v>
      </c>
      <c r="N50">
        <v>81.6083</v>
      </c>
      <c r="O50">
        <v>84.3352</v>
      </c>
      <c r="Q50" s="1">
        <v>83.024299999999997</v>
      </c>
      <c r="R50" s="1">
        <v>76.025000000000006</v>
      </c>
      <c r="S50" s="1">
        <v>78.221800000000002</v>
      </c>
      <c r="T50" s="1">
        <v>77.765500000000003</v>
      </c>
      <c r="AV50">
        <v>89.5214</v>
      </c>
      <c r="AZ50">
        <v>90.489400000000003</v>
      </c>
      <c r="BC50">
        <v>93.611800000000002</v>
      </c>
    </row>
    <row r="51" spans="2:55" ht="25.5" x14ac:dyDescent="0.2">
      <c r="B51" s="13" t="s">
        <v>113</v>
      </c>
      <c r="C51" s="10">
        <f t="array" ref="C51">_xlfn.IFNA(LOOKUP(2,1/(AW51:CA51&lt;&gt;""),AW51:CA51),"")</f>
        <v>15.63</v>
      </c>
      <c r="D51" s="2">
        <f>(C51-$J51)/$J51</f>
        <v>7.0547945205479537E-2</v>
      </c>
      <c r="E51" s="3">
        <f>(C51-AZ51)/AZ51</f>
        <v>2.6263952724885117E-2</v>
      </c>
      <c r="F51" s="3">
        <f>(L51-J51)/J51</f>
        <v>-3.2191780821917731E-2</v>
      </c>
      <c r="G51" s="3">
        <f>(O51-N51)/N51</f>
        <v>6.2544420753375907E-2</v>
      </c>
      <c r="H51" s="3">
        <f>(R51-Q51)/Q51</f>
        <v>-8.2543978349120362E-2</v>
      </c>
      <c r="I51" s="3">
        <f>(AV51-S51)/S51</f>
        <v>9.5065312046444167E-2</v>
      </c>
      <c r="J51" s="1">
        <v>14.6</v>
      </c>
      <c r="K51" s="1">
        <v>14.76</v>
      </c>
      <c r="L51" s="1">
        <v>14.13</v>
      </c>
      <c r="N51">
        <v>14.07</v>
      </c>
      <c r="O51">
        <v>14.95</v>
      </c>
      <c r="Q51" s="1">
        <v>14.78</v>
      </c>
      <c r="R51" s="1">
        <v>13.56</v>
      </c>
      <c r="S51" s="1">
        <v>13.78</v>
      </c>
      <c r="T51" s="1">
        <v>13.73</v>
      </c>
      <c r="AV51">
        <v>15.09</v>
      </c>
      <c r="AZ51">
        <v>15.23</v>
      </c>
      <c r="BC51">
        <v>15.63</v>
      </c>
    </row>
    <row r="52" spans="2:55" x14ac:dyDescent="0.2">
      <c r="B52" s="13" t="s">
        <v>20</v>
      </c>
      <c r="C52" s="10">
        <f t="array" ref="C52">_xlfn.IFNA(LOOKUP(2,1/(AW52:CA52&lt;&gt;""),AW52:CA52),"")</f>
        <v>231.29900000000001</v>
      </c>
      <c r="D52" s="2">
        <f>(C52-$J52)/$J52</f>
        <v>6.7182496839502101E-2</v>
      </c>
      <c r="E52" s="3">
        <f>(C52-AZ52)/AZ52</f>
        <v>2.301234873681977E-2</v>
      </c>
      <c r="F52" s="3">
        <f>(L52-J52)/J52</f>
        <v>-5.3050226540800369E-2</v>
      </c>
      <c r="G52" s="3">
        <f>(O52-N52)/N52</f>
        <v>5.1980391773155124E-2</v>
      </c>
      <c r="H52" s="3">
        <f>(R52-Q52)/Q52</f>
        <v>-8.0572729303192078E-2</v>
      </c>
      <c r="I52" s="3">
        <f>(AV52-S52)/S52</f>
        <v>0.12215698455002713</v>
      </c>
      <c r="J52" s="1">
        <v>216.738</v>
      </c>
      <c r="K52" s="1">
        <v>218.50800000000001</v>
      </c>
      <c r="L52" s="1">
        <v>205.24</v>
      </c>
      <c r="N52">
        <v>204.404</v>
      </c>
      <c r="O52">
        <v>215.029</v>
      </c>
      <c r="Q52" s="1">
        <v>210.43100000000001</v>
      </c>
      <c r="R52" s="1">
        <v>193.476</v>
      </c>
      <c r="S52" s="1">
        <v>199.61199999999999</v>
      </c>
      <c r="T52" s="1">
        <v>200.3</v>
      </c>
      <c r="AV52">
        <v>223.99600000000001</v>
      </c>
      <c r="AZ52">
        <v>226.096</v>
      </c>
      <c r="BC52">
        <v>231.29900000000001</v>
      </c>
    </row>
    <row r="53" spans="2:55" ht="25.5" x14ac:dyDescent="0.2">
      <c r="B53" s="13" t="s">
        <v>19</v>
      </c>
      <c r="C53" s="10">
        <f t="array" ref="C53">_xlfn.IFNA(LOOKUP(2,1/(AW53:CA53&lt;&gt;""),AW53:CA53),"")</f>
        <v>45.17</v>
      </c>
      <c r="D53" s="2">
        <f>(C53-$J53)/$J53</f>
        <v>6.6839867737364153E-2</v>
      </c>
      <c r="E53" s="3">
        <f>(C53-AZ53)/AZ53</f>
        <v>2.0099367660343283E-2</v>
      </c>
      <c r="F53" s="3">
        <f>(L53-J53)/J53</f>
        <v>-2.0311761927255704E-2</v>
      </c>
      <c r="G53" s="3">
        <f>(O53-N53)/N53</f>
        <v>3.2107843137254961E-2</v>
      </c>
      <c r="H53" s="3">
        <f>(R53-Q53)/Q53</f>
        <v>-5.957242373288503E-2</v>
      </c>
      <c r="I53" s="3">
        <f>(AV53-S53)/S53</f>
        <v>0.10007486897928621</v>
      </c>
      <c r="J53" s="1">
        <v>42.34</v>
      </c>
      <c r="K53" s="1">
        <v>42.62</v>
      </c>
      <c r="L53" s="1">
        <v>41.48</v>
      </c>
      <c r="N53">
        <v>40.799999999999997</v>
      </c>
      <c r="O53">
        <v>42.11</v>
      </c>
      <c r="Q53" s="1">
        <v>41.63</v>
      </c>
      <c r="R53" s="1">
        <v>39.15</v>
      </c>
      <c r="S53" s="1">
        <v>40.07</v>
      </c>
      <c r="T53" s="1">
        <v>39.950000000000003</v>
      </c>
      <c r="AV53">
        <v>44.08</v>
      </c>
      <c r="AZ53">
        <v>44.28</v>
      </c>
      <c r="BC53">
        <v>45.17</v>
      </c>
    </row>
    <row r="54" spans="2:55" ht="25.5" x14ac:dyDescent="0.2">
      <c r="B54" s="13" t="s">
        <v>25</v>
      </c>
      <c r="C54" s="10">
        <f t="array" ref="C54">_xlfn.IFNA(LOOKUP(2,1/(AW54:CA54&lt;&gt;""),AW54:CA54),"")</f>
        <v>21.641100000000002</v>
      </c>
      <c r="D54" s="2">
        <f>(C54-$J54)/$J54</f>
        <v>6.2906735165984926E-2</v>
      </c>
      <c r="E54" s="3">
        <f>(C54-AZ54)/AZ54</f>
        <v>2.4052657480315053E-2</v>
      </c>
      <c r="F54" s="3">
        <f>(L54-J54)/J54</f>
        <v>-5.5200561877771892E-2</v>
      </c>
      <c r="G54" s="3">
        <f>(O54-N54)/N54</f>
        <v>3.1257933485656315E-2</v>
      </c>
      <c r="H54" s="3">
        <f>(R54-Q54)/Q54</f>
        <v>-5.8780017711100654E-2</v>
      </c>
      <c r="I54" s="3">
        <f>(AV54-S54)/S54</f>
        <v>0.12197065983068013</v>
      </c>
      <c r="J54" s="1">
        <v>20.360299999999999</v>
      </c>
      <c r="K54" s="1">
        <v>20.506399999999999</v>
      </c>
      <c r="L54" s="1">
        <v>19.2364</v>
      </c>
      <c r="N54">
        <v>18.9072</v>
      </c>
      <c r="O54">
        <v>19.498200000000001</v>
      </c>
      <c r="Q54" s="1">
        <v>19.196999999999999</v>
      </c>
      <c r="R54" s="1">
        <v>18.0686</v>
      </c>
      <c r="S54" s="1">
        <v>18.5684</v>
      </c>
      <c r="T54" s="1">
        <v>18.508199999999999</v>
      </c>
      <c r="AV54">
        <v>20.833200000000001</v>
      </c>
      <c r="AZ54">
        <v>21.1328</v>
      </c>
      <c r="BC54">
        <v>21.641100000000002</v>
      </c>
    </row>
    <row r="55" spans="2:55" ht="25.5" x14ac:dyDescent="0.2">
      <c r="B55" s="13" t="s">
        <v>27</v>
      </c>
      <c r="C55" s="10">
        <f t="array" ref="C55">_xlfn.IFNA(LOOKUP(2,1/(AW55:CA55&lt;&gt;""),AW55:CA55),"")</f>
        <v>198.64529999999999</v>
      </c>
      <c r="D55" s="2">
        <f>(C55-$J55)/$J55</f>
        <v>6.2807440309631132E-2</v>
      </c>
      <c r="E55" s="3">
        <f>(C55-AZ55)/AZ55</f>
        <v>2.2393337121399258E-2</v>
      </c>
      <c r="F55" s="3">
        <f>(L55-J55)/J55</f>
        <v>-4.1358178594396659E-2</v>
      </c>
      <c r="G55" s="3">
        <f>(O55-N55)/N55</f>
        <v>3.1123813504514406E-2</v>
      </c>
      <c r="H55" s="3">
        <f>(R55-Q55)/Q55</f>
        <v>-7.9821998792230245E-2</v>
      </c>
      <c r="I55" s="3">
        <f>(AV55-S55)/S55</f>
        <v>0.13030678211255628</v>
      </c>
      <c r="J55" s="1">
        <v>186.90620000000001</v>
      </c>
      <c r="K55" s="1">
        <v>188.27029999999999</v>
      </c>
      <c r="L55" s="1">
        <v>179.17609999999999</v>
      </c>
      <c r="N55">
        <v>177.0445</v>
      </c>
      <c r="O55">
        <v>182.5548</v>
      </c>
      <c r="Q55" s="1">
        <v>179.5044</v>
      </c>
      <c r="R55" s="1">
        <v>165.17599999999999</v>
      </c>
      <c r="S55" s="1">
        <v>169.93819999999999</v>
      </c>
      <c r="T55" s="1">
        <v>169.94319999999999</v>
      </c>
      <c r="AV55">
        <v>192.0823</v>
      </c>
      <c r="AZ55">
        <v>194.2944</v>
      </c>
      <c r="BC55">
        <v>198.64529999999999</v>
      </c>
    </row>
    <row r="56" spans="2:55" ht="25.5" x14ac:dyDescent="0.2">
      <c r="B56" s="13" t="s">
        <v>28</v>
      </c>
      <c r="C56" s="10">
        <f t="array" ref="C56">_xlfn.IFNA(LOOKUP(2,1/(AW56:CA56&lt;&gt;""),AW56:CA56),"")</f>
        <v>198.64529999999999</v>
      </c>
      <c r="D56" s="2">
        <f>(C56-$J56)/$J56</f>
        <v>6.2807440309631132E-2</v>
      </c>
      <c r="E56" s="3">
        <f>(C56-AZ56)/AZ56</f>
        <v>2.2393337121399258E-2</v>
      </c>
      <c r="F56" s="3">
        <f>(L56-J56)/J56</f>
        <v>-4.1358178594396659E-2</v>
      </c>
      <c r="G56" s="3">
        <f>(O56-N56)/N56</f>
        <v>3.1123813504514406E-2</v>
      </c>
      <c r="H56" s="3">
        <f>(R56-Q56)/Q56</f>
        <v>-7.9821998792230245E-2</v>
      </c>
      <c r="I56" s="3">
        <f>(AV56-S56)/S56</f>
        <v>0.13030678211255628</v>
      </c>
      <c r="J56" s="1">
        <v>186.90620000000001</v>
      </c>
      <c r="K56" s="1">
        <v>188.27029999999999</v>
      </c>
      <c r="L56" s="1">
        <v>179.17609999999999</v>
      </c>
      <c r="N56">
        <v>177.0445</v>
      </c>
      <c r="O56">
        <v>182.5548</v>
      </c>
      <c r="Q56" s="1">
        <v>179.5044</v>
      </c>
      <c r="R56" s="1">
        <v>165.17599999999999</v>
      </c>
      <c r="S56" s="1">
        <v>169.93819999999999</v>
      </c>
      <c r="T56" s="1">
        <v>169.9426</v>
      </c>
      <c r="AV56">
        <v>192.0823</v>
      </c>
      <c r="AZ56">
        <v>194.2944</v>
      </c>
      <c r="BC56">
        <v>198.64529999999999</v>
      </c>
    </row>
    <row r="57" spans="2:55" ht="25.5" x14ac:dyDescent="0.2">
      <c r="B57" s="13" t="s">
        <v>32</v>
      </c>
      <c r="C57" s="10">
        <f t="array" ref="C57">_xlfn.IFNA(LOOKUP(2,1/(AW57:CA57&lt;&gt;""),AW57:CA57),"")</f>
        <v>14.0944</v>
      </c>
      <c r="D57" s="2">
        <f>(C57-$J57)/$J57</f>
        <v>6.0438940343538167E-2</v>
      </c>
      <c r="E57" s="3">
        <f>(C57-AZ57)/AZ57</f>
        <v>2.6174198574434513E-2</v>
      </c>
      <c r="F57" s="3">
        <f>(L57-J57)/J57</f>
        <v>-2.5137121833407272E-2</v>
      </c>
      <c r="G57" s="3">
        <f>(O57-N57)/N57</f>
        <v>3.2391002325907496E-3</v>
      </c>
      <c r="H57" s="3">
        <f>(R57-Q57)/Q57</f>
        <v>-5.2557425319381457E-2</v>
      </c>
      <c r="I57" s="3">
        <f>(AV57-S57)/S57</f>
        <v>0.10267299321339021</v>
      </c>
      <c r="J57" s="1">
        <v>13.2911</v>
      </c>
      <c r="K57" s="1">
        <v>13.381600000000001</v>
      </c>
      <c r="L57" s="1">
        <v>12.957000000000001</v>
      </c>
      <c r="N57">
        <v>12.812200000000001</v>
      </c>
      <c r="O57">
        <v>12.8537</v>
      </c>
      <c r="Q57" s="1">
        <v>12.633800000000001</v>
      </c>
      <c r="R57" s="1">
        <v>11.969799999999999</v>
      </c>
      <c r="S57" s="1">
        <v>12.2447</v>
      </c>
      <c r="T57" s="1">
        <v>12.1595</v>
      </c>
      <c r="AV57">
        <v>13.501899999999999</v>
      </c>
      <c r="AZ57">
        <v>13.7349</v>
      </c>
      <c r="BC57">
        <v>14.0944</v>
      </c>
    </row>
    <row r="58" spans="2:55" ht="25.5" x14ac:dyDescent="0.2">
      <c r="B58" s="13" t="s">
        <v>79</v>
      </c>
      <c r="C58" s="10">
        <f t="array" ref="C58">_xlfn.IFNA(LOOKUP(2,1/(AW58:CA58&lt;&gt;""),AW58:CA58),"")</f>
        <v>10.7645</v>
      </c>
      <c r="D58" s="2">
        <f>(C58-$J58)/$J58</f>
        <v>6.0259832359864922E-2</v>
      </c>
      <c r="E58" s="3">
        <f>(C58-AZ58)/AZ58</f>
        <v>1.6708224715705149E-2</v>
      </c>
      <c r="F58" s="3">
        <f>(L58-J58)/J58</f>
        <v>4.1910033784116674E-2</v>
      </c>
      <c r="G58" s="3">
        <f>(O58-N58)/N58</f>
        <v>3.1323552487054755E-2</v>
      </c>
      <c r="H58" s="3">
        <f>(R58-Q58)/Q58</f>
        <v>-7.1429918349644558E-2</v>
      </c>
      <c r="I58" s="3">
        <f>(AV58-S58)/S58</f>
        <v>5.4894867284937698E-2</v>
      </c>
      <c r="J58" s="1">
        <v>10.152699999999999</v>
      </c>
      <c r="K58" s="1">
        <v>10.2197</v>
      </c>
      <c r="L58" s="1">
        <v>10.578200000000001</v>
      </c>
      <c r="N58">
        <v>10.1968</v>
      </c>
      <c r="O58">
        <v>10.5162</v>
      </c>
      <c r="Q58" s="1">
        <v>10.606199999999999</v>
      </c>
      <c r="R58" s="1">
        <v>9.8485999999999994</v>
      </c>
      <c r="S58" s="1">
        <v>10.006399999999999</v>
      </c>
      <c r="T58" s="1">
        <v>9.9725000000000001</v>
      </c>
      <c r="AV58">
        <v>10.5557</v>
      </c>
      <c r="AZ58">
        <v>10.5876</v>
      </c>
      <c r="BC58">
        <v>10.7645</v>
      </c>
    </row>
    <row r="59" spans="2:55" ht="25.5" x14ac:dyDescent="0.2">
      <c r="B59" s="13" t="s">
        <v>33</v>
      </c>
      <c r="C59" s="10">
        <f t="array" ref="C59">_xlfn.IFNA(LOOKUP(2,1/(AW59:CA59&lt;&gt;""),AW59:CA59),"")</f>
        <v>54.168999999999997</v>
      </c>
      <c r="D59" s="2">
        <f>(C59-$J59)/$J59</f>
        <v>6.0058708414872708E-2</v>
      </c>
      <c r="E59" s="3">
        <f>(C59-AZ59)/AZ59</f>
        <v>2.6978349069123622E-2</v>
      </c>
      <c r="F59" s="3">
        <f>(L59-J59)/J59</f>
        <v>-4.3933463796477584E-2</v>
      </c>
      <c r="G59" s="3">
        <f>(O59-N59)/N59</f>
        <v>1.8825722273998261E-2</v>
      </c>
      <c r="H59" s="3">
        <f>(R59-Q59)/Q59</f>
        <v>-7.260108880854424E-2</v>
      </c>
      <c r="I59" s="3">
        <f>(AV59-S59)/S59</f>
        <v>0.12782979091439811</v>
      </c>
      <c r="J59" s="1">
        <v>51.1</v>
      </c>
      <c r="K59" s="1">
        <v>51.658999999999999</v>
      </c>
      <c r="L59" s="1">
        <v>48.854999999999997</v>
      </c>
      <c r="N59">
        <v>48.284999999999997</v>
      </c>
      <c r="O59">
        <v>49.194000000000003</v>
      </c>
      <c r="Q59" s="1">
        <v>48.125999999999998</v>
      </c>
      <c r="R59" s="1">
        <v>44.631999999999998</v>
      </c>
      <c r="S59" s="1">
        <v>46.249000000000002</v>
      </c>
      <c r="T59" s="1">
        <v>46.402999999999999</v>
      </c>
      <c r="AV59">
        <v>52.161000000000001</v>
      </c>
      <c r="AZ59">
        <v>52.746000000000002</v>
      </c>
      <c r="BC59">
        <v>54.168999999999997</v>
      </c>
    </row>
    <row r="60" spans="2:55" x14ac:dyDescent="0.2">
      <c r="B60" s="13" t="s">
        <v>41</v>
      </c>
      <c r="C60" s="10">
        <f t="array" ref="C60">_xlfn.IFNA(LOOKUP(2,1/(AW60:CA60&lt;&gt;""),AW60:CA60),"")</f>
        <v>292.8383</v>
      </c>
      <c r="D60" s="2">
        <f>(C60-$J60)/$J60</f>
        <v>5.7642271842079429E-2</v>
      </c>
      <c r="E60" s="3">
        <f>(C60-AZ60)/AZ60</f>
        <v>3.2479721548996608E-2</v>
      </c>
      <c r="F60" s="3">
        <f>(L60-J60)/J60</f>
        <v>-7.441136614484907E-2</v>
      </c>
      <c r="G60" s="3">
        <f>(O60-N60)/N60</f>
        <v>2.1138781261285829E-2</v>
      </c>
      <c r="H60" s="3">
        <f>(R60-Q60)/Q60</f>
        <v>-5.7641444590640328E-2</v>
      </c>
      <c r="I60" s="3">
        <f>(AV60-S60)/S60</f>
        <v>0.1314357333286002</v>
      </c>
      <c r="J60" s="1">
        <v>276.8784</v>
      </c>
      <c r="K60" s="1">
        <v>278.56689999999998</v>
      </c>
      <c r="L60" s="1">
        <v>256.27550000000002</v>
      </c>
      <c r="N60">
        <v>253.08459999999999</v>
      </c>
      <c r="O60">
        <v>258.43450000000001</v>
      </c>
      <c r="Q60" s="1">
        <v>254.60499999999999</v>
      </c>
      <c r="R60" s="1">
        <v>239.92920000000001</v>
      </c>
      <c r="S60" s="1">
        <v>247.8991</v>
      </c>
      <c r="T60" s="1">
        <v>247.99520000000001</v>
      </c>
      <c r="AV60">
        <v>280.4819</v>
      </c>
      <c r="AZ60">
        <v>283.62619999999998</v>
      </c>
      <c r="BC60">
        <v>292.8383</v>
      </c>
    </row>
    <row r="61" spans="2:55" ht="25.5" x14ac:dyDescent="0.2">
      <c r="B61" s="13" t="s">
        <v>78</v>
      </c>
      <c r="C61" s="10">
        <f t="array" ref="C61">_xlfn.IFNA(LOOKUP(2,1/(AW61:CA61&lt;&gt;""),AW61:CA61),"")</f>
        <v>11.6806</v>
      </c>
      <c r="D61" s="2">
        <f>(C61-$J61)/$J61</f>
        <v>5.4834106959018969E-2</v>
      </c>
      <c r="E61" s="3">
        <f>(C61-AZ61)/AZ61</f>
        <v>3.2380248907060059E-3</v>
      </c>
      <c r="F61" s="3">
        <f>(L61-J61)/J61</f>
        <v>-3.4361623349648672E-2</v>
      </c>
      <c r="G61" s="3">
        <f>(O61-N61)/N61</f>
        <v>7.1201303005624814E-2</v>
      </c>
      <c r="H61" s="3">
        <f>(R61-Q61)/Q61</f>
        <v>-9.5396400953963942E-2</v>
      </c>
      <c r="I61" s="3">
        <f>(AV61-S61)/S61</f>
        <v>0.12586510263929612</v>
      </c>
      <c r="J61" s="1">
        <v>11.073399999999999</v>
      </c>
      <c r="K61" s="1">
        <v>11.234400000000001</v>
      </c>
      <c r="L61" s="1">
        <v>10.6929</v>
      </c>
      <c r="N61">
        <v>10.5602</v>
      </c>
      <c r="O61">
        <v>11.312099999999999</v>
      </c>
      <c r="Q61" s="1">
        <v>11.069599999999999</v>
      </c>
      <c r="R61" s="1">
        <v>10.0136</v>
      </c>
      <c r="S61" s="1">
        <v>10.23</v>
      </c>
      <c r="T61" s="1">
        <v>10.1869</v>
      </c>
      <c r="AV61">
        <v>11.5176</v>
      </c>
      <c r="AZ61">
        <v>11.642899999999999</v>
      </c>
      <c r="BC61">
        <v>11.6806</v>
      </c>
    </row>
    <row r="62" spans="2:55" x14ac:dyDescent="0.2">
      <c r="B62" s="13" t="s">
        <v>37</v>
      </c>
      <c r="C62" s="10">
        <f t="array" ref="C62">_xlfn.IFNA(LOOKUP(2,1/(AW62:CA62&lt;&gt;""),AW62:CA62),"")</f>
        <v>28.820799999999998</v>
      </c>
      <c r="D62" s="2">
        <f>(C62-$J62)/$J62</f>
        <v>5.3911835152578927E-2</v>
      </c>
      <c r="E62" s="3">
        <f>(C62-AZ62)/AZ62</f>
        <v>2.7333000641619733E-2</v>
      </c>
      <c r="F62" s="3">
        <f>(L62-J62)/J62</f>
        <v>-3.968698005229189E-2</v>
      </c>
      <c r="G62" s="3">
        <f>(O62-N62)/N62</f>
        <v>9.9284381313715624E-3</v>
      </c>
      <c r="H62" s="3">
        <f>(R62-Q62)/Q62</f>
        <v>-7.1803417508613743E-2</v>
      </c>
      <c r="I62" s="3">
        <f>(AV62-S62)/S62</f>
        <v>0.130718794542863</v>
      </c>
      <c r="J62" s="1">
        <v>27.346499999999999</v>
      </c>
      <c r="K62" s="1">
        <v>27.5715</v>
      </c>
      <c r="L62" s="1">
        <v>26.261199999999999</v>
      </c>
      <c r="N62">
        <v>25.935600000000001</v>
      </c>
      <c r="O62">
        <v>26.193100000000001</v>
      </c>
      <c r="Q62" s="1">
        <v>25.7439</v>
      </c>
      <c r="R62" s="1">
        <v>23.895399999999999</v>
      </c>
      <c r="S62" s="1">
        <v>24.555</v>
      </c>
      <c r="T62" s="1">
        <v>24.543299999999999</v>
      </c>
      <c r="AV62">
        <v>27.764800000000001</v>
      </c>
      <c r="AZ62">
        <v>28.053999999999998</v>
      </c>
      <c r="BC62">
        <v>28.820799999999998</v>
      </c>
    </row>
    <row r="63" spans="2:55" ht="25.5" x14ac:dyDescent="0.2">
      <c r="B63" s="13" t="s">
        <v>34</v>
      </c>
      <c r="C63" s="10">
        <f t="array" ref="C63">_xlfn.IFNA(LOOKUP(2,1/(AW63:CA63&lt;&gt;""),AW63:CA63),"")</f>
        <v>18.09</v>
      </c>
      <c r="D63" s="2">
        <f>(C63-$J63)/$J63</f>
        <v>5.2356020942408293E-2</v>
      </c>
      <c r="E63" s="3">
        <f>(C63-AZ63)/AZ63</f>
        <v>2.0880361173814956E-2</v>
      </c>
      <c r="F63" s="3">
        <f>(L63-J63)/J63</f>
        <v>-4.1303083187899992E-2</v>
      </c>
      <c r="G63" s="3">
        <f>(O63-N63)/N63</f>
        <v>2.3941068139963204E-2</v>
      </c>
      <c r="H63" s="3">
        <f>(R63-Q63)/Q63</f>
        <v>-6.2881562881562852E-2</v>
      </c>
      <c r="I63" s="3">
        <f>(AV63-S63)/S63</f>
        <v>0.12020460358056259</v>
      </c>
      <c r="J63" s="1">
        <v>17.190000000000001</v>
      </c>
      <c r="K63" s="1">
        <v>17.309999999999999</v>
      </c>
      <c r="L63" s="1">
        <v>16.48</v>
      </c>
      <c r="N63">
        <v>16.29</v>
      </c>
      <c r="O63">
        <v>16.68</v>
      </c>
      <c r="Q63" s="1">
        <v>16.38</v>
      </c>
      <c r="R63" s="1">
        <v>15.35</v>
      </c>
      <c r="S63" s="1">
        <v>15.64</v>
      </c>
      <c r="T63" s="1">
        <v>15.56</v>
      </c>
      <c r="AV63">
        <v>17.52</v>
      </c>
      <c r="AZ63">
        <v>17.72</v>
      </c>
      <c r="BC63">
        <v>18.09</v>
      </c>
    </row>
    <row r="64" spans="2:55" ht="25.5" x14ac:dyDescent="0.2">
      <c r="B64" s="13" t="s">
        <v>92</v>
      </c>
      <c r="C64" s="10">
        <f t="array" ref="C64">_xlfn.IFNA(LOOKUP(2,1/(AW64:CA64&lt;&gt;""),AW64:CA64),"")</f>
        <v>178.74250000000001</v>
      </c>
      <c r="D64" s="2">
        <f>(C64-$J64)/$J64</f>
        <v>5.1994547643963114E-2</v>
      </c>
      <c r="E64" s="3">
        <f>(C64-AZ64)/AZ64</f>
        <v>1.4601796786174364E-2</v>
      </c>
      <c r="F64" s="3">
        <f>(L64-J64)/J64</f>
        <v>3.2700599500200787E-2</v>
      </c>
      <c r="G64" s="3">
        <f>(O64-N64)/N64</f>
        <v>8.7337501251872583E-3</v>
      </c>
      <c r="H64" s="3">
        <f>(R64-Q64)/Q64</f>
        <v>-6.3641891618496357E-2</v>
      </c>
      <c r="I64" s="3">
        <f>(AV64-S64)/S64</f>
        <v>5.6158079322737552E-2</v>
      </c>
      <c r="J64" s="1">
        <v>169.90819999999999</v>
      </c>
      <c r="K64" s="1">
        <v>171.4786</v>
      </c>
      <c r="L64" s="1">
        <v>175.46430000000001</v>
      </c>
      <c r="N64">
        <v>173.7398</v>
      </c>
      <c r="O64">
        <v>175.25720000000001</v>
      </c>
      <c r="Q64" s="1">
        <v>175.4709</v>
      </c>
      <c r="R64" s="1">
        <v>164.30359999999999</v>
      </c>
      <c r="S64" s="1">
        <v>166.03309999999999</v>
      </c>
      <c r="T64" s="1">
        <v>165.44919999999999</v>
      </c>
      <c r="AV64">
        <v>175.35720000000001</v>
      </c>
      <c r="AZ64">
        <v>176.17009999999999</v>
      </c>
      <c r="BC64">
        <v>178.74250000000001</v>
      </c>
    </row>
    <row r="65" spans="2:55" ht="25.5" x14ac:dyDescent="0.2">
      <c r="B65" s="13" t="s">
        <v>48</v>
      </c>
      <c r="C65" s="10">
        <f t="array" ref="C65">_xlfn.IFNA(LOOKUP(2,1/(AW65:CA65&lt;&gt;""),AW65:CA65),"")</f>
        <v>10.28</v>
      </c>
      <c r="D65" s="2">
        <f>(C65-$J65)/$J65</f>
        <v>4.7910295616717516E-2</v>
      </c>
      <c r="E65" s="3">
        <f>(C65-AZ65)/AZ65</f>
        <v>2.9029029029028944E-2</v>
      </c>
      <c r="F65" s="3">
        <f>(L65-J65)/J65</f>
        <v>-6.0142711518858291E-2</v>
      </c>
      <c r="G65" s="3">
        <f>(O65-N65)/N65</f>
        <v>1.1982570806100157E-2</v>
      </c>
      <c r="H65" s="3">
        <f>(R65-Q65)/Q65</f>
        <v>-7.2527472527472547E-2</v>
      </c>
      <c r="I65" s="3">
        <f>(AV65-S65)/S65</f>
        <v>0.13741339491916854</v>
      </c>
      <c r="J65" s="1">
        <v>9.81</v>
      </c>
      <c r="K65" s="1">
        <v>9.91</v>
      </c>
      <c r="L65" s="1">
        <v>9.2200000000000006</v>
      </c>
      <c r="N65">
        <v>9.18</v>
      </c>
      <c r="O65">
        <v>9.2899999999999991</v>
      </c>
      <c r="Q65" s="1">
        <v>9.1</v>
      </c>
      <c r="R65" s="1">
        <v>8.44</v>
      </c>
      <c r="S65" s="1">
        <v>8.66</v>
      </c>
      <c r="T65" s="1">
        <v>8.64</v>
      </c>
      <c r="AV65">
        <v>9.85</v>
      </c>
      <c r="AZ65">
        <v>9.99</v>
      </c>
      <c r="BC65">
        <v>10.28</v>
      </c>
    </row>
    <row r="66" spans="2:55" ht="25.5" x14ac:dyDescent="0.2">
      <c r="B66" s="13" t="s">
        <v>80</v>
      </c>
      <c r="C66" s="10">
        <f t="array" ref="C66">_xlfn.IFNA(LOOKUP(2,1/(AW66:CA66&lt;&gt;""),AW66:CA66),"")</f>
        <v>12.834899999999999</v>
      </c>
      <c r="D66" s="2">
        <f>(C66-$J66)/$J66</f>
        <v>4.7268187604034069E-2</v>
      </c>
      <c r="E66" s="3">
        <f>(C66-AZ66)/AZ66</f>
        <v>1.3342912860515138E-2</v>
      </c>
      <c r="F66" s="3">
        <f>(L66-J66)/J66</f>
        <v>2.4103267077907307E-2</v>
      </c>
      <c r="G66" s="3">
        <f>(O66-N66)/N66</f>
        <v>3.217201915311884E-2</v>
      </c>
      <c r="H66" s="3">
        <f>(R66-Q66)/Q66</f>
        <v>-5.4572248140209362E-2</v>
      </c>
      <c r="I66" s="3">
        <f>(AV66-S66)/S66</f>
        <v>-0.28123793299261773</v>
      </c>
      <c r="J66" s="1">
        <v>12.255599999999999</v>
      </c>
      <c r="K66" s="1">
        <v>12.313599999999999</v>
      </c>
      <c r="L66" s="1">
        <v>12.551</v>
      </c>
      <c r="N66">
        <v>12.2591</v>
      </c>
      <c r="O66">
        <v>12.653499999999999</v>
      </c>
      <c r="Q66" s="1">
        <v>12.6896</v>
      </c>
      <c r="R66" s="1">
        <v>11.9971</v>
      </c>
      <c r="S66" s="1">
        <v>17.61</v>
      </c>
      <c r="T66" s="1">
        <v>12.0748</v>
      </c>
      <c r="AV66">
        <v>12.657400000000001</v>
      </c>
      <c r="AZ66">
        <v>12.665900000000001</v>
      </c>
      <c r="BC66">
        <v>12.834899999999999</v>
      </c>
    </row>
    <row r="67" spans="2:55" x14ac:dyDescent="0.2">
      <c r="B67" s="13" t="s">
        <v>84</v>
      </c>
      <c r="C67" s="10">
        <f t="array" ref="C67">_xlfn.IFNA(LOOKUP(2,1/(AW67:CA67&lt;&gt;""),AW67:CA67),"")</f>
        <v>14.1075</v>
      </c>
      <c r="D67" s="2">
        <f>(C67-$J67)/$J67</f>
        <v>4.6410716669880885E-2</v>
      </c>
      <c r="E67" s="3">
        <f>(C67-AZ67)/AZ67</f>
        <v>1.4803944841278404E-2</v>
      </c>
      <c r="F67" s="3">
        <f>(L67-J67)/J67</f>
        <v>3.7064783634232872E-2</v>
      </c>
      <c r="G67" s="3">
        <f>(O67-N67)/N67</f>
        <v>4.9200309174148346E-2</v>
      </c>
      <c r="H67" s="3">
        <f>(R67-Q67)/Q67</f>
        <v>-9.1354793066855303E-2</v>
      </c>
      <c r="I67" s="3">
        <f>(AV67-S67)/S67</f>
        <v>6.2488484922925754E-2</v>
      </c>
      <c r="J67" s="1">
        <v>13.4818</v>
      </c>
      <c r="K67" s="1">
        <v>13.575799999999999</v>
      </c>
      <c r="L67" s="1">
        <v>13.9815</v>
      </c>
      <c r="N67">
        <v>13.4552</v>
      </c>
      <c r="O67">
        <v>14.1172</v>
      </c>
      <c r="Q67" s="1">
        <v>14.135</v>
      </c>
      <c r="R67" s="1">
        <v>12.8437</v>
      </c>
      <c r="S67" s="1">
        <v>13.026400000000001</v>
      </c>
      <c r="T67" s="1">
        <v>12.963100000000001</v>
      </c>
      <c r="AV67">
        <v>13.840400000000001</v>
      </c>
      <c r="AZ67">
        <v>13.9017</v>
      </c>
      <c r="BC67">
        <v>14.1075</v>
      </c>
    </row>
    <row r="68" spans="2:55" ht="25.5" x14ac:dyDescent="0.2">
      <c r="B68" s="13" t="s">
        <v>115</v>
      </c>
      <c r="C68" s="10">
        <f t="array" ref="C68">_xlfn.IFNA(LOOKUP(2,1/(AW68:CA68&lt;&gt;""),AW68:CA68),"")</f>
        <v>10.7066</v>
      </c>
      <c r="D68" s="2">
        <f>(C68-$J68)/$J68</f>
        <v>4.600564690250792E-2</v>
      </c>
      <c r="E68" s="3">
        <f>(C68-AZ68)/AZ68</f>
        <v>2.1817140675701483E-2</v>
      </c>
      <c r="F68" s="3">
        <f>(L68-J68)/J68</f>
        <v>-3.8209404339712948E-2</v>
      </c>
      <c r="G68" s="3">
        <f>(O68-N68)/N68</f>
        <v>4.8577141978157115E-2</v>
      </c>
      <c r="H68" s="3">
        <f>(R68-Q68)/Q68</f>
        <v>-8.027277058683395E-2</v>
      </c>
      <c r="I68" s="3">
        <f>(AV68-S68)/S68</f>
        <v>0.10007087472099686</v>
      </c>
      <c r="J68" s="1">
        <v>10.2357</v>
      </c>
      <c r="K68" s="1">
        <v>10.336399999999999</v>
      </c>
      <c r="L68" s="1">
        <v>9.8445999999999998</v>
      </c>
      <c r="N68">
        <v>9.7515000000000001</v>
      </c>
      <c r="O68">
        <v>10.225199999999999</v>
      </c>
      <c r="Q68" s="1">
        <v>10.074400000000001</v>
      </c>
      <c r="R68" s="1">
        <v>9.2657000000000007</v>
      </c>
      <c r="S68" s="1">
        <v>9.4533000000000005</v>
      </c>
      <c r="T68" s="1">
        <v>9.4337</v>
      </c>
      <c r="AV68">
        <v>10.3993</v>
      </c>
      <c r="AZ68">
        <v>10.478</v>
      </c>
      <c r="BC68">
        <v>10.7066</v>
      </c>
    </row>
    <row r="69" spans="2:55" ht="25.5" x14ac:dyDescent="0.2">
      <c r="B69" s="13" t="s">
        <v>81</v>
      </c>
      <c r="C69" s="10">
        <f t="array" ref="C69">_xlfn.IFNA(LOOKUP(2,1/(AW69:CA69&lt;&gt;""),AW69:CA69),"")</f>
        <v>12.149900000000001</v>
      </c>
      <c r="D69" s="2">
        <f>(C69-$J69)/$J69</f>
        <v>4.562040654744496E-2</v>
      </c>
      <c r="E69" s="3">
        <f>(C69-AZ69)/AZ69</f>
        <v>1.2044680266215796E-2</v>
      </c>
      <c r="F69" s="3">
        <f>(L69-J69)/J69</f>
        <v>4.5801132549613557E-2</v>
      </c>
      <c r="G69" s="3">
        <f>(O69-N69)/N69</f>
        <v>4.4527295580391889E-2</v>
      </c>
      <c r="H69" s="3">
        <f>(R69-Q69)/Q69</f>
        <v>-6.5945024367490737E-2</v>
      </c>
      <c r="I69" s="3" t="e">
        <f>(AV69-S69)/S69</f>
        <v>#DIV/0!</v>
      </c>
      <c r="J69" s="1">
        <v>11.6198</v>
      </c>
      <c r="K69" s="1">
        <v>11.6831</v>
      </c>
      <c r="L69" s="1">
        <v>12.151999999999999</v>
      </c>
      <c r="N69">
        <v>11.774800000000001</v>
      </c>
      <c r="O69">
        <v>12.299099999999999</v>
      </c>
      <c r="Q69" s="1">
        <v>12.4346</v>
      </c>
      <c r="R69" s="1">
        <v>11.614599999999999</v>
      </c>
      <c r="S69" s="1"/>
      <c r="T69" s="1">
        <v>11.660600000000001</v>
      </c>
      <c r="AV69">
        <v>12.008599999999999</v>
      </c>
      <c r="AZ69">
        <v>12.0053</v>
      </c>
      <c r="BC69">
        <v>12.149900000000001</v>
      </c>
    </row>
    <row r="70" spans="2:55" x14ac:dyDescent="0.2">
      <c r="B70" s="13" t="s">
        <v>40</v>
      </c>
      <c r="C70" s="10">
        <f t="array" ref="C70">_xlfn.IFNA(LOOKUP(2,1/(AW70:CA70&lt;&gt;""),AW70:CA70),"")</f>
        <v>127.33</v>
      </c>
      <c r="D70" s="2">
        <f>(C70-$J70)/$J70</f>
        <v>4.557398587617012E-2</v>
      </c>
      <c r="E70" s="3">
        <f>(C70-AZ70)/AZ70</f>
        <v>2.6027397260274004E-2</v>
      </c>
      <c r="F70" s="3">
        <f>(L70-J70)/J70</f>
        <v>-4.1303990803087547E-2</v>
      </c>
      <c r="G70" s="3">
        <f>(O70-N70)/N70</f>
        <v>2.8283879923650796E-2</v>
      </c>
      <c r="H70" s="3">
        <f>(R70-Q70)/Q70</f>
        <v>-7.1655367716467813E-2</v>
      </c>
      <c r="I70" s="3">
        <f>(AV70-S70)/S70</f>
        <v>0.11060866419462788</v>
      </c>
      <c r="J70" s="1">
        <v>121.78</v>
      </c>
      <c r="K70" s="1">
        <v>122.91</v>
      </c>
      <c r="L70" s="1">
        <v>116.75</v>
      </c>
      <c r="N70">
        <v>115.26</v>
      </c>
      <c r="O70">
        <v>118.52</v>
      </c>
      <c r="Q70" s="1">
        <v>116.53</v>
      </c>
      <c r="R70" s="1">
        <v>108.18</v>
      </c>
      <c r="S70" s="1">
        <v>110.57</v>
      </c>
      <c r="T70" s="1">
        <v>110.55</v>
      </c>
      <c r="AV70">
        <v>122.8</v>
      </c>
      <c r="AZ70">
        <v>124.1</v>
      </c>
      <c r="BC70">
        <v>127.33</v>
      </c>
    </row>
    <row r="71" spans="2:55" x14ac:dyDescent="0.2">
      <c r="B71" s="13" t="s">
        <v>35</v>
      </c>
      <c r="C71" s="10">
        <f t="array" ref="C71">_xlfn.IFNA(LOOKUP(2,1/(AW71:CA71&lt;&gt;""),AW71:CA71),"")</f>
        <v>48.85</v>
      </c>
      <c r="D71" s="2">
        <f>(C71-$J71)/$J71</f>
        <v>4.4696321642429503E-2</v>
      </c>
      <c r="E71" s="3">
        <f>(C71-AZ71)/AZ71</f>
        <v>3.0590717299578119E-2</v>
      </c>
      <c r="F71" s="3">
        <f>(L71-J71)/J71</f>
        <v>-6.2232677502138511E-2</v>
      </c>
      <c r="G71" s="3">
        <f>(O71-N71)/N71</f>
        <v>4.8250628858907081E-2</v>
      </c>
      <c r="H71" s="3">
        <f>(R71-Q71)/Q71</f>
        <v>-8.8790233074361832E-2</v>
      </c>
      <c r="I71" s="3">
        <f>(AV71-S71)/S71</f>
        <v>0.11227154046997381</v>
      </c>
      <c r="J71" s="1">
        <v>46.76</v>
      </c>
      <c r="K71" s="1">
        <v>47.08</v>
      </c>
      <c r="L71" s="1">
        <v>43.85</v>
      </c>
      <c r="N71">
        <v>43.73</v>
      </c>
      <c r="O71">
        <v>45.84</v>
      </c>
      <c r="Q71" s="1">
        <v>45.05</v>
      </c>
      <c r="R71" s="1">
        <v>41.05</v>
      </c>
      <c r="S71" s="1">
        <v>42.13</v>
      </c>
      <c r="T71" s="1">
        <v>41.93</v>
      </c>
      <c r="AV71">
        <v>46.86</v>
      </c>
      <c r="AZ71">
        <v>47.4</v>
      </c>
      <c r="BC71">
        <v>48.85</v>
      </c>
    </row>
    <row r="72" spans="2:55" ht="25.5" x14ac:dyDescent="0.2">
      <c r="B72" s="13" t="s">
        <v>116</v>
      </c>
      <c r="C72" s="10">
        <f t="array" ref="C72">_xlfn.IFNA(LOOKUP(2,1/(AW72:CA72&lt;&gt;""),AW72:CA72),"")</f>
        <v>19.560700000000001</v>
      </c>
      <c r="D72" s="2">
        <f>(C72-$J72)/$J72</f>
        <v>4.4067018590773548E-2</v>
      </c>
      <c r="E72" s="3">
        <f>(C72-AZ72)/AZ72</f>
        <v>2.6980910179137681E-2</v>
      </c>
      <c r="F72" s="3">
        <f>(L72-J72)/J72</f>
        <v>-2.6703887355818721E-2</v>
      </c>
      <c r="G72" s="3">
        <f>(O72-N72)/N72</f>
        <v>5.7355959962596341E-2</v>
      </c>
      <c r="H72" s="3">
        <f>(R72-Q72)/Q72</f>
        <v>-9.8863438033837833E-2</v>
      </c>
      <c r="I72" s="3">
        <f>(AV72-S72)/S72</f>
        <v>9.0383893237817314E-2</v>
      </c>
      <c r="J72" s="1">
        <v>18.735099999999999</v>
      </c>
      <c r="K72" s="1">
        <v>18.9268</v>
      </c>
      <c r="L72" s="1">
        <v>18.2348</v>
      </c>
      <c r="N72">
        <v>18.0731</v>
      </c>
      <c r="O72">
        <v>19.1097</v>
      </c>
      <c r="Q72" s="1">
        <v>18.907900000000001</v>
      </c>
      <c r="R72" s="1">
        <v>17.038599999999999</v>
      </c>
      <c r="S72" s="1">
        <v>17.3095</v>
      </c>
      <c r="T72" s="1">
        <v>17.220600000000001</v>
      </c>
      <c r="AV72">
        <v>18.873999999999999</v>
      </c>
      <c r="AZ72">
        <v>19.046800000000001</v>
      </c>
      <c r="BC72">
        <v>19.560700000000001</v>
      </c>
    </row>
    <row r="73" spans="2:55" ht="25.5" x14ac:dyDescent="0.2">
      <c r="B73" s="13" t="s">
        <v>67</v>
      </c>
      <c r="C73" s="10">
        <f t="array" ref="C73">_xlfn.IFNA(LOOKUP(2,1/(AW73:CA73&lt;&gt;""),AW73:CA73),"")</f>
        <v>56.118499999999997</v>
      </c>
      <c r="D73" s="2">
        <f>(C73-$J73)/$J73</f>
        <v>4.3560324308241478E-2</v>
      </c>
      <c r="E73" s="3">
        <f>(C73-AZ73)/AZ73</f>
        <v>8.3081638850008403E-3</v>
      </c>
      <c r="F73" s="3">
        <f>(L73-J73)/J73</f>
        <v>-3.7196890806307698E-2</v>
      </c>
      <c r="G73" s="3">
        <f>(O73-N73)/N73</f>
        <v>4.300668457059964E-2</v>
      </c>
      <c r="H73" s="3">
        <f>(R73-Q73)/Q73</f>
        <v>-9.7498870432911319E-2</v>
      </c>
      <c r="I73" s="3">
        <f>(AV73-S73)/S73</f>
        <v>0.14107056223384187</v>
      </c>
      <c r="J73" s="1">
        <v>53.776000000000003</v>
      </c>
      <c r="K73" s="1">
        <v>54.367400000000004</v>
      </c>
      <c r="L73" s="1">
        <v>51.775700000000001</v>
      </c>
      <c r="N73">
        <v>51.012999999999998</v>
      </c>
      <c r="O73">
        <v>53.206899999999997</v>
      </c>
      <c r="Q73" s="1">
        <v>52.232399999999998</v>
      </c>
      <c r="R73" s="1">
        <v>47.139800000000001</v>
      </c>
      <c r="S73" s="1">
        <v>48.232599999999998</v>
      </c>
      <c r="T73" s="1">
        <v>48.215600000000002</v>
      </c>
      <c r="AV73">
        <v>55.036799999999999</v>
      </c>
      <c r="AZ73">
        <v>55.656100000000002</v>
      </c>
      <c r="BC73">
        <v>56.118499999999997</v>
      </c>
    </row>
    <row r="74" spans="2:55" ht="25.5" x14ac:dyDescent="0.2">
      <c r="B74" s="13" t="s">
        <v>117</v>
      </c>
      <c r="C74" s="10">
        <f t="array" ref="C74">_xlfn.IFNA(LOOKUP(2,1/(AW74:CA74&lt;&gt;""),AW74:CA74),"")</f>
        <v>11.2097</v>
      </c>
      <c r="D74" s="2">
        <f>(C74-$J74)/$J74</f>
        <v>4.343252878591837E-2</v>
      </c>
      <c r="E74" s="3">
        <f>(C74-AZ74)/AZ74</f>
        <v>2.6943090622595207E-2</v>
      </c>
      <c r="F74" s="3">
        <f>(L74-J74)/J74</f>
        <v>-2.6528655602200496E-2</v>
      </c>
      <c r="G74" s="3">
        <f>(O74-N74)/N74</f>
        <v>5.7140927683877421E-2</v>
      </c>
      <c r="H74" s="3">
        <f>(R74-Q74)/Q74</f>
        <v>-9.9252974269113725E-2</v>
      </c>
      <c r="I74" s="3">
        <f>(AV74-S74)/S74</f>
        <v>9.0231929927125115E-2</v>
      </c>
      <c r="J74" s="1">
        <v>10.7431</v>
      </c>
      <c r="K74" s="1">
        <v>10.853</v>
      </c>
      <c r="L74" s="1">
        <v>10.4581</v>
      </c>
      <c r="N74">
        <v>10.365600000000001</v>
      </c>
      <c r="O74">
        <v>10.9579</v>
      </c>
      <c r="Q74" s="1">
        <v>10.843</v>
      </c>
      <c r="R74" s="1">
        <v>9.7667999999999999</v>
      </c>
      <c r="S74" s="1">
        <v>9.9210999999999991</v>
      </c>
      <c r="T74" s="1">
        <v>9.8704000000000001</v>
      </c>
      <c r="AV74">
        <v>10.8163</v>
      </c>
      <c r="AZ74">
        <v>10.9156</v>
      </c>
      <c r="BC74">
        <v>11.2097</v>
      </c>
    </row>
    <row r="75" spans="2:55" ht="25.5" x14ac:dyDescent="0.2">
      <c r="B75" s="13" t="s">
        <v>119</v>
      </c>
      <c r="C75" s="10">
        <f t="array" ref="C75">_xlfn.IFNA(LOOKUP(2,1/(AW75:CA75&lt;&gt;""),AW75:CA75),"")</f>
        <v>20.523</v>
      </c>
      <c r="D75" s="2">
        <f>(C75-$J75)/$J75</f>
        <v>4.2729397418961548E-2</v>
      </c>
      <c r="E75" s="3">
        <f>(C75-AZ75)/AZ75</f>
        <v>2.7177177177177141E-2</v>
      </c>
      <c r="F75" s="3">
        <f>(L75-J75)/J75</f>
        <v>-2.6572502794431446E-2</v>
      </c>
      <c r="G75" s="3">
        <f>(O75-N75)/N75</f>
        <v>5.7203055043455471E-2</v>
      </c>
      <c r="H75" s="3">
        <f>(R75-Q75)/Q75</f>
        <v>-0.10003023583954844</v>
      </c>
      <c r="I75" s="3">
        <f>(AV75-S75)/S75</f>
        <v>9.2635530528872731E-2</v>
      </c>
      <c r="J75" s="1">
        <v>19.681999999999999</v>
      </c>
      <c r="K75" s="1">
        <v>19.844000000000001</v>
      </c>
      <c r="L75" s="1">
        <v>19.158999999999999</v>
      </c>
      <c r="N75">
        <v>18.984999999999999</v>
      </c>
      <c r="O75">
        <v>20.071000000000002</v>
      </c>
      <c r="Q75" s="1">
        <v>19.844000000000001</v>
      </c>
      <c r="R75" s="1">
        <v>17.859000000000002</v>
      </c>
      <c r="S75" s="1">
        <v>18.114000000000001</v>
      </c>
      <c r="T75" s="1">
        <v>18.084</v>
      </c>
      <c r="AV75">
        <v>19.792000000000002</v>
      </c>
      <c r="AZ75">
        <v>19.98</v>
      </c>
      <c r="BC75">
        <v>20.523</v>
      </c>
    </row>
    <row r="76" spans="2:55" ht="25.5" x14ac:dyDescent="0.2">
      <c r="B76" s="13" t="s">
        <v>107</v>
      </c>
      <c r="C76" s="10">
        <f t="array" ref="C76">_xlfn.IFNA(LOOKUP(2,1/(AW76:CA76&lt;&gt;""),AW76:CA76),"")</f>
        <v>12.59</v>
      </c>
      <c r="D76" s="2">
        <f>(C76-$J76)/$J76</f>
        <v>4.2218543046357596E-2</v>
      </c>
      <c r="E76" s="3">
        <f>(C76-AZ76)/AZ76</f>
        <v>2.3577235772357652E-2</v>
      </c>
      <c r="F76" s="3">
        <f>(L76-J76)/J76</f>
        <v>6.0430463576158978E-2</v>
      </c>
      <c r="G76" s="3">
        <f>(O76-N76)/N76</f>
        <v>2.1827000808407548E-2</v>
      </c>
      <c r="H76" s="3">
        <f>(R76-Q76)/Q76</f>
        <v>-5.7233704292527873E-2</v>
      </c>
      <c r="I76" s="3">
        <f>(AV76-S76)/S76</f>
        <v>2.9387069689336662E-2</v>
      </c>
      <c r="J76" s="1">
        <v>12.08</v>
      </c>
      <c r="K76" s="1">
        <v>12.15</v>
      </c>
      <c r="L76" s="1">
        <v>12.81</v>
      </c>
      <c r="N76">
        <v>12.37</v>
      </c>
      <c r="O76">
        <v>12.64</v>
      </c>
      <c r="Q76" s="1">
        <v>12.58</v>
      </c>
      <c r="R76" s="1">
        <v>11.86</v>
      </c>
      <c r="S76" s="1">
        <v>11.91</v>
      </c>
      <c r="T76" s="1">
        <v>11.86</v>
      </c>
      <c r="AV76">
        <v>12.26</v>
      </c>
      <c r="AZ76">
        <v>12.3</v>
      </c>
      <c r="BC76">
        <v>12.59</v>
      </c>
    </row>
    <row r="77" spans="2:55" ht="25.5" x14ac:dyDescent="0.2">
      <c r="B77" s="13" t="s">
        <v>118</v>
      </c>
      <c r="C77" s="10">
        <f t="array" ref="C77">_xlfn.IFNA(LOOKUP(2,1/(AW77:CA77&lt;&gt;""),AW77:CA77),"")</f>
        <v>12.4971</v>
      </c>
      <c r="D77" s="2">
        <f>(C77-$J77)/$J77</f>
        <v>4.1589918403747157E-2</v>
      </c>
      <c r="E77" s="3">
        <f>(C77-AZ77)/AZ77</f>
        <v>2.6759452486977621E-2</v>
      </c>
      <c r="F77" s="3">
        <f>(L77-J77)/J77</f>
        <v>-2.6887590535168177E-2</v>
      </c>
      <c r="G77" s="3">
        <f>(O77-N77)/N77</f>
        <v>5.705150362945053E-2</v>
      </c>
      <c r="H77" s="3">
        <f>(R77-Q77)/Q77</f>
        <v>-0.10023381280104435</v>
      </c>
      <c r="I77" s="3">
        <f>(AV77-S77)/S77</f>
        <v>9.0246768507638089E-2</v>
      </c>
      <c r="J77" s="1">
        <v>11.998100000000001</v>
      </c>
      <c r="K77" s="1">
        <v>12.1203</v>
      </c>
      <c r="L77" s="1">
        <v>11.6755</v>
      </c>
      <c r="N77">
        <v>11.571999999999999</v>
      </c>
      <c r="O77">
        <v>12.232200000000001</v>
      </c>
      <c r="Q77" s="1">
        <v>12.1037</v>
      </c>
      <c r="R77" s="1">
        <v>10.890499999999999</v>
      </c>
      <c r="S77" s="1">
        <v>11.063000000000001</v>
      </c>
      <c r="T77" s="1">
        <v>11.0063</v>
      </c>
      <c r="AV77">
        <v>12.061400000000001</v>
      </c>
      <c r="AZ77">
        <v>12.1714</v>
      </c>
      <c r="BC77">
        <v>12.4971</v>
      </c>
    </row>
    <row r="78" spans="2:55" ht="25.5" x14ac:dyDescent="0.2">
      <c r="B78" s="13" t="s">
        <v>120</v>
      </c>
      <c r="C78" s="10">
        <f t="array" ref="C78">_xlfn.IFNA(LOOKUP(2,1/(AW78:CA78&lt;&gt;""),AW78:CA78),"")</f>
        <v>11.797000000000001</v>
      </c>
      <c r="D78" s="2">
        <f>(C78-$J78)/$J78</f>
        <v>4.0299823633157032E-2</v>
      </c>
      <c r="E78" s="3">
        <f>(C78-AZ78)/AZ78</f>
        <v>2.5112964893986921E-2</v>
      </c>
      <c r="F78" s="3">
        <f>(L78-J78)/J78</f>
        <v>-3.9329805996472643E-2</v>
      </c>
      <c r="G78" s="3">
        <f>(O78-N78)/N78</f>
        <v>4.8436202601716057E-2</v>
      </c>
      <c r="H78" s="3">
        <f>(R78-Q78)/Q78</f>
        <v>-9.6171050277330555E-2</v>
      </c>
      <c r="I78" s="3">
        <f>(AV78-S78)/S78</f>
        <v>0.1067791678789643</v>
      </c>
      <c r="J78" s="1">
        <v>11.34</v>
      </c>
      <c r="K78" s="1">
        <v>11.475</v>
      </c>
      <c r="L78" s="1">
        <v>10.894</v>
      </c>
      <c r="N78">
        <v>10.839</v>
      </c>
      <c r="O78">
        <v>11.364000000000001</v>
      </c>
      <c r="Q78" s="1">
        <v>11.178000000000001</v>
      </c>
      <c r="R78" s="1">
        <v>10.103</v>
      </c>
      <c r="S78" s="1">
        <v>10.311</v>
      </c>
      <c r="T78" s="1">
        <v>10.286</v>
      </c>
      <c r="AV78">
        <v>11.412000000000001</v>
      </c>
      <c r="AZ78">
        <v>11.507999999999999</v>
      </c>
      <c r="BC78">
        <v>11.797000000000001</v>
      </c>
    </row>
    <row r="79" spans="2:55" ht="25.5" x14ac:dyDescent="0.2">
      <c r="B79" s="13" t="s">
        <v>62</v>
      </c>
      <c r="C79" s="10">
        <f t="array" ref="C79">_xlfn.IFNA(LOOKUP(2,1/(AW79:CA79&lt;&gt;""),AW79:CA79),"")</f>
        <v>81.233000000000004</v>
      </c>
      <c r="D79" s="2">
        <f>(C79-$J79)/$J79</f>
        <v>4.0235110320011404E-2</v>
      </c>
      <c r="E79" s="3">
        <f>(C79-AZ79)/AZ79</f>
        <v>1.0813299487332633E-2</v>
      </c>
      <c r="F79" s="3">
        <f>(L79-J79)/J79</f>
        <v>-3.6124521391709651E-2</v>
      </c>
      <c r="G79" s="3">
        <f>(O79-N79)/N79</f>
        <v>5.3547487531506413E-2</v>
      </c>
      <c r="H79" s="3">
        <f>(R79-Q79)/Q79</f>
        <v>-9.9229788452030857E-2</v>
      </c>
      <c r="I79" s="3">
        <f>(AV79-S79)/S79</f>
        <v>0.12403220377019733</v>
      </c>
      <c r="J79" s="1">
        <v>78.090999999999994</v>
      </c>
      <c r="K79" s="1">
        <v>78.814999999999998</v>
      </c>
      <c r="L79" s="1">
        <v>75.27</v>
      </c>
      <c r="N79">
        <v>74.587999999999994</v>
      </c>
      <c r="O79">
        <v>78.581999999999994</v>
      </c>
      <c r="Q79" s="1">
        <v>76.861999999999995</v>
      </c>
      <c r="R79" s="1">
        <v>69.234999999999999</v>
      </c>
      <c r="S79" s="1">
        <v>71.296000000000006</v>
      </c>
      <c r="T79" s="1">
        <v>71.61</v>
      </c>
      <c r="AV79">
        <v>80.138999999999996</v>
      </c>
      <c r="AZ79">
        <v>80.364000000000004</v>
      </c>
      <c r="BC79">
        <v>81.233000000000004</v>
      </c>
    </row>
    <row r="80" spans="2:55" x14ac:dyDescent="0.2">
      <c r="B80" s="13" t="s">
        <v>38</v>
      </c>
      <c r="C80" s="10">
        <f t="array" ref="C80">_xlfn.IFNA(LOOKUP(2,1/(AW80:CA80&lt;&gt;""),AW80:CA80),"")</f>
        <v>306.22000000000003</v>
      </c>
      <c r="D80" s="2">
        <f>(C80-$J80)/$J80</f>
        <v>3.8509148254285919E-2</v>
      </c>
      <c r="E80" s="3">
        <f>(C80-AZ80)/AZ80</f>
        <v>2.4726350345178411E-2</v>
      </c>
      <c r="F80" s="3">
        <f>(L80-J80)/J80</f>
        <v>-5.1108134230919207E-2</v>
      </c>
      <c r="G80" s="3">
        <f>(O80-N80)/N80</f>
        <v>3.7482128644946204E-2</v>
      </c>
      <c r="H80" s="3">
        <f>(R80-Q80)/Q80</f>
        <v>-8.7410966707829288E-2</v>
      </c>
      <c r="I80" s="3">
        <f>(AV80-S80)/S80</f>
        <v>0.11645358637801376</v>
      </c>
      <c r="J80" s="1">
        <v>294.86500000000001</v>
      </c>
      <c r="K80" s="1">
        <v>297.43</v>
      </c>
      <c r="L80" s="1">
        <v>279.79500000000002</v>
      </c>
      <c r="N80">
        <v>277.67899999999997</v>
      </c>
      <c r="O80">
        <v>288.08699999999999</v>
      </c>
      <c r="Q80" s="1">
        <v>282.61900000000003</v>
      </c>
      <c r="R80" s="1">
        <v>257.91500000000002</v>
      </c>
      <c r="S80" s="1">
        <v>263.98500000000001</v>
      </c>
      <c r="T80" s="1">
        <v>265.00200000000001</v>
      </c>
      <c r="AV80">
        <v>294.72699999999998</v>
      </c>
      <c r="AZ80">
        <v>298.83100000000002</v>
      </c>
      <c r="BC80">
        <v>306.22000000000003</v>
      </c>
    </row>
    <row r="81" spans="2:55" ht="25.5" x14ac:dyDescent="0.2">
      <c r="B81" s="13" t="s">
        <v>43</v>
      </c>
      <c r="C81" s="10">
        <f t="array" ref="C81">_xlfn.IFNA(LOOKUP(2,1/(AW81:CA81&lt;&gt;""),AW81:CA81),"")</f>
        <v>44.24</v>
      </c>
      <c r="D81" s="2">
        <f>(C81-$J81)/$J81</f>
        <v>3.5580524344569361E-2</v>
      </c>
      <c r="E81" s="3">
        <f>(C81-AZ81)/AZ81</f>
        <v>2.8837209302325629E-2</v>
      </c>
      <c r="F81" s="3">
        <f>(L81-J81)/J81</f>
        <v>-3.3005617977528011E-2</v>
      </c>
      <c r="G81" s="3">
        <f>(O81-N81)/N81</f>
        <v>1.8159509202454037E-2</v>
      </c>
      <c r="H81" s="3">
        <f>(R81-Q81)/Q81</f>
        <v>-8.5413607440039202E-2</v>
      </c>
      <c r="I81" s="3">
        <f>(AV81-S81)/S81</f>
        <v>0.1108207004704653</v>
      </c>
      <c r="J81" s="1">
        <v>42.72</v>
      </c>
      <c r="K81" s="1">
        <v>43.01</v>
      </c>
      <c r="L81" s="1">
        <v>41.31</v>
      </c>
      <c r="N81">
        <v>40.75</v>
      </c>
      <c r="O81">
        <v>41.49</v>
      </c>
      <c r="Q81" s="1">
        <v>40.86</v>
      </c>
      <c r="R81" s="1">
        <v>37.369999999999997</v>
      </c>
      <c r="S81" s="1">
        <v>38.26</v>
      </c>
      <c r="T81" s="1">
        <v>38.19</v>
      </c>
      <c r="AV81">
        <v>42.5</v>
      </c>
      <c r="AZ81">
        <v>43</v>
      </c>
      <c r="BC81">
        <v>44.24</v>
      </c>
    </row>
    <row r="82" spans="2:55" ht="25.5" x14ac:dyDescent="0.2">
      <c r="B82" s="13" t="s">
        <v>89</v>
      </c>
      <c r="C82" s="10">
        <f t="array" ref="C82">_xlfn.IFNA(LOOKUP(2,1/(AW82:CA82&lt;&gt;""),AW82:CA82),"")</f>
        <v>14.570600000000001</v>
      </c>
      <c r="D82" s="2">
        <f>(C82-$J82)/$J82</f>
        <v>3.5277566593956353E-2</v>
      </c>
      <c r="E82" s="3">
        <f>(C82-AZ82)/AZ82</f>
        <v>1.4164305949008499E-2</v>
      </c>
      <c r="F82" s="3">
        <f>(L82-J82)/J82</f>
        <v>2.5827584001818955E-2</v>
      </c>
      <c r="G82" s="3">
        <f>(O82-N82)/N82</f>
        <v>1.9528782059928026E-2</v>
      </c>
      <c r="H82" s="3">
        <f>(R82-Q82)/Q82</f>
        <v>-7.4081028080277084E-2</v>
      </c>
      <c r="I82" s="3">
        <f>(AV82-S82)/S82</f>
        <v>5.6308469917089134E-2</v>
      </c>
      <c r="J82" s="1">
        <v>14.0741</v>
      </c>
      <c r="K82" s="1">
        <v>14.164</v>
      </c>
      <c r="L82" s="1">
        <v>14.4376</v>
      </c>
      <c r="N82">
        <v>14.0869</v>
      </c>
      <c r="O82">
        <v>14.362</v>
      </c>
      <c r="Q82" s="1">
        <v>14.3802</v>
      </c>
      <c r="R82" s="1">
        <v>13.3149</v>
      </c>
      <c r="S82" s="1">
        <v>13.5326</v>
      </c>
      <c r="T82" s="1">
        <v>13.4741</v>
      </c>
      <c r="AV82">
        <v>14.294600000000001</v>
      </c>
      <c r="AZ82">
        <v>14.367100000000001</v>
      </c>
      <c r="BC82">
        <v>14.570600000000001</v>
      </c>
    </row>
    <row r="83" spans="2:55" ht="25.5" x14ac:dyDescent="0.2">
      <c r="B83" s="13" t="s">
        <v>122</v>
      </c>
      <c r="C83" s="10">
        <f t="array" ref="C83">_xlfn.IFNA(LOOKUP(2,1/(AW83:CA83&lt;&gt;""),AW83:CA83),"")</f>
        <v>12.3096</v>
      </c>
      <c r="D83" s="2">
        <f>(C83-$J83)/$J83</f>
        <v>3.4715801153270706E-2</v>
      </c>
      <c r="E83" s="3">
        <f>(C83-AZ83)/AZ83</f>
        <v>2.7272423807457393E-2</v>
      </c>
      <c r="F83" s="3">
        <f>(L83-J83)/J83</f>
        <v>-4.6946186305330824E-2</v>
      </c>
      <c r="G83" s="3">
        <f>(O83-N83)/N83</f>
        <v>4.9570672242737035E-2</v>
      </c>
      <c r="H83" s="3">
        <f>(R83-Q83)/Q83</f>
        <v>-8.5875405558512058E-2</v>
      </c>
      <c r="I83" s="3">
        <f>(AV83-S83)/S83</f>
        <v>9.6246515148717779E-2</v>
      </c>
      <c r="J83" s="1">
        <v>11.896599999999999</v>
      </c>
      <c r="K83" s="1">
        <v>12.0136</v>
      </c>
      <c r="L83" s="1">
        <v>11.338100000000001</v>
      </c>
      <c r="N83">
        <v>11.2385</v>
      </c>
      <c r="O83">
        <v>11.7956</v>
      </c>
      <c r="Q83" s="1">
        <v>11.650600000000001</v>
      </c>
      <c r="R83" s="1">
        <v>10.6501</v>
      </c>
      <c r="S83" s="1">
        <v>10.832599999999999</v>
      </c>
      <c r="T83" s="1">
        <v>10.7592</v>
      </c>
      <c r="AV83">
        <v>11.8752</v>
      </c>
      <c r="AZ83">
        <v>11.982799999999999</v>
      </c>
      <c r="BC83">
        <v>12.3096</v>
      </c>
    </row>
    <row r="84" spans="2:55" ht="25.5" x14ac:dyDescent="0.2">
      <c r="B84" s="13" t="s">
        <v>88</v>
      </c>
      <c r="C84" s="10">
        <f t="array" ref="C84">_xlfn.IFNA(LOOKUP(2,1/(AW84:CA84&lt;&gt;""),AW84:CA84),"")</f>
        <v>26.6187</v>
      </c>
      <c r="D84" s="2">
        <f>(C84-$J84)/$J84</f>
        <v>3.4274146546163876E-2</v>
      </c>
      <c r="E84" s="3">
        <f>(C84-AZ84)/AZ84</f>
        <v>1.2722423652142103E-2</v>
      </c>
      <c r="F84" s="3">
        <f>(L84-J84)/J84</f>
        <v>3.6014858217480156E-2</v>
      </c>
      <c r="G84" s="3">
        <f>(O84-N84)/N84</f>
        <v>2.722297744780228E-2</v>
      </c>
      <c r="H84" s="3">
        <f>(R84-Q84)/Q84</f>
        <v>-7.7522939232674171E-2</v>
      </c>
      <c r="I84" s="3">
        <f>(AV84-S84)/S84</f>
        <v>5.4841046277665992E-2</v>
      </c>
      <c r="J84" s="1">
        <v>25.736599999999999</v>
      </c>
      <c r="K84" s="1">
        <v>25.910699999999999</v>
      </c>
      <c r="L84" s="1">
        <v>26.663499999999999</v>
      </c>
      <c r="N84">
        <v>25.8201</v>
      </c>
      <c r="O84">
        <v>26.523</v>
      </c>
      <c r="Q84" s="1">
        <v>26.5702</v>
      </c>
      <c r="R84" s="1">
        <v>24.510400000000001</v>
      </c>
      <c r="S84" s="1">
        <v>24.85</v>
      </c>
      <c r="T84" s="1">
        <v>24.751100000000001</v>
      </c>
      <c r="AV84">
        <v>26.212800000000001</v>
      </c>
      <c r="AZ84">
        <v>26.284300000000002</v>
      </c>
      <c r="BC84">
        <v>26.6187</v>
      </c>
    </row>
    <row r="85" spans="2:55" x14ac:dyDescent="0.2">
      <c r="B85" s="13" t="s">
        <v>45</v>
      </c>
      <c r="C85" s="10">
        <f t="array" ref="C85">_xlfn.IFNA(LOOKUP(2,1/(AW85:CA85&lt;&gt;""),AW85:CA85),"")</f>
        <v>50.634999999999998</v>
      </c>
      <c r="D85" s="2">
        <f>(C85-$J85)/$J85</f>
        <v>3.3367346938775466E-2</v>
      </c>
      <c r="E85" s="3">
        <f>(C85-AZ85)/AZ85</f>
        <v>2.4792552114956515E-2</v>
      </c>
      <c r="F85" s="3">
        <f>(L85-J85)/J85</f>
        <v>-3.4673469387755063E-2</v>
      </c>
      <c r="G85" s="3">
        <f>(O85-N85)/N85</f>
        <v>2.0039993979400997E-2</v>
      </c>
      <c r="H85" s="3">
        <f>(R85-Q85)/Q85</f>
        <v>-8.2152186014644871E-2</v>
      </c>
      <c r="I85" s="3">
        <f>(AV85-S85)/S85</f>
        <v>0.11516815374056277</v>
      </c>
      <c r="J85" s="1">
        <v>49</v>
      </c>
      <c r="K85" s="1">
        <v>49.305999999999997</v>
      </c>
      <c r="L85" s="1">
        <v>47.301000000000002</v>
      </c>
      <c r="N85">
        <v>46.506999999999998</v>
      </c>
      <c r="O85">
        <v>47.439</v>
      </c>
      <c r="Q85" s="1">
        <v>46.706000000000003</v>
      </c>
      <c r="R85" s="1">
        <v>42.869</v>
      </c>
      <c r="S85" s="1">
        <v>43.71</v>
      </c>
      <c r="T85" s="1">
        <v>43.59</v>
      </c>
      <c r="AV85">
        <v>48.744</v>
      </c>
      <c r="AZ85">
        <v>49.41</v>
      </c>
      <c r="BC85">
        <v>50.634999999999998</v>
      </c>
    </row>
    <row r="86" spans="2:55" x14ac:dyDescent="0.2">
      <c r="B86" s="13" t="s">
        <v>66</v>
      </c>
      <c r="C86" s="10">
        <f t="array" ref="C86">_xlfn.IFNA(LOOKUP(2,1/(AW86:CA86&lt;&gt;""),AW86:CA86),"")</f>
        <v>58.624000000000002</v>
      </c>
      <c r="D86" s="2">
        <f>(C86-$J86)/$J86</f>
        <v>3.2421675501470529E-2</v>
      </c>
      <c r="E86" s="3">
        <f>(C86-AZ86)/AZ86</f>
        <v>1.025349394268381E-2</v>
      </c>
      <c r="F86" s="3">
        <f>(L86-J86)/J86</f>
        <v>-5.1001179930613046E-2</v>
      </c>
      <c r="G86" s="3">
        <f>(O86-N86)/N86</f>
        <v>4.7649480272927133E-2</v>
      </c>
      <c r="H86" s="3">
        <f>(R86-Q86)/Q86</f>
        <v>-0.10410169864621939</v>
      </c>
      <c r="I86" s="3">
        <f>(AV86-S86)/S86</f>
        <v>0.13827194737780593</v>
      </c>
      <c r="J86" s="1">
        <v>56.783000000000001</v>
      </c>
      <c r="K86" s="1">
        <v>57.36</v>
      </c>
      <c r="L86" s="1">
        <v>53.887</v>
      </c>
      <c r="N86">
        <v>53.201000000000001</v>
      </c>
      <c r="O86">
        <v>55.735999999999997</v>
      </c>
      <c r="Q86" s="1">
        <v>54.514000000000003</v>
      </c>
      <c r="R86" s="1">
        <v>48.838999999999999</v>
      </c>
      <c r="S86" s="1">
        <v>50.472999999999999</v>
      </c>
      <c r="T86" s="1">
        <v>50.640999999999998</v>
      </c>
      <c r="AV86">
        <v>57.451999999999998</v>
      </c>
      <c r="AZ86">
        <v>58.029000000000003</v>
      </c>
      <c r="BC86">
        <v>58.624000000000002</v>
      </c>
    </row>
    <row r="87" spans="2:55" x14ac:dyDescent="0.2">
      <c r="B87" s="13" t="s">
        <v>97</v>
      </c>
      <c r="C87" s="10">
        <f t="array" ref="C87">_xlfn.IFNA(LOOKUP(2,1/(AW87:CA87&lt;&gt;""),AW87:CA87),"")</f>
        <v>16.667999999999999</v>
      </c>
      <c r="D87" s="2">
        <f>(C87-$K87)/$K87</f>
        <v>3.0409060280289904E-2</v>
      </c>
      <c r="E87" s="3">
        <f>(C87-AZ87)/AZ87</f>
        <v>1.3868613138686007E-2</v>
      </c>
      <c r="F87" s="3">
        <f>(L87-K87)/K87</f>
        <v>4.2371152502766289E-2</v>
      </c>
      <c r="G87" s="3">
        <f>(O87-N87)/N87</f>
        <v>6.2573589211365049E-3</v>
      </c>
      <c r="H87" s="3">
        <f>(R87-Q87)/Q87</f>
        <v>-6.7403453464211491E-2</v>
      </c>
      <c r="I87" s="3">
        <f>(AV87-S87)/S87</f>
        <v>3.7215273122794691E-2</v>
      </c>
      <c r="J87" s="1"/>
      <c r="K87" s="1">
        <v>16.176100000000002</v>
      </c>
      <c r="L87" s="1">
        <v>16.861499999999999</v>
      </c>
      <c r="N87">
        <v>16.476600000000001</v>
      </c>
      <c r="O87">
        <v>16.579699999999999</v>
      </c>
      <c r="Q87" s="1">
        <v>16.7484</v>
      </c>
      <c r="R87" s="1">
        <v>15.6195</v>
      </c>
      <c r="S87" s="1">
        <v>15.8134</v>
      </c>
      <c r="T87" s="1">
        <v>15.7028</v>
      </c>
      <c r="AV87">
        <v>16.401900000000001</v>
      </c>
      <c r="AZ87">
        <v>16.440000000000001</v>
      </c>
      <c r="BC87">
        <v>16.667999999999999</v>
      </c>
    </row>
    <row r="88" spans="2:55" ht="25.5" x14ac:dyDescent="0.2">
      <c r="B88" s="13" t="s">
        <v>63</v>
      </c>
      <c r="C88" s="10">
        <f t="array" ref="C88">_xlfn.IFNA(LOOKUP(2,1/(AW88:CA88&lt;&gt;""),AW88:CA88),"")</f>
        <v>222.64</v>
      </c>
      <c r="D88" s="2">
        <f>(C88-$J88)/$J88</f>
        <v>2.8692879914983965E-2</v>
      </c>
      <c r="E88" s="3">
        <f>(C88-AZ88)/AZ88</f>
        <v>1.0989010989010933E-2</v>
      </c>
      <c r="F88" s="3">
        <f>(L88-J88)/J88</f>
        <v>-3.2943676939426118E-2</v>
      </c>
      <c r="G88" s="3">
        <f>(O88-N88)/N88</f>
        <v>3.2387102992915313E-2</v>
      </c>
      <c r="H88" s="3">
        <f>(R88-Q88)/Q88</f>
        <v>-8.0996884735202515E-2</v>
      </c>
      <c r="I88" s="3">
        <f>(AV88-S88)/S88</f>
        <v>0.10671596434359802</v>
      </c>
      <c r="J88" s="1">
        <v>216.43</v>
      </c>
      <c r="K88" s="1">
        <v>218.56</v>
      </c>
      <c r="L88" s="1">
        <v>209.3</v>
      </c>
      <c r="N88">
        <v>207.49</v>
      </c>
      <c r="O88">
        <v>214.21</v>
      </c>
      <c r="Q88" s="1">
        <v>208.65</v>
      </c>
      <c r="R88" s="1">
        <v>191.75</v>
      </c>
      <c r="S88" s="1">
        <v>197.44</v>
      </c>
      <c r="T88" s="1">
        <v>197.99</v>
      </c>
      <c r="AV88">
        <v>218.51</v>
      </c>
      <c r="AZ88">
        <v>220.22</v>
      </c>
      <c r="BC88">
        <v>222.64</v>
      </c>
    </row>
    <row r="89" spans="2:55" ht="25.5" x14ac:dyDescent="0.2">
      <c r="B89" s="13" t="s">
        <v>82</v>
      </c>
      <c r="C89" s="10">
        <f t="array" ref="C89">_xlfn.IFNA(LOOKUP(2,1/(AW89:CA89&lt;&gt;""),AW89:CA89),"")</f>
        <v>16.585999999999999</v>
      </c>
      <c r="D89" s="2">
        <f>(C89-$J89)/$J89</f>
        <v>2.7569543398798111E-2</v>
      </c>
      <c r="E89" s="3">
        <f>(C89-AZ89)/AZ89</f>
        <v>1.2390892998840225E-2</v>
      </c>
      <c r="F89" s="3">
        <f>(L89-J89)/J89</f>
        <v>3.0853106994610073E-2</v>
      </c>
      <c r="G89" s="3">
        <f>(O89-N89)/N89</f>
        <v>4.9028268551236702E-2</v>
      </c>
      <c r="H89" s="3">
        <f>(R89-Q89)/Q89</f>
        <v>-9.3798728559433858E-2</v>
      </c>
      <c r="I89" s="3">
        <f>(AV89-S89)/S89</f>
        <v>6.274407706326468E-2</v>
      </c>
      <c r="J89" s="1">
        <v>16.140999999999998</v>
      </c>
      <c r="K89" s="1">
        <v>16.268999999999998</v>
      </c>
      <c r="L89" s="1">
        <v>16.638999999999999</v>
      </c>
      <c r="N89">
        <v>15.848000000000001</v>
      </c>
      <c r="O89">
        <v>16.625</v>
      </c>
      <c r="Q89" s="1">
        <v>16.673999999999999</v>
      </c>
      <c r="R89" s="1">
        <v>15.11</v>
      </c>
      <c r="S89" s="1">
        <v>15.364000000000001</v>
      </c>
      <c r="T89" s="1">
        <v>15.282</v>
      </c>
      <c r="AV89">
        <v>16.327999999999999</v>
      </c>
      <c r="AZ89">
        <v>16.382999999999999</v>
      </c>
      <c r="BC89">
        <v>16.585999999999999</v>
      </c>
    </row>
    <row r="90" spans="2:55" ht="25.5" x14ac:dyDescent="0.2">
      <c r="B90" s="13" t="s">
        <v>91</v>
      </c>
      <c r="C90" s="10">
        <f t="array" ref="C90">_xlfn.IFNA(LOOKUP(2,1/(AW90:CA90&lt;&gt;""),AW90:CA90),"")</f>
        <v>16.106999999999999</v>
      </c>
      <c r="D90" s="2">
        <f>(C90-$J90)/$J90</f>
        <v>2.6773761713520746E-2</v>
      </c>
      <c r="E90" s="3">
        <f>(C90-AZ90)/AZ90</f>
        <v>7.1910955477737888E-3</v>
      </c>
      <c r="F90" s="3">
        <f>(L90-J90)/J90</f>
        <v>2.1482756422515556E-2</v>
      </c>
      <c r="G90" s="3">
        <f>(O90-N90)/N90</f>
        <v>9.5579450418159621E-3</v>
      </c>
      <c r="H90" s="3">
        <f>(R90-Q90)/Q90</f>
        <v>-4.8404025436809224E-2</v>
      </c>
      <c r="I90" s="3">
        <f>(AV90-S90)/S90</f>
        <v>0.12072349971957384</v>
      </c>
      <c r="J90" s="1">
        <v>15.686999999999999</v>
      </c>
      <c r="K90" s="1">
        <v>15.743</v>
      </c>
      <c r="L90" s="1">
        <v>16.024000000000001</v>
      </c>
      <c r="N90">
        <v>15.903</v>
      </c>
      <c r="O90">
        <v>16.055</v>
      </c>
      <c r="Q90" s="1">
        <v>16.196999999999999</v>
      </c>
      <c r="R90" s="1">
        <v>15.413</v>
      </c>
      <c r="S90" s="1">
        <v>14.263999999999999</v>
      </c>
      <c r="T90" s="1">
        <v>15.497999999999999</v>
      </c>
      <c r="AV90">
        <v>15.986000000000001</v>
      </c>
      <c r="AZ90">
        <v>15.992000000000001</v>
      </c>
      <c r="BC90">
        <v>16.106999999999999</v>
      </c>
    </row>
    <row r="91" spans="2:55" x14ac:dyDescent="0.2">
      <c r="B91" s="13" t="s">
        <v>39</v>
      </c>
      <c r="C91" s="10">
        <f t="array" ref="C91">_xlfn.IFNA(LOOKUP(2,1/(AW91:CA91&lt;&gt;""),AW91:CA91),"")</f>
        <v>12.093</v>
      </c>
      <c r="D91" s="2">
        <f>(C91-$J91)/$J91</f>
        <v>2.6309089366035859E-2</v>
      </c>
      <c r="E91" s="3">
        <f>(C91-AZ91)/AZ91</f>
        <v>2.1281986318723137E-2</v>
      </c>
      <c r="F91" s="3">
        <f>(L91-J91)/J91</f>
        <v>-3.8530085716710419E-2</v>
      </c>
      <c r="G91" s="3">
        <f>(O91-N91)/N91</f>
        <v>1.6699410609037273E-2</v>
      </c>
      <c r="H91" s="3">
        <f>(R91-Q91)/Q91</f>
        <v>-7.4626865671641868E-2</v>
      </c>
      <c r="I91" s="3">
        <f>(AV91-S91)/S91</f>
        <v>0.10145200829719032</v>
      </c>
      <c r="J91" s="1">
        <v>11.782999999999999</v>
      </c>
      <c r="K91" s="1">
        <v>11.882</v>
      </c>
      <c r="L91" s="1">
        <v>11.329000000000001</v>
      </c>
      <c r="N91">
        <v>11.198</v>
      </c>
      <c r="O91">
        <v>11.385</v>
      </c>
      <c r="Q91" s="1">
        <v>11.189</v>
      </c>
      <c r="R91" s="1">
        <v>10.353999999999999</v>
      </c>
      <c r="S91" s="1">
        <v>10.606</v>
      </c>
      <c r="T91" s="1">
        <v>10.573</v>
      </c>
      <c r="AV91">
        <v>11.682</v>
      </c>
      <c r="AZ91">
        <v>11.840999999999999</v>
      </c>
      <c r="BC91">
        <v>12.093</v>
      </c>
    </row>
    <row r="92" spans="2:55" ht="25.5" x14ac:dyDescent="0.2">
      <c r="B92" s="13" t="s">
        <v>87</v>
      </c>
      <c r="C92" s="10">
        <f t="array" ref="C92">_xlfn.IFNA(LOOKUP(2,1/(AW92:CA92&lt;&gt;""),AW92:CA92),"")</f>
        <v>12.56</v>
      </c>
      <c r="D92" s="2">
        <f>(C92-$J92)/$J92</f>
        <v>2.6143790849673224E-2</v>
      </c>
      <c r="E92" s="3">
        <f>(C92-AZ92)/AZ92</f>
        <v>1.0458567980691938E-2</v>
      </c>
      <c r="F92" s="3">
        <f>(L92-J92)/J92</f>
        <v>3.5130718954248345E-2</v>
      </c>
      <c r="G92" s="3">
        <f>(O92-N92)/N92</f>
        <v>3.0179445350734177E-2</v>
      </c>
      <c r="H92" s="3">
        <f>(R92-Q92)/Q92</f>
        <v>-7.4803149606299163E-2</v>
      </c>
      <c r="I92" s="3">
        <f>(AV92-S92)/S92</f>
        <v>4.1107382550335587E-2</v>
      </c>
      <c r="J92" s="1">
        <v>12.24</v>
      </c>
      <c r="K92" s="1">
        <v>12.32</v>
      </c>
      <c r="L92" s="1">
        <v>12.67</v>
      </c>
      <c r="N92">
        <v>12.26</v>
      </c>
      <c r="O92">
        <v>12.63</v>
      </c>
      <c r="Q92" s="1">
        <v>12.7</v>
      </c>
      <c r="R92" s="1">
        <v>11.75</v>
      </c>
      <c r="S92" s="1">
        <v>11.92</v>
      </c>
      <c r="T92" s="1">
        <v>11.83</v>
      </c>
      <c r="AV92">
        <v>12.41</v>
      </c>
      <c r="AZ92">
        <v>12.43</v>
      </c>
      <c r="BC92">
        <v>12.56</v>
      </c>
    </row>
    <row r="93" spans="2:55" ht="25.5" x14ac:dyDescent="0.2">
      <c r="B93" s="13" t="s">
        <v>123</v>
      </c>
      <c r="C93" s="10">
        <f t="array" ref="C93">_xlfn.IFNA(LOOKUP(2,1/(AW93:CA93&lt;&gt;""),AW93:CA93),"")</f>
        <v>11.72</v>
      </c>
      <c r="D93" s="2">
        <f>(C93-$J93)/$J93</f>
        <v>2.583852671381567E-2</v>
      </c>
      <c r="E93" s="3">
        <f>(C93-AZ93)/AZ93</f>
        <v>3.5198516097690258E-2</v>
      </c>
      <c r="F93" s="3">
        <f>(L93-J93)/J93</f>
        <v>-6.8482599257754989E-2</v>
      </c>
      <c r="G93" s="3">
        <f>(O93-N93)/N93</f>
        <v>5.2466964540355529E-2</v>
      </c>
      <c r="H93" s="3">
        <f>(R93-Q93)/Q93</f>
        <v>-7.8573520796719365E-2</v>
      </c>
      <c r="I93" s="3">
        <f>(AV93-S93)/S93</f>
        <v>0.10082714365611228</v>
      </c>
      <c r="J93" s="1">
        <v>11.424799999999999</v>
      </c>
      <c r="K93" s="1">
        <v>11.534000000000001</v>
      </c>
      <c r="L93" s="1">
        <v>10.6424</v>
      </c>
      <c r="N93">
        <v>10.519</v>
      </c>
      <c r="O93">
        <v>11.0709</v>
      </c>
      <c r="Q93" s="1">
        <v>10.924799999999999</v>
      </c>
      <c r="R93" s="1">
        <v>10.0664</v>
      </c>
      <c r="S93" s="1">
        <v>10.191700000000001</v>
      </c>
      <c r="T93" s="1">
        <v>10.123799999999999</v>
      </c>
      <c r="AV93">
        <v>11.2193</v>
      </c>
      <c r="AZ93">
        <v>11.3215</v>
      </c>
      <c r="BC93">
        <v>11.72</v>
      </c>
    </row>
    <row r="94" spans="2:55" ht="25.5" x14ac:dyDescent="0.2">
      <c r="B94" s="13" t="s">
        <v>85</v>
      </c>
      <c r="C94" s="10">
        <f t="array" ref="C94">_xlfn.IFNA(LOOKUP(2,1/(AW94:CA94&lt;&gt;""),AW94:CA94),"")</f>
        <v>12.335000000000001</v>
      </c>
      <c r="D94" s="2">
        <f>(C94-$J94)/$J94</f>
        <v>2.4305988058759685E-2</v>
      </c>
      <c r="E94" s="3">
        <f>(C94-AZ94)/AZ94</f>
        <v>8.5196154002193986E-4</v>
      </c>
      <c r="F94" s="3">
        <f>(L94-J94)/J94</f>
        <v>-5.190038447804822E-3</v>
      </c>
      <c r="G94" s="3">
        <f>(O94-N94)/N94</f>
        <v>7.2859144481991298E-3</v>
      </c>
      <c r="H94" s="3">
        <f>(R94-Q94)/Q94</f>
        <v>3.107850594171983E-3</v>
      </c>
      <c r="I94" s="3" t="e">
        <f>(AV94-S94)/S94</f>
        <v>#DIV/0!</v>
      </c>
      <c r="J94" s="1">
        <v>12.042299999999999</v>
      </c>
      <c r="K94" s="1">
        <v>12.020799999999999</v>
      </c>
      <c r="L94" s="1">
        <v>11.979799999999999</v>
      </c>
      <c r="N94">
        <v>12.132999999999999</v>
      </c>
      <c r="O94">
        <v>12.221399999999999</v>
      </c>
      <c r="Q94" s="1">
        <v>12.2271</v>
      </c>
      <c r="R94" s="1">
        <v>12.2651</v>
      </c>
      <c r="S94" s="1"/>
      <c r="T94" s="1">
        <v>12.2692</v>
      </c>
      <c r="AV94">
        <v>12.3286</v>
      </c>
      <c r="AZ94">
        <v>12.3245</v>
      </c>
      <c r="BC94">
        <v>12.335000000000001</v>
      </c>
    </row>
    <row r="95" spans="2:55" ht="25.5" x14ac:dyDescent="0.2">
      <c r="B95" s="13" t="s">
        <v>95</v>
      </c>
      <c r="C95" s="10">
        <f t="array" ref="C95">_xlfn.IFNA(LOOKUP(2,1/(AW95:CA95&lt;&gt;""),AW95:CA95),"")</f>
        <v>10.5</v>
      </c>
      <c r="D95" s="2">
        <f>(C95-$J95)/$J95</f>
        <v>2.3391812865497099E-2</v>
      </c>
      <c r="E95" s="3">
        <f>(C95-AZ95)/AZ95</f>
        <v>1.351351351351357E-2</v>
      </c>
      <c r="F95" s="3">
        <f>(L95-J95)/J95</f>
        <v>3.8011695906432802E-2</v>
      </c>
      <c r="G95" s="3">
        <f>(O95-N95)/N95</f>
        <v>2.5145067698259166E-2</v>
      </c>
      <c r="H95" s="3">
        <f>(R95-Q95)/Q95</f>
        <v>-8.6142322097378279E-2</v>
      </c>
      <c r="I95" s="3">
        <f>(AV95-S95)/S95</f>
        <v>4.4489383215369008E-2</v>
      </c>
      <c r="J95" s="1">
        <v>10.26</v>
      </c>
      <c r="K95" s="1">
        <v>10.34</v>
      </c>
      <c r="L95" s="1">
        <v>10.65</v>
      </c>
      <c r="N95">
        <v>10.34</v>
      </c>
      <c r="O95">
        <v>10.6</v>
      </c>
      <c r="Q95" s="1">
        <v>10.68</v>
      </c>
      <c r="R95" s="1">
        <v>9.76</v>
      </c>
      <c r="S95" s="1">
        <v>9.89</v>
      </c>
      <c r="T95" s="1">
        <v>9.83</v>
      </c>
      <c r="AV95">
        <v>10.33</v>
      </c>
      <c r="AZ95">
        <v>10.36</v>
      </c>
      <c r="BC95">
        <v>10.5</v>
      </c>
    </row>
    <row r="96" spans="2:55" ht="25.5" x14ac:dyDescent="0.2">
      <c r="B96" s="13" t="s">
        <v>93</v>
      </c>
      <c r="C96" s="10">
        <f t="array" ref="C96">_xlfn.IFNA(LOOKUP(2,1/(AW96:CA96&lt;&gt;""),AW96:CA96),"")</f>
        <v>74.495500000000007</v>
      </c>
      <c r="D96" s="2">
        <f>(C96-$J96)/$J96</f>
        <v>2.2621198227532644E-2</v>
      </c>
      <c r="E96" s="3">
        <f>(C96-AZ96)/AZ96</f>
        <v>9.6074354964180465E-3</v>
      </c>
      <c r="F96" s="3">
        <f>(L96-J96)/J96</f>
        <v>2.2645907346295496E-2</v>
      </c>
      <c r="G96" s="3">
        <f>(O96-N96)/N96</f>
        <v>2.8368482758431356E-2</v>
      </c>
      <c r="H96" s="3">
        <f>(R96-Q96)/Q96</f>
        <v>-6.9973674936189681E-2</v>
      </c>
      <c r="I96" s="3" t="e">
        <f>(AV96-S96)/S96</f>
        <v>#DIV/0!</v>
      </c>
      <c r="J96" s="1">
        <v>72.8476</v>
      </c>
      <c r="K96" s="1">
        <v>73.209599999999995</v>
      </c>
      <c r="L96" s="1">
        <v>74.497299999999996</v>
      </c>
      <c r="N96">
        <v>72.841399999999993</v>
      </c>
      <c r="O96">
        <v>74.907799999999995</v>
      </c>
      <c r="Q96" s="1">
        <v>74.909599999999998</v>
      </c>
      <c r="R96" s="1">
        <v>69.667900000000003</v>
      </c>
      <c r="S96" s="1"/>
      <c r="T96" s="1">
        <v>70.306899999999999</v>
      </c>
      <c r="AV96">
        <v>73.629300000000001</v>
      </c>
      <c r="AZ96">
        <v>73.786600000000007</v>
      </c>
      <c r="BC96">
        <v>74.495500000000007</v>
      </c>
    </row>
    <row r="97" spans="2:55" ht="25.5" x14ac:dyDescent="0.2">
      <c r="B97" s="13" t="s">
        <v>99</v>
      </c>
      <c r="C97" s="10">
        <f t="array" ref="C97">_xlfn.IFNA(LOOKUP(2,1/(AW97:CA97&lt;&gt;""),AW97:CA97),"")</f>
        <v>12.36</v>
      </c>
      <c r="D97" s="2">
        <f>(C97-$J97)/$J97</f>
        <v>2.1487603305785107E-2</v>
      </c>
      <c r="E97" s="3">
        <f>(C97-AZ97)/AZ97</f>
        <v>1.2285012285012168E-2</v>
      </c>
      <c r="F97" s="3">
        <f>(L97-J97)/J97</f>
        <v>3.4710743801652885E-2</v>
      </c>
      <c r="G97" s="3">
        <f>(O97-N97)/N97</f>
        <v>3.4511092851273621E-2</v>
      </c>
      <c r="H97" s="3">
        <f>(R97-Q97)/Q97</f>
        <v>-9.6518987341772194E-2</v>
      </c>
      <c r="I97" s="3">
        <f>(AV97-S97)/S97</f>
        <v>4.6391752577319513E-2</v>
      </c>
      <c r="J97" s="1">
        <v>12.1</v>
      </c>
      <c r="K97" s="1">
        <v>12.2</v>
      </c>
      <c r="L97" s="1">
        <v>12.52</v>
      </c>
      <c r="N97">
        <v>12.17</v>
      </c>
      <c r="O97">
        <v>12.59</v>
      </c>
      <c r="Q97" s="1">
        <v>12.64</v>
      </c>
      <c r="R97" s="1">
        <v>11.42</v>
      </c>
      <c r="S97" s="1">
        <v>11.64</v>
      </c>
      <c r="T97" s="1">
        <v>11.55</v>
      </c>
      <c r="AV97">
        <v>12.18</v>
      </c>
      <c r="AZ97">
        <v>12.21</v>
      </c>
      <c r="BC97">
        <v>12.36</v>
      </c>
    </row>
    <row r="98" spans="2:55" ht="25.5" x14ac:dyDescent="0.2">
      <c r="B98" s="13" t="s">
        <v>86</v>
      </c>
      <c r="C98" s="10">
        <f t="array" ref="C98">_xlfn.IFNA(LOOKUP(2,1/(AW98:CA98&lt;&gt;""),AW98:CA98),"")</f>
        <v>13.94</v>
      </c>
      <c r="D98" s="2">
        <f>(C98-$J98)/$J98</f>
        <v>2.102102102102095E-2</v>
      </c>
      <c r="E98" s="3">
        <f>(C98-AZ98)/AZ98</f>
        <v>1.0511054729974597E-2</v>
      </c>
      <c r="F98" s="3">
        <f>(L98-J98)/J98</f>
        <v>1.8970189701897042E-2</v>
      </c>
      <c r="G98" s="3">
        <f>(O98-N98)/N98</f>
        <v>2.8842616437348336E-2</v>
      </c>
      <c r="H98" s="3">
        <f>(R98-Q98)/Q98</f>
        <v>-7.1009725400457691E-2</v>
      </c>
      <c r="I98" s="3">
        <f>(AV98-S98)/S98</f>
        <v>4.4912227372900619E-2</v>
      </c>
      <c r="J98" s="1">
        <v>13.653</v>
      </c>
      <c r="K98" s="1">
        <v>13.747</v>
      </c>
      <c r="L98" s="1">
        <v>13.912000000000001</v>
      </c>
      <c r="N98">
        <v>13.590999999999999</v>
      </c>
      <c r="O98">
        <v>13.983000000000001</v>
      </c>
      <c r="Q98" s="1">
        <v>13.984</v>
      </c>
      <c r="R98" s="1">
        <v>12.991</v>
      </c>
      <c r="S98" s="1">
        <v>13.159000000000001</v>
      </c>
      <c r="T98" s="1">
        <v>13.128</v>
      </c>
      <c r="AV98">
        <v>13.75</v>
      </c>
      <c r="AZ98">
        <v>13.795</v>
      </c>
      <c r="BC98">
        <v>13.94</v>
      </c>
    </row>
    <row r="99" spans="2:55" ht="25.5" x14ac:dyDescent="0.2">
      <c r="B99" s="13" t="s">
        <v>83</v>
      </c>
      <c r="C99" s="10">
        <f t="array" ref="C99">_xlfn.IFNA(LOOKUP(2,1/(AW99:CA99&lt;&gt;""),AW99:CA99),"")</f>
        <v>14.055199999999999</v>
      </c>
      <c r="D99" s="2">
        <f>(C99-$J99)/$J99</f>
        <v>2.0185670424109459E-2</v>
      </c>
      <c r="E99" s="3">
        <f>(C99-AZ99)/AZ99</f>
        <v>9.7924404945792069E-3</v>
      </c>
      <c r="F99" s="3">
        <f>(L99-J99)/J99</f>
        <v>2.1325242612741373E-2</v>
      </c>
      <c r="G99" s="3">
        <f>(O99-N99)/N99</f>
        <v>2.6330961503375248E-2</v>
      </c>
      <c r="H99" s="3">
        <f>(R99-Q99)/Q99</f>
        <v>-6.4430495060779483E-2</v>
      </c>
      <c r="I99" s="3">
        <f>(AV99-S99)/S99</f>
        <v>4.4217200430726217E-2</v>
      </c>
      <c r="J99" s="1">
        <v>13.777100000000001</v>
      </c>
      <c r="K99" s="1">
        <v>13.870799999999999</v>
      </c>
      <c r="L99" s="1">
        <v>14.0709</v>
      </c>
      <c r="N99">
        <v>13.702500000000001</v>
      </c>
      <c r="O99">
        <v>14.0633</v>
      </c>
      <c r="Q99" s="1">
        <v>14.050800000000001</v>
      </c>
      <c r="R99" s="1">
        <v>13.1455</v>
      </c>
      <c r="S99" s="1">
        <v>13.2799</v>
      </c>
      <c r="T99" s="1">
        <v>13.2182</v>
      </c>
      <c r="AV99">
        <v>13.867100000000001</v>
      </c>
      <c r="AZ99">
        <v>13.918900000000001</v>
      </c>
      <c r="BC99">
        <v>14.055199999999999</v>
      </c>
    </row>
    <row r="100" spans="2:55" x14ac:dyDescent="0.2">
      <c r="B100" s="13" t="s">
        <v>44</v>
      </c>
      <c r="C100" s="10">
        <f t="array" ref="C100">_xlfn.IFNA(LOOKUP(2,1/(AW100:CA100&lt;&gt;""),AW100:CA100),"")</f>
        <v>197.4753</v>
      </c>
      <c r="D100" s="2">
        <f>(C100-$J100)/$J100</f>
        <v>1.9797388682293218E-2</v>
      </c>
      <c r="E100" s="3">
        <f>(C100-AZ100)/AZ100</f>
        <v>1.0378266424282016E-2</v>
      </c>
      <c r="F100" s="3">
        <f>(L100-J100)/J100</f>
        <v>-5.339552379471979E-2</v>
      </c>
      <c r="G100" s="3">
        <f>(O100-N100)/N100</f>
        <v>2.3350193638724349E-2</v>
      </c>
      <c r="H100" s="3">
        <f>(R100-Q100)/Q100</f>
        <v>-6.5889392915741724E-2</v>
      </c>
      <c r="I100" s="3">
        <f>(AV100-S100)/S100</f>
        <v>0.11296394333129998</v>
      </c>
      <c r="J100" s="1">
        <v>193.64169999999999</v>
      </c>
      <c r="K100" s="1">
        <v>194.57400000000001</v>
      </c>
      <c r="L100" s="1">
        <v>183.3021</v>
      </c>
      <c r="N100">
        <v>180.54239999999999</v>
      </c>
      <c r="O100">
        <v>184.75810000000001</v>
      </c>
      <c r="Q100" s="1">
        <v>181.3175</v>
      </c>
      <c r="R100" s="1">
        <v>169.3706</v>
      </c>
      <c r="S100" s="1">
        <v>173.78200000000001</v>
      </c>
      <c r="T100" s="1">
        <v>173.84710000000001</v>
      </c>
      <c r="AV100">
        <v>193.41309999999999</v>
      </c>
      <c r="AZ100">
        <v>195.4469</v>
      </c>
      <c r="BC100">
        <v>197.4753</v>
      </c>
    </row>
    <row r="101" spans="2:55" x14ac:dyDescent="0.2">
      <c r="B101" s="13" t="s">
        <v>65</v>
      </c>
      <c r="C101" s="10">
        <f t="array" ref="C101">_xlfn.IFNA(LOOKUP(2,1/(AW101:CA101&lt;&gt;""),AW101:CA101),"")</f>
        <v>153.74870000000001</v>
      </c>
      <c r="D101" s="2">
        <f>(C101-$J101)/$J101</f>
        <v>1.6224029886162301E-2</v>
      </c>
      <c r="E101" s="3">
        <f>(C101-AZ101)/AZ101</f>
        <v>3.6785538028478258E-3</v>
      </c>
      <c r="F101" s="3">
        <f>(L101-J101)/J101</f>
        <v>-2.6515244150300557E-2</v>
      </c>
      <c r="G101" s="3">
        <f>(O101-N101)/N101</f>
        <v>3.5600658068002763E-2</v>
      </c>
      <c r="H101" s="3">
        <f>(R101-Q101)/Q101</f>
        <v>-9.3301214561258658E-2</v>
      </c>
      <c r="I101" s="3">
        <f>(AV101-S101)/S101</f>
        <v>0.10827815557254765</v>
      </c>
      <c r="J101" s="1">
        <v>151.29409999999999</v>
      </c>
      <c r="K101" s="1">
        <v>152.69460000000001</v>
      </c>
      <c r="L101" s="1">
        <v>147.2825</v>
      </c>
      <c r="N101">
        <v>146.18549999999999</v>
      </c>
      <c r="O101">
        <v>151.38980000000001</v>
      </c>
      <c r="Q101" s="1">
        <v>148.4075</v>
      </c>
      <c r="R101" s="1">
        <v>134.5609</v>
      </c>
      <c r="S101" s="1">
        <v>137.44970000000001</v>
      </c>
      <c r="T101" s="1">
        <v>137.3562</v>
      </c>
      <c r="AV101">
        <v>152.33250000000001</v>
      </c>
      <c r="AZ101">
        <v>153.18520000000001</v>
      </c>
      <c r="BC101">
        <v>153.74870000000001</v>
      </c>
    </row>
    <row r="102" spans="2:55" ht="25.5" x14ac:dyDescent="0.2">
      <c r="B102" s="13" t="s">
        <v>46</v>
      </c>
      <c r="C102" s="10">
        <f t="array" ref="C102">_xlfn.IFNA(LOOKUP(2,1/(AW102:CA102&lt;&gt;""),AW102:CA102),"")</f>
        <v>98.55</v>
      </c>
      <c r="D102" s="2">
        <f>(C102-$J102)/$J102</f>
        <v>1.55605935696619E-2</v>
      </c>
      <c r="E102" s="3">
        <f>(C102-AZ102)/AZ102</f>
        <v>2.008073698374907E-2</v>
      </c>
      <c r="F102" s="3">
        <f>(L102-J102)/J102</f>
        <v>-3.617065127782363E-2</v>
      </c>
      <c r="G102" s="3">
        <f>(O102-N102)/N102</f>
        <v>2.4571613320400764E-2</v>
      </c>
      <c r="H102" s="3">
        <f>(R102-Q102)/Q102</f>
        <v>-9.6005154639175222E-2</v>
      </c>
      <c r="I102" s="3">
        <f>(AV102-S102)/S102</f>
        <v>0.10357923811715963</v>
      </c>
      <c r="J102" s="1">
        <v>97.04</v>
      </c>
      <c r="K102" s="1">
        <v>97.83</v>
      </c>
      <c r="L102" s="1">
        <v>93.53</v>
      </c>
      <c r="N102">
        <v>92.79</v>
      </c>
      <c r="O102">
        <v>95.07</v>
      </c>
      <c r="Q102" s="1">
        <v>93.12</v>
      </c>
      <c r="R102" s="1">
        <v>84.18</v>
      </c>
      <c r="S102" s="1">
        <v>86.89</v>
      </c>
      <c r="T102" s="1">
        <v>87.32</v>
      </c>
      <c r="AV102">
        <v>95.89</v>
      </c>
      <c r="AZ102">
        <v>96.61</v>
      </c>
      <c r="BC102">
        <v>98.55</v>
      </c>
    </row>
    <row r="103" spans="2:55" ht="25.5" x14ac:dyDescent="0.2">
      <c r="B103" s="13" t="s">
        <v>47</v>
      </c>
      <c r="C103" s="10">
        <f t="array" ref="C103">_xlfn.IFNA(LOOKUP(2,1/(AW103:CA103&lt;&gt;""),AW103:CA103),"")</f>
        <v>13.27</v>
      </c>
      <c r="D103" s="2">
        <f>(C103-$J103)/$J103</f>
        <v>1.4525993883792011E-2</v>
      </c>
      <c r="E103" s="3">
        <f>(C103-AZ103)/AZ103</f>
        <v>3.5101404056162189E-2</v>
      </c>
      <c r="F103" s="3">
        <f>(L103-J103)/J103</f>
        <v>-3.5168195718654496E-2</v>
      </c>
      <c r="G103" s="3">
        <f>(O103-N103)/N103</f>
        <v>1.2749003984063756E-2</v>
      </c>
      <c r="H103" s="3">
        <f>(R103-Q103)/Q103</f>
        <v>-9.5276220976781387E-2</v>
      </c>
      <c r="I103" s="3">
        <f>(AV103-S103)/S103</f>
        <v>8.4615384615384634E-2</v>
      </c>
      <c r="J103" s="1">
        <v>13.08</v>
      </c>
      <c r="K103" s="1">
        <v>13.21</v>
      </c>
      <c r="L103" s="1">
        <v>12.62</v>
      </c>
      <c r="N103">
        <v>12.55</v>
      </c>
      <c r="O103">
        <v>12.71</v>
      </c>
      <c r="Q103" s="1">
        <v>12.49</v>
      </c>
      <c r="R103" s="1">
        <v>11.3</v>
      </c>
      <c r="S103" s="1">
        <v>11.7</v>
      </c>
      <c r="T103" s="1">
        <v>11.76</v>
      </c>
      <c r="AV103">
        <v>12.69</v>
      </c>
      <c r="AZ103">
        <v>12.82</v>
      </c>
      <c r="BC103">
        <v>13.27</v>
      </c>
    </row>
    <row r="104" spans="2:55" ht="25.5" x14ac:dyDescent="0.2">
      <c r="B104" s="13" t="s">
        <v>90</v>
      </c>
      <c r="C104" s="10">
        <f t="array" ref="C104">_xlfn.IFNA(LOOKUP(2,1/(AW104:CA104&lt;&gt;""),AW104:CA104),"")</f>
        <v>11.1233</v>
      </c>
      <c r="D104" s="2">
        <f>(C104-$J104)/$J104</f>
        <v>1.4002206076738731E-2</v>
      </c>
      <c r="E104" s="3">
        <f>(C104-AZ104)/AZ104</f>
        <v>1.2599113328296184E-2</v>
      </c>
      <c r="F104" s="3">
        <f>(L104-J104)/J104</f>
        <v>2.428507616434368E-2</v>
      </c>
      <c r="G104" s="3">
        <f>(O104-N104)/N104</f>
        <v>3.3464747409920254E-2</v>
      </c>
      <c r="H104" s="3">
        <f>(R104-Q104)/Q104</f>
        <v>-8.7138953942232658E-2</v>
      </c>
      <c r="I104" s="3">
        <f>(AV104-S104)/S104</f>
        <v>4.7859448792497213E-2</v>
      </c>
      <c r="J104" s="1">
        <v>10.9697</v>
      </c>
      <c r="K104" s="1">
        <v>11.0756</v>
      </c>
      <c r="L104" s="1">
        <v>11.2361</v>
      </c>
      <c r="N104">
        <v>10.907</v>
      </c>
      <c r="O104">
        <v>11.272</v>
      </c>
      <c r="Q104" s="1">
        <v>11.2728</v>
      </c>
      <c r="R104" s="1">
        <v>10.2905</v>
      </c>
      <c r="S104" s="1">
        <v>10.4389</v>
      </c>
      <c r="T104" s="1">
        <v>10.4017</v>
      </c>
      <c r="AV104">
        <v>10.938499999999999</v>
      </c>
      <c r="AZ104">
        <v>10.9849</v>
      </c>
      <c r="BC104">
        <v>11.1233</v>
      </c>
    </row>
    <row r="105" spans="2:55" ht="25.5" x14ac:dyDescent="0.2">
      <c r="B105" s="13" t="s">
        <v>100</v>
      </c>
      <c r="C105" s="10">
        <f t="array" ref="C105">_xlfn.IFNA(LOOKUP(2,1/(AW105:CA105&lt;&gt;""),AW105:CA105),"")</f>
        <v>17.429400000000001</v>
      </c>
      <c r="D105" s="2">
        <f>(C105-$J105)/$J105</f>
        <v>1.3572923935799E-2</v>
      </c>
      <c r="E105" s="3">
        <f>(C105-AZ105)/AZ105</f>
        <v>1.3684926806288336E-2</v>
      </c>
      <c r="F105" s="3">
        <f>(L105-J105)/J105</f>
        <v>2.8279832519190504E-2</v>
      </c>
      <c r="G105" s="3">
        <f>(O105-N105)/N105</f>
        <v>2.4516310099456803E-2</v>
      </c>
      <c r="H105" s="3">
        <f>(R105-Q105)/Q105</f>
        <v>-8.9588764467972273E-2</v>
      </c>
      <c r="I105" s="3">
        <f>(AV105-S105)/S105</f>
        <v>5.7378770287295391E-2</v>
      </c>
      <c r="J105" s="1">
        <v>17.196000000000002</v>
      </c>
      <c r="K105" s="1">
        <v>17.3124</v>
      </c>
      <c r="L105" s="1">
        <v>17.682300000000001</v>
      </c>
      <c r="N105">
        <v>17.102900000000002</v>
      </c>
      <c r="O105">
        <v>17.522200000000002</v>
      </c>
      <c r="Q105" s="1">
        <v>17.530100000000001</v>
      </c>
      <c r="R105" s="1">
        <v>15.9596</v>
      </c>
      <c r="S105" s="1">
        <v>16.192399999999999</v>
      </c>
      <c r="T105" s="1">
        <v>16.1233</v>
      </c>
      <c r="AV105">
        <v>17.121500000000001</v>
      </c>
      <c r="AZ105">
        <v>17.194099999999999</v>
      </c>
      <c r="BC105">
        <v>17.429400000000001</v>
      </c>
    </row>
    <row r="106" spans="2:55" ht="25.5" x14ac:dyDescent="0.2">
      <c r="B106" s="13" t="s">
        <v>68</v>
      </c>
      <c r="C106" s="10">
        <f t="array" ref="C106">_xlfn.IFNA(LOOKUP(2,1/(AW106:CA106&lt;&gt;""),AW106:CA106),"")</f>
        <v>53.587000000000003</v>
      </c>
      <c r="D106" s="2">
        <f>(C106-$J106)/$J106</f>
        <v>1.2450876662636149E-2</v>
      </c>
      <c r="E106" s="3">
        <f>(C106-AZ106)/AZ106</f>
        <v>8.1271752422162006E-3</v>
      </c>
      <c r="F106" s="3">
        <f>(L106-J106)/J106</f>
        <v>-2.4826178960096739E-2</v>
      </c>
      <c r="G106" s="3">
        <f>(O106-N106)/N106</f>
        <v>2.9626306756124168E-2</v>
      </c>
      <c r="H106" s="3">
        <f>(R106-Q106)/Q106</f>
        <v>-9.7696922779175563E-2</v>
      </c>
      <c r="I106" s="3">
        <f>(AV106-S106)/S106</f>
        <v>0.1014301844185171</v>
      </c>
      <c r="J106" s="1">
        <v>52.927999999999997</v>
      </c>
      <c r="K106" s="1">
        <v>53.542000000000002</v>
      </c>
      <c r="L106" s="1">
        <v>51.613999999999997</v>
      </c>
      <c r="N106">
        <v>51.271999999999998</v>
      </c>
      <c r="O106">
        <v>52.790999999999997</v>
      </c>
      <c r="Q106" s="1">
        <v>51.67</v>
      </c>
      <c r="R106" s="1">
        <v>46.622</v>
      </c>
      <c r="S106" s="1">
        <v>47.826000000000001</v>
      </c>
      <c r="T106" s="1">
        <v>47.88</v>
      </c>
      <c r="AV106">
        <v>52.677</v>
      </c>
      <c r="AZ106">
        <v>53.155000000000001</v>
      </c>
      <c r="BC106">
        <v>53.587000000000003</v>
      </c>
    </row>
    <row r="107" spans="2:55" ht="25.5" x14ac:dyDescent="0.2">
      <c r="B107" s="13" t="s">
        <v>94</v>
      </c>
      <c r="C107" s="10">
        <f t="array" ref="C107">_xlfn.IFNA(LOOKUP(2,1/(AW107:CA107&lt;&gt;""),AW107:CA107),"")</f>
        <v>11.15</v>
      </c>
      <c r="D107" s="2">
        <f>(C107-$J107)/$J107</f>
        <v>9.9637681159421392E-3</v>
      </c>
      <c r="E107" s="3">
        <f>(C107-AZ107)/AZ107</f>
        <v>1.4558689717925399E-2</v>
      </c>
      <c r="F107" s="3">
        <f>(L107-J107)/J107</f>
        <v>1.449275362318842E-2</v>
      </c>
      <c r="G107" s="3">
        <f>(O107-N107)/N107</f>
        <v>2.4680073126142722E-2</v>
      </c>
      <c r="H107" s="3">
        <f>(R107-Q107)/Q107</f>
        <v>-8.028545941123999E-2</v>
      </c>
      <c r="I107" s="3">
        <f>(AV107-S107)/S107</f>
        <v>4.6889952153110072E-2</v>
      </c>
      <c r="J107" s="1">
        <v>11.04</v>
      </c>
      <c r="K107" s="1">
        <v>11.11</v>
      </c>
      <c r="L107" s="1">
        <v>11.2</v>
      </c>
      <c r="N107">
        <v>10.94</v>
      </c>
      <c r="O107">
        <v>11.21</v>
      </c>
      <c r="Q107" s="1">
        <v>11.21</v>
      </c>
      <c r="R107" s="1">
        <v>10.31</v>
      </c>
      <c r="S107" s="1">
        <v>10.45</v>
      </c>
      <c r="T107" s="1">
        <v>10.42</v>
      </c>
      <c r="AV107">
        <v>10.94</v>
      </c>
      <c r="AZ107">
        <v>10.99</v>
      </c>
      <c r="BC107">
        <v>11.15</v>
      </c>
    </row>
    <row r="108" spans="2:55" ht="25.5" x14ac:dyDescent="0.2">
      <c r="B108" s="13" t="s">
        <v>69</v>
      </c>
      <c r="C108" s="10">
        <f t="array" ref="C108">_xlfn.IFNA(LOOKUP(2,1/(AW108:CA108&lt;&gt;""),AW108:CA108),"")</f>
        <v>11.228199999999999</v>
      </c>
      <c r="D108" s="2">
        <f>(C108-$J108)/$J108</f>
        <v>7.3748429930018383E-3</v>
      </c>
      <c r="E108" s="3">
        <f>(C108-AZ108)/AZ108</f>
        <v>1.1740960001441722E-2</v>
      </c>
      <c r="F108" s="3">
        <f>(L108-J108)/J108</f>
        <v>-5.8756504575632633E-2</v>
      </c>
      <c r="G108" s="3">
        <f>(O108-N108)/N108</f>
        <v>4.1581079265132111E-2</v>
      </c>
      <c r="H108" s="3">
        <f>(R108-Q108)/Q108</f>
        <v>-8.5543666641549151E-2</v>
      </c>
      <c r="I108" s="3">
        <f>(AV108-S108)/S108</f>
        <v>0.11482905118349193</v>
      </c>
      <c r="J108" s="1">
        <v>11.146000000000001</v>
      </c>
      <c r="K108" s="1">
        <v>11.2697</v>
      </c>
      <c r="L108" s="1">
        <v>10.491099999999999</v>
      </c>
      <c r="N108">
        <v>10.418200000000001</v>
      </c>
      <c r="O108">
        <v>10.8514</v>
      </c>
      <c r="Q108" s="1">
        <v>10.6168</v>
      </c>
      <c r="R108" s="1">
        <v>9.7086000000000006</v>
      </c>
      <c r="S108" s="1">
        <v>9.8859999999999992</v>
      </c>
      <c r="T108" s="1">
        <v>9.8472000000000008</v>
      </c>
      <c r="AV108">
        <v>11.0212</v>
      </c>
      <c r="AZ108">
        <v>11.097899999999999</v>
      </c>
      <c r="BC108">
        <v>11.228199999999999</v>
      </c>
    </row>
    <row r="109" spans="2:55" ht="25.5" x14ac:dyDescent="0.2">
      <c r="B109" s="13" t="s">
        <v>104</v>
      </c>
      <c r="C109" s="10">
        <f t="array" ref="C109">_xlfn.IFNA(LOOKUP(2,1/(AW109:CA109&lt;&gt;""),AW109:CA109),"")</f>
        <v>51.878100000000003</v>
      </c>
      <c r="D109" s="2">
        <f>(C109-$J109)/$J109</f>
        <v>6.1890261642003523E-3</v>
      </c>
      <c r="E109" s="3">
        <f>(C109-AZ109)/AZ109</f>
        <v>1.4764305121148341E-2</v>
      </c>
      <c r="F109" s="3">
        <f>(L109-J109)/J109</f>
        <v>2.4957815318373117E-2</v>
      </c>
      <c r="G109" s="3">
        <f>(O109-N109)/N109</f>
        <v>3.1304073636492805E-2</v>
      </c>
      <c r="H109" s="3">
        <f>(R109-Q109)/Q109</f>
        <v>-9.1236444884490953E-2</v>
      </c>
      <c r="I109" s="3">
        <f>(AV109-S109)/S109</f>
        <v>4.2760955857215073E-2</v>
      </c>
      <c r="J109" s="1">
        <v>51.558999999999997</v>
      </c>
      <c r="K109" s="1">
        <v>52.0214</v>
      </c>
      <c r="L109" s="1">
        <v>52.845799999999997</v>
      </c>
      <c r="N109">
        <v>51.3767</v>
      </c>
      <c r="O109">
        <v>52.984999999999999</v>
      </c>
      <c r="Q109" s="1">
        <v>53.125700000000002</v>
      </c>
      <c r="R109" s="1">
        <v>48.278700000000001</v>
      </c>
      <c r="S109" s="1">
        <v>48.848300000000002</v>
      </c>
      <c r="T109" s="1">
        <v>48.559899999999999</v>
      </c>
      <c r="AV109">
        <v>50.937100000000001</v>
      </c>
      <c r="AZ109">
        <v>51.1233</v>
      </c>
      <c r="BC109">
        <v>51.878100000000003</v>
      </c>
    </row>
    <row r="110" spans="2:55" ht="25.5" x14ac:dyDescent="0.2">
      <c r="B110" s="13" t="s">
        <v>106</v>
      </c>
      <c r="C110" s="10">
        <f t="array" ref="C110">_xlfn.IFNA(LOOKUP(2,1/(AW110:CA110&lt;&gt;""),AW110:CA110),"")</f>
        <v>13.7789</v>
      </c>
      <c r="D110" s="2">
        <f>(C110-$J110)/$J110</f>
        <v>4.2710436360721129E-3</v>
      </c>
      <c r="E110" s="3">
        <f>(C110-AZ110)/AZ110</f>
        <v>1.54990197957048E-2</v>
      </c>
      <c r="F110" s="3">
        <f>(L110-J110)/J110</f>
        <v>2.4948434072141267E-2</v>
      </c>
      <c r="G110" s="3">
        <f>(O110-N110)/N110</f>
        <v>2.4168192528505088E-2</v>
      </c>
      <c r="H110" s="3">
        <f>(R110-Q110)/Q110</f>
        <v>-9.6795998377720724E-2</v>
      </c>
      <c r="I110" s="3">
        <f>(AV110-S110)/S110</f>
        <v>4.9656723943989789E-2</v>
      </c>
      <c r="J110" s="1">
        <v>13.7203</v>
      </c>
      <c r="K110" s="1">
        <v>13.830299999999999</v>
      </c>
      <c r="L110" s="1">
        <v>14.0626</v>
      </c>
      <c r="N110">
        <v>13.7081</v>
      </c>
      <c r="O110">
        <v>14.039400000000001</v>
      </c>
      <c r="Q110" s="1">
        <v>14.0543</v>
      </c>
      <c r="R110" s="1">
        <v>12.693899999999999</v>
      </c>
      <c r="S110" s="1">
        <v>12.890499999999999</v>
      </c>
      <c r="T110" s="1">
        <v>12.8453</v>
      </c>
      <c r="AV110">
        <v>13.5306</v>
      </c>
      <c r="AZ110">
        <v>13.5686</v>
      </c>
      <c r="BC110">
        <v>13.7789</v>
      </c>
    </row>
    <row r="111" spans="2:55" ht="25.5" x14ac:dyDescent="0.2">
      <c r="B111" s="13" t="s">
        <v>96</v>
      </c>
      <c r="C111" s="10">
        <f t="array" ref="C111">_xlfn.IFNA(LOOKUP(2,1/(AW111:CA111&lt;&gt;""),AW111:CA111),"")</f>
        <v>12.338800000000001</v>
      </c>
      <c r="D111" s="2">
        <f>(C111-$J111)/$J111</f>
        <v>1.6804539661150256E-3</v>
      </c>
      <c r="E111" s="3">
        <f>(C111-AZ111)/AZ111</f>
        <v>2.1669109306042111E-2</v>
      </c>
      <c r="F111" s="3">
        <f>(L111-J111)/J111</f>
        <v>1.6244388339110807E-2</v>
      </c>
      <c r="G111" s="3">
        <f>(O111-N111)/N111</f>
        <v>3.1454119367759645E-2</v>
      </c>
      <c r="H111" s="3">
        <f>(R111-Q111)/Q111</f>
        <v>-0.10390457102842107</v>
      </c>
      <c r="I111" s="3">
        <f>(AV111-S111)/S111</f>
        <v>5.9223206977583397E-2</v>
      </c>
      <c r="J111" s="1">
        <v>12.318099999999999</v>
      </c>
      <c r="K111" s="1">
        <v>12.3911</v>
      </c>
      <c r="L111" s="1">
        <v>12.5182</v>
      </c>
      <c r="N111">
        <v>12.0334</v>
      </c>
      <c r="O111">
        <v>12.411899999999999</v>
      </c>
      <c r="Q111" s="1">
        <v>12.4239</v>
      </c>
      <c r="R111" s="1">
        <v>11.132999999999999</v>
      </c>
      <c r="S111" s="1">
        <v>11.3621</v>
      </c>
      <c r="T111" s="1">
        <v>11.303599999999999</v>
      </c>
      <c r="AV111">
        <v>12.035</v>
      </c>
      <c r="AZ111">
        <v>12.0771</v>
      </c>
      <c r="BC111">
        <v>12.338800000000001</v>
      </c>
    </row>
    <row r="112" spans="2:55" x14ac:dyDescent="0.2">
      <c r="B112" s="13" t="s">
        <v>102</v>
      </c>
      <c r="C112" s="10">
        <f t="array" ref="C112">_xlfn.IFNA(LOOKUP(2,1/(AW112:CA112&lt;&gt;""),AW112:CA112),"")</f>
        <v>13.807</v>
      </c>
      <c r="D112" s="2">
        <f>(C112-$J112)/$J112</f>
        <v>-2.5429483752582448E-3</v>
      </c>
      <c r="E112" s="3">
        <f>(C112-AZ112)/AZ112</f>
        <v>1.1672296430900444E-2</v>
      </c>
      <c r="F112" s="3">
        <f>(L112-J112)/J112</f>
        <v>1.1775584805883477E-2</v>
      </c>
      <c r="G112" s="3">
        <f>(O112-N112)/N112</f>
        <v>2.9585798816568129E-2</v>
      </c>
      <c r="H112" s="3">
        <f>(R112-Q112)/Q112</f>
        <v>-8.598279774905207E-2</v>
      </c>
      <c r="I112" s="3">
        <f>(AV112-S112)/S112</f>
        <v>4.5391431092017903E-2</v>
      </c>
      <c r="J112" s="1">
        <v>13.8422</v>
      </c>
      <c r="K112" s="1">
        <v>13.9399</v>
      </c>
      <c r="L112" s="1">
        <v>14.0052</v>
      </c>
      <c r="N112">
        <v>13.638299999999999</v>
      </c>
      <c r="O112">
        <v>14.0418</v>
      </c>
      <c r="Q112" s="1">
        <v>14.0563</v>
      </c>
      <c r="R112" s="1">
        <v>12.8477</v>
      </c>
      <c r="S112" s="1">
        <v>13.035500000000001</v>
      </c>
      <c r="T112" s="1">
        <v>12.994899999999999</v>
      </c>
      <c r="AV112">
        <v>13.6272</v>
      </c>
      <c r="AZ112">
        <v>13.6477</v>
      </c>
      <c r="BC112">
        <v>13.807</v>
      </c>
    </row>
    <row r="113" spans="2:55" x14ac:dyDescent="0.2">
      <c r="B113" s="13" t="s">
        <v>50</v>
      </c>
      <c r="C113" s="10">
        <f t="array" ref="C113">_xlfn.IFNA(LOOKUP(2,1/(AW113:CA113&lt;&gt;""),AW113:CA113),"")</f>
        <v>41.412599999999998</v>
      </c>
      <c r="D113" s="2">
        <f>(C113-$J113)/$J113</f>
        <v>-3.5538723252719639E-3</v>
      </c>
      <c r="E113" s="3">
        <f>(C113-AZ113)/AZ113</f>
        <v>3.5535051198379547E-2</v>
      </c>
      <c r="F113" s="3">
        <f>(L113-J113)/J113</f>
        <v>-5.5230592656934641E-2</v>
      </c>
      <c r="G113" s="3">
        <f>(O113-N113)/N113</f>
        <v>-1.3531729973684521E-3</v>
      </c>
      <c r="H113" s="3">
        <f>(R113-Q113)/Q113</f>
        <v>-9.6759752998643728E-2</v>
      </c>
      <c r="I113" s="3">
        <f>(AV113-S113)/S113</f>
        <v>0.10654134475743844</v>
      </c>
      <c r="J113" s="1">
        <v>41.560299999999998</v>
      </c>
      <c r="K113" s="1">
        <v>41.977899999999998</v>
      </c>
      <c r="L113" s="1">
        <v>39.264899999999997</v>
      </c>
      <c r="N113">
        <v>38.797699999999999</v>
      </c>
      <c r="O113">
        <v>38.745199999999997</v>
      </c>
      <c r="Q113" s="1">
        <v>37.975499999999997</v>
      </c>
      <c r="R113" s="1">
        <v>34.301000000000002</v>
      </c>
      <c r="S113" s="1">
        <v>35.737299999999998</v>
      </c>
      <c r="T113" s="1">
        <v>35.959400000000002</v>
      </c>
      <c r="AV113">
        <v>39.544800000000002</v>
      </c>
      <c r="AZ113">
        <v>39.991500000000002</v>
      </c>
      <c r="BC113">
        <v>41.412599999999998</v>
      </c>
    </row>
    <row r="114" spans="2:55" x14ac:dyDescent="0.2">
      <c r="B114" s="13" t="s">
        <v>98</v>
      </c>
      <c r="C114" s="10">
        <f t="array" ref="C114">_xlfn.IFNA(LOOKUP(2,1/(AW114:CA114&lt;&gt;""),AW114:CA114),"")</f>
        <v>10.3485</v>
      </c>
      <c r="D114" s="2">
        <f>(C114-$J114)/$J114</f>
        <v>-6.0032657765824613E-3</v>
      </c>
      <c r="E114" s="3">
        <f>(C114-AZ114)/AZ114</f>
        <v>1.464835132511692E-2</v>
      </c>
      <c r="F114" s="3">
        <f>(L114-J114)/J114</f>
        <v>1.2313898760925911E-2</v>
      </c>
      <c r="G114" s="3">
        <f>(O114-N114)/N114</f>
        <v>2.776879586897521E-2</v>
      </c>
      <c r="H114" s="3">
        <f>(R114-Q114)/Q114</f>
        <v>-8.6241167127925553E-2</v>
      </c>
      <c r="I114" s="3">
        <f>(AV114-S114)/S114</f>
        <v>4.4199632439758142E-2</v>
      </c>
      <c r="J114" s="1">
        <v>10.411</v>
      </c>
      <c r="K114" s="1">
        <v>10.483000000000001</v>
      </c>
      <c r="L114" s="1">
        <v>10.539199999999999</v>
      </c>
      <c r="N114">
        <v>10.2057</v>
      </c>
      <c r="O114">
        <v>10.489100000000001</v>
      </c>
      <c r="Q114" s="1">
        <v>10.514699999999999</v>
      </c>
      <c r="R114" s="1">
        <v>9.6079000000000008</v>
      </c>
      <c r="S114" s="1">
        <v>9.7399000000000004</v>
      </c>
      <c r="T114" s="1">
        <v>9.702</v>
      </c>
      <c r="AV114">
        <v>10.170400000000001</v>
      </c>
      <c r="AZ114">
        <v>10.1991</v>
      </c>
      <c r="BC114">
        <v>10.3485</v>
      </c>
    </row>
    <row r="115" spans="2:55" ht="25.5" x14ac:dyDescent="0.2">
      <c r="B115" s="13" t="s">
        <v>105</v>
      </c>
      <c r="C115" s="10">
        <f t="array" ref="C115">_xlfn.IFNA(LOOKUP(2,1/(AW115:CA115&lt;&gt;""),AW115:CA115),"")</f>
        <v>12.531599999999999</v>
      </c>
      <c r="D115" s="2">
        <f>(C115-$J115)/$J115</f>
        <v>-6.1305902973297459E-3</v>
      </c>
      <c r="E115" s="3">
        <f>(C115-AZ115)/AZ115</f>
        <v>1.0572154348614976E-2</v>
      </c>
      <c r="F115" s="3">
        <f>(L115-J115)/J115</f>
        <v>2.4197194045475774E-2</v>
      </c>
      <c r="G115" s="3">
        <f>(O115-N115)/N115</f>
        <v>2.9435930981117908E-2</v>
      </c>
      <c r="H115" s="3">
        <f>(R115-Q115)/Q115</f>
        <v>-9.2163402384950563E-2</v>
      </c>
      <c r="I115" s="3">
        <f>(AV115-S115)/S115</f>
        <v>3.7503780623046726E-2</v>
      </c>
      <c r="J115" s="1">
        <v>12.6089</v>
      </c>
      <c r="K115" s="1">
        <v>12.7202</v>
      </c>
      <c r="L115" s="1">
        <v>12.914</v>
      </c>
      <c r="N115">
        <v>12.5357</v>
      </c>
      <c r="O115">
        <v>12.9047</v>
      </c>
      <c r="Q115" s="1">
        <v>12.922700000000001</v>
      </c>
      <c r="R115" s="1">
        <v>11.7317</v>
      </c>
      <c r="S115" s="1">
        <v>11.902799999999999</v>
      </c>
      <c r="T115" s="1">
        <v>11.8567</v>
      </c>
      <c r="AV115">
        <v>12.3492</v>
      </c>
      <c r="AZ115">
        <v>12.400499999999999</v>
      </c>
      <c r="BC115">
        <v>12.531599999999999</v>
      </c>
    </row>
    <row r="116" spans="2:55" ht="25.5" x14ac:dyDescent="0.2">
      <c r="B116" s="13" t="s">
        <v>103</v>
      </c>
      <c r="C116" s="10">
        <f t="array" ref="C116">_xlfn.IFNA(LOOKUP(2,1/(AW116:CA116&lt;&gt;""),AW116:CA116),"")</f>
        <v>87.651200000000003</v>
      </c>
      <c r="D116" s="2">
        <f>(C116-$J116)/$J116</f>
        <v>-6.6321835432995944E-3</v>
      </c>
      <c r="E116" s="3">
        <f>(C116-AZ116)/AZ116</f>
        <v>1.3662573522779008E-2</v>
      </c>
      <c r="F116" s="3">
        <f>(L116-J116)/J116</f>
        <v>5.9363255980524393E-3</v>
      </c>
      <c r="G116" s="3">
        <f>(O116-N116)/N116</f>
        <v>1.9548136422506922E-2</v>
      </c>
      <c r="H116" s="3">
        <f>(R116-Q116)/Q116</f>
        <v>-8.6770010062978409E-2</v>
      </c>
      <c r="I116" s="3">
        <f>(AV116-S116)/S116</f>
        <v>5.120622984599326E-2</v>
      </c>
      <c r="J116" s="1">
        <v>88.236400000000003</v>
      </c>
      <c r="K116" s="1">
        <v>88.7761</v>
      </c>
      <c r="L116" s="1">
        <v>88.760199999999998</v>
      </c>
      <c r="N116">
        <v>86.862499999999997</v>
      </c>
      <c r="O116">
        <v>88.560500000000005</v>
      </c>
      <c r="Q116" s="1">
        <v>88.442999999999998</v>
      </c>
      <c r="R116" s="1">
        <v>80.768799999999999</v>
      </c>
      <c r="S116" s="1">
        <v>82.210700000000003</v>
      </c>
      <c r="T116" s="1">
        <v>82.003699999999995</v>
      </c>
      <c r="AV116">
        <v>86.420400000000001</v>
      </c>
      <c r="AZ116">
        <v>86.469800000000006</v>
      </c>
      <c r="BC116">
        <v>87.651200000000003</v>
      </c>
    </row>
    <row r="117" spans="2:55" ht="25.5" x14ac:dyDescent="0.2">
      <c r="B117" s="13" t="s">
        <v>101</v>
      </c>
      <c r="C117" s="10">
        <f t="array" ref="C117">_xlfn.IFNA(LOOKUP(2,1/(AW117:CA117&lt;&gt;""),AW117:CA117),"")</f>
        <v>27.962499999999999</v>
      </c>
      <c r="D117" s="2">
        <f>(C117-$J117)/$J117</f>
        <v>-8.7805120133852936E-3</v>
      </c>
      <c r="E117" s="3">
        <f>(C117-AZ117)/AZ117</f>
        <v>1.1046028130310538E-2</v>
      </c>
      <c r="F117" s="3">
        <f>(L117-J117)/J117</f>
        <v>-1.084005076178125E-2</v>
      </c>
      <c r="G117" s="3">
        <f>(O117-N117)/N117</f>
        <v>1.766082468214163E-2</v>
      </c>
      <c r="H117" s="3">
        <f>(R117-Q117)/Q117</f>
        <v>-7.0791064806129927E-2</v>
      </c>
      <c r="I117" s="3">
        <f>(AV117-S117)/S117</f>
        <v>5.3228701615501535E-2</v>
      </c>
      <c r="J117" s="1">
        <v>28.2102</v>
      </c>
      <c r="K117" s="1">
        <v>28.315799999999999</v>
      </c>
      <c r="L117" s="1">
        <v>27.904399999999999</v>
      </c>
      <c r="N117">
        <v>27.433599999999998</v>
      </c>
      <c r="O117">
        <v>27.918099999999999</v>
      </c>
      <c r="Q117" s="1">
        <v>27.7196</v>
      </c>
      <c r="R117" s="1">
        <v>25.757300000000001</v>
      </c>
      <c r="S117" s="1">
        <v>26.072399999999998</v>
      </c>
      <c r="T117" s="1">
        <v>26.0016</v>
      </c>
      <c r="AV117">
        <v>27.4602</v>
      </c>
      <c r="AZ117">
        <v>27.657</v>
      </c>
      <c r="BC117">
        <v>27.962499999999999</v>
      </c>
    </row>
    <row r="118" spans="2:55" x14ac:dyDescent="0.2">
      <c r="B118" s="13" t="s">
        <v>70</v>
      </c>
      <c r="C118" s="10">
        <f t="array" ref="C118">_xlfn.IFNA(LOOKUP(2,1/(AW118:CA118&lt;&gt;""),AW118:CA118),"")</f>
        <v>71.73</v>
      </c>
      <c r="D118" s="2">
        <f>(C118-$J118)/$J118</f>
        <v>-1.5914391548909269E-2</v>
      </c>
      <c r="E118" s="3">
        <f>(C118-AZ118)/AZ118</f>
        <v>1.0139416983523431E-2</v>
      </c>
      <c r="F118" s="3">
        <f>(L118-J118)/J118</f>
        <v>-5.6935107696529097E-2</v>
      </c>
      <c r="G118" s="3">
        <f>(O118-N118)/N118</f>
        <v>1.9295424645519772E-2</v>
      </c>
      <c r="H118" s="3">
        <f>(R118-Q118)/Q118</f>
        <v>-8.5249743664860017E-2</v>
      </c>
      <c r="I118" s="3">
        <f>(AV118-S118)/S118</f>
        <v>0.10586395621579352</v>
      </c>
      <c r="J118" s="1">
        <v>72.89</v>
      </c>
      <c r="K118" s="1">
        <v>73.48</v>
      </c>
      <c r="L118" s="1">
        <v>68.739999999999995</v>
      </c>
      <c r="N118">
        <v>68.41</v>
      </c>
      <c r="O118">
        <v>69.73</v>
      </c>
      <c r="Q118" s="1">
        <v>68.27</v>
      </c>
      <c r="R118" s="1">
        <v>62.45</v>
      </c>
      <c r="S118" s="1">
        <v>63.95</v>
      </c>
      <c r="T118" s="1">
        <v>63.61</v>
      </c>
      <c r="AV118">
        <v>70.72</v>
      </c>
      <c r="AZ118">
        <v>71.010000000000005</v>
      </c>
      <c r="BC118">
        <v>71.73</v>
      </c>
    </row>
    <row r="119" spans="2:55" ht="25.5" x14ac:dyDescent="0.2">
      <c r="B119" s="13" t="s">
        <v>108</v>
      </c>
      <c r="C119" s="10">
        <f t="array" ref="C119">_xlfn.IFNA(LOOKUP(2,1/(AW119:CA119&lt;&gt;""),AW119:CA119),"")</f>
        <v>12.34</v>
      </c>
      <c r="D119" s="2">
        <f>(C119-$J119)/$J119</f>
        <v>-1.5948963317384313E-2</v>
      </c>
      <c r="E119" s="3">
        <f>(C119-AZ119)/AZ119</f>
        <v>1.396877567789646E-2</v>
      </c>
      <c r="F119" s="3">
        <f>(L119-J119)/J119</f>
        <v>1.5151515151515254E-2</v>
      </c>
      <c r="G119" s="3">
        <f>(O119-N119)/N119</f>
        <v>1.5987210231814635E-2</v>
      </c>
      <c r="H119" s="3">
        <f>(R119-Q119)/Q119</f>
        <v>-8.2352941176470643E-2</v>
      </c>
      <c r="I119" s="3">
        <f>(AV119-S119)/S119</f>
        <v>2.8764805414551595E-2</v>
      </c>
      <c r="J119" s="1">
        <v>12.54</v>
      </c>
      <c r="K119" s="1">
        <v>12.62</v>
      </c>
      <c r="L119" s="1">
        <v>12.73</v>
      </c>
      <c r="N119">
        <v>12.51</v>
      </c>
      <c r="O119">
        <v>12.71</v>
      </c>
      <c r="Q119" s="1">
        <v>12.75</v>
      </c>
      <c r="R119" s="1">
        <v>11.7</v>
      </c>
      <c r="S119" s="1">
        <v>11.82</v>
      </c>
      <c r="T119" s="1">
        <v>11.78</v>
      </c>
      <c r="AV119">
        <v>12.16</v>
      </c>
      <c r="AZ119">
        <v>12.17</v>
      </c>
      <c r="BC119">
        <v>12.34</v>
      </c>
    </row>
    <row r="120" spans="2:55" ht="25.5" x14ac:dyDescent="0.2">
      <c r="B120" s="13" t="s">
        <v>49</v>
      </c>
      <c r="C120" s="10">
        <f t="array" ref="C120">_xlfn.IFNA(LOOKUP(2,1/(AW120:CA120&lt;&gt;""),AW120:CA120),"")</f>
        <v>155.72800000000001</v>
      </c>
      <c r="D120" s="2">
        <f>(C120-$J120)/$J120</f>
        <v>-1.7209933419582869E-2</v>
      </c>
      <c r="E120" s="3">
        <f>(C120-AZ120)/AZ120</f>
        <v>2.282385240356527E-2</v>
      </c>
      <c r="F120" s="3">
        <f>(L120-J120)/J120</f>
        <v>-3.5025717080559217E-2</v>
      </c>
      <c r="G120" s="3">
        <f>(O120-N120)/N120</f>
        <v>9.4078838858651908E-3</v>
      </c>
      <c r="H120" s="3">
        <f>(R120-Q120)/Q120</f>
        <v>-9.7663227492068516E-2</v>
      </c>
      <c r="I120" s="3">
        <f>(AV120-S120)/S120</f>
        <v>8.1220532619538086E-2</v>
      </c>
      <c r="J120" s="1">
        <v>158.45500000000001</v>
      </c>
      <c r="K120" s="1">
        <v>159.46799999999999</v>
      </c>
      <c r="L120" s="1">
        <v>152.905</v>
      </c>
      <c r="N120">
        <v>151.57499999999999</v>
      </c>
      <c r="O120">
        <v>153.001</v>
      </c>
      <c r="Q120" s="1">
        <v>150.036</v>
      </c>
      <c r="R120" s="1">
        <v>135.38300000000001</v>
      </c>
      <c r="S120" s="1">
        <v>139.34899999999999</v>
      </c>
      <c r="T120" s="1">
        <v>139.77699999999999</v>
      </c>
      <c r="AV120">
        <v>150.667</v>
      </c>
      <c r="AZ120">
        <v>152.25299999999999</v>
      </c>
      <c r="BC120">
        <v>155.72800000000001</v>
      </c>
    </row>
    <row r="121" spans="2:55" x14ac:dyDescent="0.2">
      <c r="B121" s="13"/>
    </row>
    <row r="122" spans="2:55" x14ac:dyDescent="0.2">
      <c r="B122" s="13"/>
    </row>
    <row r="123" spans="2:55" x14ac:dyDescent="0.2">
      <c r="B123" s="13"/>
    </row>
    <row r="124" spans="2:55" x14ac:dyDescent="0.2">
      <c r="B124" s="13"/>
    </row>
    <row r="125" spans="2:55" x14ac:dyDescent="0.2">
      <c r="B125" s="13"/>
    </row>
    <row r="126" spans="2:55" x14ac:dyDescent="0.2">
      <c r="B126" s="13"/>
    </row>
    <row r="127" spans="2:55" x14ac:dyDescent="0.2">
      <c r="B127" s="13"/>
    </row>
    <row r="128" spans="2:55" x14ac:dyDescent="0.2">
      <c r="B128" s="13"/>
    </row>
  </sheetData>
  <autoFilter ref="B1:H120" xr:uid="{00000000-0009-0000-0000-000000000000}"/>
  <sortState xmlns:xlrd2="http://schemas.microsoft.com/office/spreadsheetml/2017/richdata2" ref="B2:EK120">
    <sortCondition descending="1" ref="D2:D120"/>
  </sortState>
  <conditionalFormatting sqref="J2:L3">
    <cfRule type="cellIs" dxfId="1" priority="5" stopIfTrue="1" operator="equal">
      <formula>#REF!</formula>
    </cfRule>
    <cfRule type="cellIs" dxfId="0" priority="6" stopIfTrue="1" operator="equal">
      <formula>#REF!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PullSheet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Sinha</dc:creator>
  <cp:lastModifiedBy>Ashish Sinha</cp:lastModifiedBy>
  <dcterms:created xsi:type="dcterms:W3CDTF">2026-02-16T15:11:13Z</dcterms:created>
  <dcterms:modified xsi:type="dcterms:W3CDTF">2026-05-08T14:15:28Z</dcterms:modified>
</cp:coreProperties>
</file>