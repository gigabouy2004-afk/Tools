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/>
  <mc:AlternateContent xmlns:mc="http://schemas.openxmlformats.org/markup-compatibility/2006">
    <mc:Choice Requires="x15">
      <x15ac:absPath xmlns:x15ac="http://schemas.microsoft.com/office/spreadsheetml/2010/11/ac" url="D:\Tools\MutualFundPerformance\"/>
    </mc:Choice>
  </mc:AlternateContent>
  <xr:revisionPtr revIDLastSave="0" documentId="8_{F25E7D19-65D2-4762-9B9C-93E7BD9011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definedNames>
    <definedName name="_xlnm._FilterDatabase" localSheetId="0" hidden="1">Summary!$B$3:$P$225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  <c r="M2" i="1"/>
  <c r="L2" i="1"/>
  <c r="K2" i="1"/>
  <c r="J2" i="1"/>
  <c r="I2" i="1"/>
  <c r="H2" i="1"/>
  <c r="G2" i="1"/>
  <c r="G1" i="1"/>
  <c r="H1" i="1"/>
  <c r="I1" i="1"/>
  <c r="J1" i="1"/>
  <c r="K1" i="1"/>
  <c r="L1" i="1"/>
  <c r="M1" i="1"/>
  <c r="N1" i="1"/>
  <c r="O1" i="1"/>
  <c r="P1" i="1"/>
</calcChain>
</file>

<file path=xl/sharedStrings.xml><?xml version="1.0" encoding="utf-8"?>
<sst xmlns="http://schemas.openxmlformats.org/spreadsheetml/2006/main" count="143" uniqueCount="143">
  <si>
    <t>Ticker</t>
  </si>
  <si>
    <t>AUM (USD M)</t>
  </si>
  <si>
    <t>Price</t>
  </si>
  <si>
    <t>Liquidity (Avg Vol)</t>
  </si>
  <si>
    <t>YTD</t>
  </si>
  <si>
    <t>3 Month</t>
  </si>
  <si>
    <t>6 Month</t>
  </si>
  <si>
    <t>1 yr</t>
  </si>
  <si>
    <t>9 Month</t>
  </si>
  <si>
    <t>This Week</t>
  </si>
  <si>
    <t>MTD</t>
  </si>
  <si>
    <t>Since Yesterday</t>
  </si>
  <si>
    <t>Name</t>
  </si>
  <si>
    <t>Apr-26</t>
  </si>
  <si>
    <t>Mar-26</t>
  </si>
  <si>
    <t>EEM</t>
  </si>
  <si>
    <t>iShares MSCI Emerging Markets ETF</t>
  </si>
  <si>
    <t>CQQQ</t>
  </si>
  <si>
    <t>Invesco China Technology ETF</t>
  </si>
  <si>
    <t>ECNS</t>
  </si>
  <si>
    <t>iShares MSCI China Small-Cap ETF</t>
  </si>
  <si>
    <t>CNYA</t>
  </si>
  <si>
    <t>iShares MSCI China A ETF</t>
  </si>
  <si>
    <t>EEMV</t>
  </si>
  <si>
    <t>iShares MSCI Emerging Markets Min Vol Factor ETF</t>
  </si>
  <si>
    <t>CXSE</t>
  </si>
  <si>
    <t>WisdomTree China ex-State-Owned Enterprises Fund</t>
  </si>
  <si>
    <t>BRAZ</t>
  </si>
  <si>
    <t>Global X Brazil Active ETF</t>
  </si>
  <si>
    <t>ASHR</t>
  </si>
  <si>
    <t>Xtrackers Harvest CSI 300 China A-Shares ETF</t>
  </si>
  <si>
    <t>EPOL</t>
  </si>
  <si>
    <t>iShares MSCI Poland ETF</t>
  </si>
  <si>
    <t>CNXT</t>
  </si>
  <si>
    <t>VanEck ChiNext ETF</t>
  </si>
  <si>
    <t>BRF</t>
  </si>
  <si>
    <t>VanEck Brazil Small-Cap ETF</t>
  </si>
  <si>
    <t>CWI</t>
  </si>
  <si>
    <t>State Street SPDR MSCI ACWI ex-US ETF</t>
  </si>
  <si>
    <t>EDEN</t>
  </si>
  <si>
    <t>iShares MSCI Denmark ETF</t>
  </si>
  <si>
    <t>DAX</t>
  </si>
  <si>
    <t>Global X DAX Germany ETF</t>
  </si>
  <si>
    <t>EWY</t>
  </si>
  <si>
    <t>iShares MSCI South Korea ETF</t>
  </si>
  <si>
    <t>MKOR</t>
  </si>
  <si>
    <t>Matthews Korea Active ETF</t>
  </si>
  <si>
    <t>FLKR</t>
  </si>
  <si>
    <t>Franklin FTSE South Korea ETF</t>
  </si>
  <si>
    <t>EWT</t>
  </si>
  <si>
    <t>iShares MSCI Taiwan ETF</t>
  </si>
  <si>
    <t>KGRN</t>
  </si>
  <si>
    <t>KraneShares MSCI China Clean Technology ETF</t>
  </si>
  <si>
    <t>PGJ</t>
  </si>
  <si>
    <t>Invesco Golden Dragon China ETF</t>
  </si>
  <si>
    <t>TCHI</t>
  </si>
  <si>
    <t>iShares MSCI China Multisector Tech ETF</t>
  </si>
  <si>
    <t>IEMG</t>
  </si>
  <si>
    <t>iShares Core MSCI Emerging Markets ETF</t>
  </si>
  <si>
    <t>EWJ</t>
  </si>
  <si>
    <t>iShares MSCI Japan ETF</t>
  </si>
  <si>
    <t>MJSC</t>
  </si>
  <si>
    <t>MUFG Japan Small Cap Active ETF</t>
  </si>
  <si>
    <t>SCHE</t>
  </si>
  <si>
    <t>Schwab Emerging Markets Equity ETF</t>
  </si>
  <si>
    <t>VWO</t>
  </si>
  <si>
    <t>Vanguard Emerging Markets Stock Index Fund</t>
  </si>
  <si>
    <t>SPEM</t>
  </si>
  <si>
    <t>State Street SPDR Portfolio Emerging Markets ETF</t>
  </si>
  <si>
    <t>FNDE</t>
  </si>
  <si>
    <t>Schwab Fundamental Emerging Markets Equity ETF</t>
  </si>
  <si>
    <t>GXC</t>
  </si>
  <si>
    <t>State Street SPDR S&amp;P China ETF</t>
  </si>
  <si>
    <t>KWEB</t>
  </si>
  <si>
    <t>KraneShares CSI China Internet ETF</t>
  </si>
  <si>
    <t>FJP</t>
  </si>
  <si>
    <t>First Trust Japan AlphaDEX Fund</t>
  </si>
  <si>
    <t>FXI</t>
  </si>
  <si>
    <t>iShares China Large-Cap ETF</t>
  </si>
  <si>
    <t>MCHI</t>
  </si>
  <si>
    <t>iShares MSCI China ETF</t>
  </si>
  <si>
    <t>FLBR</t>
  </si>
  <si>
    <t>Franklin FTSE Brazil ETF</t>
  </si>
  <si>
    <t>EWZ</t>
  </si>
  <si>
    <t>iShares MSCI Brazil ETF</t>
  </si>
  <si>
    <t>THD</t>
  </si>
  <si>
    <t>iShares MSCI Thailand ETF</t>
  </si>
  <si>
    <t>EPU</t>
  </si>
  <si>
    <t>iShares MSCI Peru ETF</t>
  </si>
  <si>
    <t>KURE</t>
  </si>
  <si>
    <t>KraneShares MSCI All China Health Care Index ETF</t>
  </si>
  <si>
    <t>SCHF</t>
  </si>
  <si>
    <t>Schwab International Equity ETF</t>
  </si>
  <si>
    <t>VEA</t>
  </si>
  <si>
    <t>Vanguard FTSE Developed Markets Index Fund ETF Shares</t>
  </si>
  <si>
    <t>FLMX</t>
  </si>
  <si>
    <t>Franklin FTSE Mexico ETF</t>
  </si>
  <si>
    <t>EWU</t>
  </si>
  <si>
    <t>iShares MSCI United Kingdom ETF</t>
  </si>
  <si>
    <t>EWW</t>
  </si>
  <si>
    <t>iShares MSCI Mexico ETF</t>
  </si>
  <si>
    <t>EWN</t>
  </si>
  <si>
    <t>iShares MSCI Netherlands ETF</t>
  </si>
  <si>
    <t>EWZS</t>
  </si>
  <si>
    <t>iShares MSCI Brazil Small-Cap ETF</t>
  </si>
  <si>
    <t>IEUS</t>
  </si>
  <si>
    <t>iShares MSCI Europe Small-Cap ETF</t>
  </si>
  <si>
    <t>VNAM</t>
  </si>
  <si>
    <t>Global X MSCI Vietnam ETF</t>
  </si>
  <si>
    <t>EWH</t>
  </si>
  <si>
    <t>iShares MSCI Hong Kong ETF</t>
  </si>
  <si>
    <t>EWL</t>
  </si>
  <si>
    <t>iShares MSCI Switzerland ETF</t>
  </si>
  <si>
    <t>VNM</t>
  </si>
  <si>
    <t>VanEck Vietnam ETF</t>
  </si>
  <si>
    <t>IEV</t>
  </si>
  <si>
    <t>iShares Europe ETF</t>
  </si>
  <si>
    <t>IEUR</t>
  </si>
  <si>
    <t>iShares Core MSCI Europe ETF</t>
  </si>
  <si>
    <t>VGK</t>
  </si>
  <si>
    <t>Vanguard FTSE Europe ETF</t>
  </si>
  <si>
    <t>FLGR</t>
  </si>
  <si>
    <t>Franklin FTSE Germany ETF</t>
  </si>
  <si>
    <t>EWG</t>
  </si>
  <si>
    <t>iShares MSCI Germany ETF</t>
  </si>
  <si>
    <t>HEDJ</t>
  </si>
  <si>
    <t>WisdomTree Europe Hedged Equity Fund</t>
  </si>
  <si>
    <t>FGM</t>
  </si>
  <si>
    <t>First Trust Germany AlphaDEX Fund</t>
  </si>
  <si>
    <t>EZU</t>
  </si>
  <si>
    <t>iShares MSCI Eurozone ETF</t>
  </si>
  <si>
    <t>EWQ</t>
  </si>
  <si>
    <t>iShares MSCI France ETF</t>
  </si>
  <si>
    <t>EWI</t>
  </si>
  <si>
    <t>iShares MSCI Italy ETF</t>
  </si>
  <si>
    <t>GREK</t>
  </si>
  <si>
    <t>Global X MSCI Greece ETF</t>
  </si>
  <si>
    <t>FEZ</t>
  </si>
  <si>
    <t>State Street SPDR EURO STOXX 50 ETF</t>
  </si>
  <si>
    <t>KDEF</t>
  </si>
  <si>
    <t>PLUS Korea Defense Industry Index ETF</t>
  </si>
  <si>
    <t>EWP</t>
  </si>
  <si>
    <t>iShares MSCI Spain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</si>
</sst>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[$$-1409]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1F1F1F"/>
      <name val="Calibri"/>
      <family val="2"/>
      <scheme val="minor"/>
    </font>
    <font>
      <b/>
      <sz val="14"/>
      <color rgb="FF1F1F1F"/>
      <name val="Arial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1F1F1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 wrapText="1" readingOrder="1"/>
    </xf>
    <xf numFmtId="10" fontId="2" fillId="4" borderId="0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3" fontId="7" fillId="0" borderId="0" xfId="0" applyNumberFormat="1" applyFont="1" applyAlignment="1">
      <alignment horizontal="center" vertical="center" wrapText="1" readingOrder="1"/>
    </xf>
    <xf numFmtId="10" fontId="6" fillId="3" borderId="0" xfId="1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5" fillId="0" borderId="0" xfId="1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0" fontId="4" fillId="2" borderId="3" xfId="1" applyNumberFormat="1" applyFont="1" applyFill="1" applyBorder="1" applyAlignment="1">
      <alignment horizontal="center" vertical="center" wrapText="1" readingOrder="1"/>
    </xf>
    <xf numFmtId="10" fontId="4" fillId="5" borderId="3" xfId="1" applyNumberFormat="1" applyFont="1" applyFill="1" applyBorder="1" applyAlignment="1">
      <alignment horizontal="center" vertical="center" wrapText="1" readingOrder="1"/>
    </xf>
    <xf numFmtId="10" fontId="4" fillId="6" borderId="3" xfId="1" applyNumberFormat="1" applyFont="1" applyFill="1" applyBorder="1" applyAlignment="1">
      <alignment horizontal="center" vertical="center" wrapText="1" readingOrder="1"/>
    </xf>
    <xf numFmtId="10" fontId="4" fillId="7" borderId="3" xfId="1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165" fontId="2" fillId="0" borderId="0" xfId="0" applyNumberFormat="1" applyFont="1"/>
    <xf numFmtId="2" fontId="0" fillId="0" borderId="0" xfId="0" applyNumberForma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6"/>
  <sheetViews>
    <sheetView tabSelected="1"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:P67"/>
    </sheetView>
  </sheetViews>
  <sheetFormatPr defaultRowHeight="15" x14ac:dyDescent="0.25"/>
  <cols>
    <col min="1" max="1" width="3.140625" style="3" customWidth="1"/>
    <col min="2" max="2" width="10.5703125" style="2" customWidth="1"/>
    <col min="3" max="3" width="53.85546875" style="1" bestFit="1" customWidth="1"/>
    <col min="4" max="4" width="12.28515625" style="3" customWidth="1"/>
    <col min="5" max="5" width="14.5703125" style="20" customWidth="1"/>
    <col min="6" max="6" width="17" style="3" customWidth="1"/>
    <col min="7" max="7" width="16.140625" style="11" customWidth="1"/>
    <col min="8" max="13" width="13.5703125" style="11" customWidth="1"/>
    <col min="14" max="14" width="13.7109375" style="11" customWidth="1"/>
    <col min="15" max="16" width="16" style="11" bestFit="1" customWidth="1"/>
    <col min="18" max="18" width="11.5703125" bestFit="1" customWidth="1"/>
  </cols>
  <sheetData>
    <row r="1" spans="2:16" ht="21" x14ac:dyDescent="0.35">
      <c r="B1" s="8"/>
      <c r="C1" s="14"/>
      <c r="D1" s="9"/>
      <c r="E1" s="17"/>
      <c r="F1" s="15"/>
      <c r="G1" s="10">
        <f t="shared" ref="G1:P1" si="0">LARGE(_xlfn.UNIQUE(G$4:G$225),1)</f>
        <v>0.98147922092013395</v>
      </c>
      <c r="H1" s="10" t="e">
        <f t="shared" si="0"/>
        <v>#NUM!</v>
      </c>
      <c r="I1" s="10">
        <f t="shared" si="0"/>
        <v>0.98147922092013395</v>
      </c>
      <c r="J1" s="10">
        <f t="shared" si="0"/>
        <v>27.767326708130181</v>
      </c>
      <c r="K1" s="10">
        <f t="shared" si="0"/>
        <v>4.5105940401971356</v>
      </c>
      <c r="L1" s="10">
        <f t="shared" si="0"/>
        <v>37.026445580768787</v>
      </c>
      <c r="M1" s="10">
        <f t="shared" si="0"/>
        <v>61.279550241365818</v>
      </c>
      <c r="N1" s="10">
        <f t="shared" si="0"/>
        <v>83.256124127613546</v>
      </c>
      <c r="O1" s="10">
        <f t="shared" si="0"/>
        <v>129.03503940859969</v>
      </c>
      <c r="P1" s="10">
        <f t="shared" si="0"/>
        <v>185.92186005168099</v>
      </c>
    </row>
    <row r="2" spans="2:16" ht="19.5" thickBot="1" x14ac:dyDescent="0.35">
      <c r="B2" s="4"/>
      <c r="C2" s="15"/>
      <c r="D2" s="5"/>
      <c r="E2" s="18"/>
      <c r="F2" s="15"/>
      <c r="G2" s="6">
        <f t="shared" ref="G2:P2" si="1">LARGE(_xlfn.UNIQUE(G$4:G$225),2)</f>
        <v>0.95417248792364351</v>
      </c>
      <c r="H2" s="6" t="e">
        <f t="shared" si="1"/>
        <v>#NUM!</v>
      </c>
      <c r="I2" s="6">
        <f t="shared" si="1"/>
        <v>0.95417248792364351</v>
      </c>
      <c r="J2" s="6">
        <f t="shared" si="1"/>
        <v>27.47978668340911</v>
      </c>
      <c r="K2" s="6">
        <f t="shared" si="1"/>
        <v>0.1677107234337338</v>
      </c>
      <c r="L2" s="6">
        <f t="shared" si="1"/>
        <v>36.086846005991937</v>
      </c>
      <c r="M2" s="6">
        <f t="shared" si="1"/>
        <v>60.037169227462229</v>
      </c>
      <c r="N2" s="6">
        <f t="shared" si="1"/>
        <v>82.205104751882502</v>
      </c>
      <c r="O2" s="6">
        <f t="shared" si="1"/>
        <v>123.2873505618556</v>
      </c>
      <c r="P2" s="6">
        <f t="shared" si="1"/>
        <v>178.78376078485979</v>
      </c>
    </row>
    <row r="3" spans="2:16" ht="42.75" customHeight="1" x14ac:dyDescent="0.25">
      <c r="B3" s="7" t="s">
        <v>0</v>
      </c>
      <c r="C3" s="13" t="s">
        <v>12</v>
      </c>
      <c r="D3" s="13" t="s">
        <v>1</v>
      </c>
      <c r="E3" s="19" t="s">
        <v>2</v>
      </c>
      <c r="F3" s="12" t="s">
        <v>3</v>
      </c>
      <c r="G3" s="22" t="s">
        <v>11</v>
      </c>
      <c r="H3" s="23" t="s">
        <v>9</v>
      </c>
      <c r="I3" s="24" t="s">
        <v>10</v>
      </c>
      <c r="J3" s="25" t="s">
        <v>13</v>
      </c>
      <c r="K3" s="22" t="s">
        <v>14</v>
      </c>
      <c r="L3" s="22" t="s">
        <v>5</v>
      </c>
      <c r="M3" s="22" t="s">
        <v>4</v>
      </c>
      <c r="N3" s="22" t="s">
        <v>6</v>
      </c>
      <c r="O3" s="22" t="s">
        <v>8</v>
      </c>
      <c r="P3" s="22" t="s">
        <v>7</v>
      </c>
    </row>
    <row r="4" spans="2:16" x14ac:dyDescent="0.25">
      <c r="B4" t="s">
        <v>43</v>
      </c>
      <c r="C4" t="s">
        <v>44</v>
      </c>
      <c r="D4">
        <v>15736.128511999999</v>
      </c>
      <c r="E4">
        <v>163.5899963378906</v>
      </c>
      <c r="F4">
        <v>22507056</v>
      </c>
      <c r="G4" s="28">
        <v>0.98147922092013395</v>
      </c>
      <c r="H4" s="28"/>
      <c r="I4" s="28">
        <v>0.98147922092013395</v>
      </c>
      <c r="J4" s="28">
        <v>27.364912812619611</v>
      </c>
      <c r="K4" s="28">
        <v>-16.625994487020161</v>
      </c>
      <c r="L4" s="28">
        <v>36.086846005991937</v>
      </c>
      <c r="M4" s="28">
        <v>60.037169227462229</v>
      </c>
      <c r="N4" s="28">
        <v>82.205104751882502</v>
      </c>
      <c r="O4" s="28">
        <v>129.03503940859969</v>
      </c>
      <c r="P4" s="28">
        <v>185.92186005168099</v>
      </c>
    </row>
    <row r="5" spans="2:16" x14ac:dyDescent="0.25">
      <c r="B5" t="s">
        <v>45</v>
      </c>
      <c r="C5" t="s">
        <v>46</v>
      </c>
      <c r="D5">
        <v>92.103111999999996</v>
      </c>
      <c r="E5">
        <v>57.979999542236328</v>
      </c>
      <c r="F5">
        <v>27856</v>
      </c>
      <c r="G5" s="28">
        <v>0.95417248792364351</v>
      </c>
      <c r="H5" s="28"/>
      <c r="I5" s="28">
        <v>0.95417248792364351</v>
      </c>
      <c r="J5" s="28">
        <v>27.767326708130181</v>
      </c>
      <c r="K5" s="28">
        <v>-14.15896547635308</v>
      </c>
      <c r="L5" s="28">
        <v>37.026445580768787</v>
      </c>
      <c r="M5" s="28">
        <v>61.279550241365818</v>
      </c>
      <c r="N5" s="28">
        <v>83.256124127613546</v>
      </c>
      <c r="O5" s="28">
        <v>115.05489491865529</v>
      </c>
      <c r="P5" s="28">
        <v>158.491083788249</v>
      </c>
    </row>
    <row r="6" spans="2:16" x14ac:dyDescent="0.25">
      <c r="B6" t="s">
        <v>47</v>
      </c>
      <c r="C6" t="s">
        <v>48</v>
      </c>
      <c r="D6">
        <v>420.78192000000001</v>
      </c>
      <c r="E6">
        <v>53.270000457763672</v>
      </c>
      <c r="F6">
        <v>600250</v>
      </c>
      <c r="G6" s="28">
        <v>0.94750804559911028</v>
      </c>
      <c r="H6" s="28"/>
      <c r="I6" s="28">
        <v>0.94750804559911028</v>
      </c>
      <c r="J6" s="28">
        <v>27.47978668340911</v>
      </c>
      <c r="K6" s="28">
        <v>-16.74671238249633</v>
      </c>
      <c r="L6" s="28">
        <v>36.031666663257212</v>
      </c>
      <c r="M6" s="28">
        <v>59.44328255329188</v>
      </c>
      <c r="N6" s="28">
        <v>80.728670755418165</v>
      </c>
      <c r="O6" s="28">
        <v>123.2873505618556</v>
      </c>
      <c r="P6" s="28">
        <v>178.78376078485979</v>
      </c>
    </row>
    <row r="7" spans="2:16" x14ac:dyDescent="0.25">
      <c r="B7" t="s">
        <v>49</v>
      </c>
      <c r="C7" t="s">
        <v>50</v>
      </c>
      <c r="D7">
        <v>7183.1219199999996</v>
      </c>
      <c r="E7">
        <v>90.410003662109375</v>
      </c>
      <c r="F7">
        <v>6581765</v>
      </c>
      <c r="G7" s="28">
        <v>0.48905461313364368</v>
      </c>
      <c r="H7" s="28"/>
      <c r="I7" s="28">
        <v>0.48905461313364368</v>
      </c>
      <c r="J7" s="28">
        <v>25.32068561576191</v>
      </c>
      <c r="K7" s="28">
        <v>-5.5281757596237657</v>
      </c>
      <c r="L7" s="28">
        <v>33.230183980160419</v>
      </c>
      <c r="M7" s="28">
        <v>39.586241080634252</v>
      </c>
      <c r="N7" s="28">
        <v>46.360727785895392</v>
      </c>
      <c r="O7" s="28">
        <v>56.874036392644591</v>
      </c>
      <c r="P7" s="28">
        <v>83.405088274635133</v>
      </c>
    </row>
    <row r="8" spans="2:16" x14ac:dyDescent="0.25">
      <c r="B8" t="s">
        <v>51</v>
      </c>
      <c r="C8" t="s">
        <v>52</v>
      </c>
      <c r="D8">
        <v>61.608428000000004</v>
      </c>
      <c r="E8">
        <v>28.44169998168945</v>
      </c>
      <c r="F8">
        <v>18680</v>
      </c>
      <c r="G8" s="28">
        <v>0.32345537561142562</v>
      </c>
      <c r="H8" s="28"/>
      <c r="I8" s="28">
        <v>0.32345537561142562</v>
      </c>
      <c r="J8" s="28">
        <v>-0.62413128517255778</v>
      </c>
      <c r="K8" s="28">
        <v>4.5105940401971356</v>
      </c>
      <c r="L8" s="28">
        <v>6.3241120810820783</v>
      </c>
      <c r="M8" s="28">
        <v>1.941578389124432</v>
      </c>
      <c r="N8" s="28">
        <v>-5.1857312544822731</v>
      </c>
      <c r="O8" s="28">
        <v>3.207324906009323</v>
      </c>
      <c r="P8" s="28">
        <v>11.206684135603821</v>
      </c>
    </row>
    <row r="9" spans="2:16" x14ac:dyDescent="0.25">
      <c r="B9" t="s">
        <v>53</v>
      </c>
      <c r="C9" t="s">
        <v>54</v>
      </c>
      <c r="D9">
        <v>110.94544</v>
      </c>
      <c r="E9">
        <v>26.54999923706055</v>
      </c>
      <c r="F9">
        <v>24256</v>
      </c>
      <c r="G9" s="28">
        <v>-3.7651464920618327E-2</v>
      </c>
      <c r="H9" s="28"/>
      <c r="I9" s="28">
        <v>-3.7651464920618327E-2</v>
      </c>
      <c r="J9" s="28">
        <v>2.8131002727324721</v>
      </c>
      <c r="K9" s="28">
        <v>-6.030516841098188</v>
      </c>
      <c r="L9" s="28">
        <v>-7.7412080441542681</v>
      </c>
      <c r="M9" s="28">
        <v>-11.668419886019279</v>
      </c>
      <c r="N9" s="28">
        <v>-13.722233840373709</v>
      </c>
      <c r="O9" s="28">
        <v>-6.6903992072886336</v>
      </c>
      <c r="P9" s="28">
        <v>-2.3362658503609408</v>
      </c>
    </row>
    <row r="10" spans="2:16" x14ac:dyDescent="0.25">
      <c r="B10" t="s">
        <v>55</v>
      </c>
      <c r="C10" t="s">
        <v>56</v>
      </c>
      <c r="D10">
        <v>40.785319999999999</v>
      </c>
      <c r="E10">
        <v>23.764999389648441</v>
      </c>
      <c r="F10">
        <v>19091</v>
      </c>
      <c r="G10" s="28">
        <v>-4.2061951807736968E-2</v>
      </c>
      <c r="H10" s="28"/>
      <c r="I10" s="28">
        <v>-4.2061951807736968E-2</v>
      </c>
      <c r="J10" s="28">
        <v>10.198116297384271</v>
      </c>
      <c r="K10" s="28">
        <v>-6.4800777031706724</v>
      </c>
      <c r="L10" s="28">
        <v>1.3432776821347141</v>
      </c>
      <c r="M10" s="28">
        <v>-2.3623695946374812</v>
      </c>
      <c r="N10" s="28">
        <v>-3.1852197771031538</v>
      </c>
      <c r="O10" s="28">
        <v>14.355173395839181</v>
      </c>
      <c r="P10" s="28">
        <v>27.227948580307611</v>
      </c>
    </row>
    <row r="11" spans="2:16" x14ac:dyDescent="0.25">
      <c r="B11" t="s">
        <v>15</v>
      </c>
      <c r="C11" t="s">
        <v>16</v>
      </c>
      <c r="D11">
        <v>24905.633792000001</v>
      </c>
      <c r="E11">
        <v>64.099998474121094</v>
      </c>
      <c r="F11">
        <v>40676095</v>
      </c>
      <c r="G11" s="28">
        <v>-4.6778076690590087E-2</v>
      </c>
      <c r="H11" s="28"/>
      <c r="I11" s="28">
        <v>-4.6778076690590087E-2</v>
      </c>
      <c r="J11" s="28">
        <v>11.811990547442729</v>
      </c>
      <c r="K11" s="28">
        <v>-7.6585350967035124</v>
      </c>
      <c r="L11" s="28">
        <v>9.5164869485601766</v>
      </c>
      <c r="M11" s="28">
        <v>13.975811808454729</v>
      </c>
      <c r="N11" s="28">
        <v>19.188469507563411</v>
      </c>
      <c r="O11" s="28">
        <v>31.880955897807461</v>
      </c>
      <c r="P11" s="28">
        <v>45.365722164015708</v>
      </c>
    </row>
    <row r="12" spans="2:16" x14ac:dyDescent="0.25">
      <c r="B12" t="s">
        <v>57</v>
      </c>
      <c r="C12" t="s">
        <v>58</v>
      </c>
      <c r="D12">
        <v>134083.56761599999</v>
      </c>
      <c r="E12">
        <v>78.580001831054688</v>
      </c>
      <c r="F12">
        <v>16357483</v>
      </c>
      <c r="G12" s="28">
        <v>-8.9001517439490918E-2</v>
      </c>
      <c r="H12" s="28"/>
      <c r="I12" s="28">
        <v>-8.9001517439490918E-2</v>
      </c>
      <c r="J12" s="28">
        <v>11.68184295258008</v>
      </c>
      <c r="K12" s="28">
        <v>-7.5301607877443333</v>
      </c>
      <c r="L12" s="28">
        <v>9.3363000251057713</v>
      </c>
      <c r="M12" s="28">
        <v>13.884060624716939</v>
      </c>
      <c r="N12" s="28">
        <v>18.806316750156981</v>
      </c>
      <c r="O12" s="28">
        <v>30.479465547459771</v>
      </c>
      <c r="P12" s="28">
        <v>44.816402904078693</v>
      </c>
    </row>
    <row r="13" spans="2:16" x14ac:dyDescent="0.25">
      <c r="B13" t="s">
        <v>59</v>
      </c>
      <c r="C13" t="s">
        <v>60</v>
      </c>
      <c r="D13">
        <v>18328.645632</v>
      </c>
      <c r="E13">
        <v>88.120002746582031</v>
      </c>
      <c r="F13">
        <v>10240381</v>
      </c>
      <c r="G13" s="28">
        <v>-0.20385084819337651</v>
      </c>
      <c r="H13" s="28"/>
      <c r="I13" s="28">
        <v>-0.20385084819337651</v>
      </c>
      <c r="J13" s="28">
        <v>3.029596456389871</v>
      </c>
      <c r="K13" s="28">
        <v>-6.3858034387086366</v>
      </c>
      <c r="L13" s="28">
        <v>2.346114179163528</v>
      </c>
      <c r="M13" s="28">
        <v>8.3487037534218711</v>
      </c>
      <c r="N13" s="28">
        <v>9.7576365465215318</v>
      </c>
      <c r="O13" s="28">
        <v>17.51785574565983</v>
      </c>
      <c r="P13" s="28">
        <v>27.236162979904829</v>
      </c>
    </row>
    <row r="14" spans="2:16" x14ac:dyDescent="0.25">
      <c r="B14" t="s">
        <v>17</v>
      </c>
      <c r="C14" t="s">
        <v>18</v>
      </c>
      <c r="D14">
        <v>2487.3681919999999</v>
      </c>
      <c r="E14">
        <v>51.020000457763672</v>
      </c>
      <c r="F14">
        <v>1059433</v>
      </c>
      <c r="G14" s="28">
        <v>-0.27365009786159972</v>
      </c>
      <c r="H14" s="28"/>
      <c r="I14" s="28">
        <v>-0.27365009786159972</v>
      </c>
      <c r="J14" s="28">
        <v>11.18133638619967</v>
      </c>
      <c r="K14" s="28">
        <v>-9.8883870515713905</v>
      </c>
      <c r="L14" s="28">
        <v>-2.1668284468879362</v>
      </c>
      <c r="M14" s="28">
        <v>-6.0924006290002382</v>
      </c>
      <c r="N14" s="28">
        <v>-5.3257552902062244</v>
      </c>
      <c r="O14" s="28">
        <v>10.456630662336581</v>
      </c>
      <c r="P14" s="28">
        <v>18.353552578961519</v>
      </c>
    </row>
    <row r="15" spans="2:16" x14ac:dyDescent="0.25">
      <c r="B15" t="s">
        <v>61</v>
      </c>
      <c r="C15" t="s">
        <v>62</v>
      </c>
      <c r="D15"/>
      <c r="E15">
        <v>57.51190185546875</v>
      </c>
      <c r="F15">
        <v>611</v>
      </c>
      <c r="G15" s="28">
        <v>-0.31562794727579829</v>
      </c>
      <c r="H15" s="28"/>
      <c r="I15" s="28">
        <v>-0.31562794727579829</v>
      </c>
      <c r="J15" s="28">
        <v>4.9426834946938003</v>
      </c>
      <c r="K15" s="28">
        <v>-8.3448710585917176</v>
      </c>
      <c r="L15" s="28">
        <v>7.6780112921782662</v>
      </c>
      <c r="M15" s="28">
        <v>14.453822417869249</v>
      </c>
      <c r="N15" s="28">
        <v>17.91729911788844</v>
      </c>
      <c r="O15" s="28">
        <v>15.766572682409111</v>
      </c>
      <c r="P15" s="28">
        <v>15.766572682409111</v>
      </c>
    </row>
    <row r="16" spans="2:16" x14ac:dyDescent="0.25">
      <c r="B16" t="s">
        <v>63</v>
      </c>
      <c r="C16" t="s">
        <v>64</v>
      </c>
      <c r="D16">
        <v>11183.663103999999</v>
      </c>
      <c r="E16">
        <v>35.680000305175781</v>
      </c>
      <c r="F16">
        <v>2609353</v>
      </c>
      <c r="G16" s="28">
        <v>-0.36303005621272089</v>
      </c>
      <c r="H16" s="28"/>
      <c r="I16" s="28">
        <v>-0.36303005621272089</v>
      </c>
      <c r="J16" s="28">
        <v>8.2929715128484016</v>
      </c>
      <c r="K16" s="28">
        <v>-5.4247973058864858</v>
      </c>
      <c r="L16" s="28">
        <v>4.4496500718773424</v>
      </c>
      <c r="M16" s="28">
        <v>6.4756851457320241</v>
      </c>
      <c r="N16" s="28">
        <v>9.1380515610398163</v>
      </c>
      <c r="O16" s="28">
        <v>18.40615180937078</v>
      </c>
      <c r="P16" s="28">
        <v>28.999717197163921</v>
      </c>
    </row>
    <row r="17" spans="2:16" x14ac:dyDescent="0.25">
      <c r="B17" t="s">
        <v>19</v>
      </c>
      <c r="C17" t="s">
        <v>20</v>
      </c>
      <c r="D17">
        <v>80.490120000000005</v>
      </c>
      <c r="E17">
        <v>33.419998168945313</v>
      </c>
      <c r="F17">
        <v>23791</v>
      </c>
      <c r="G17" s="28">
        <v>-0.38748456355143229</v>
      </c>
      <c r="H17" s="28"/>
      <c r="I17" s="28">
        <v>-0.38748456355143229</v>
      </c>
      <c r="J17" s="28">
        <v>1.148039533634226</v>
      </c>
      <c r="K17" s="28">
        <v>-8.3967405353538744</v>
      </c>
      <c r="L17" s="28">
        <v>-2.7640407112673682</v>
      </c>
      <c r="M17" s="28">
        <v>0.1198235456867147</v>
      </c>
      <c r="N17" s="28">
        <v>-2.0935854066576609</v>
      </c>
      <c r="O17" s="28">
        <v>-2.3402724820425602</v>
      </c>
      <c r="P17" s="28">
        <v>25.84550691199556</v>
      </c>
    </row>
    <row r="18" spans="2:16" x14ac:dyDescent="0.25">
      <c r="B18" t="s">
        <v>65</v>
      </c>
      <c r="C18" t="s">
        <v>66</v>
      </c>
      <c r="D18">
        <v>146314.903552</v>
      </c>
      <c r="E18">
        <v>58.729999542236328</v>
      </c>
      <c r="F18">
        <v>10768011</v>
      </c>
      <c r="G18" s="28">
        <v>-0.44075627874643469</v>
      </c>
      <c r="H18" s="28"/>
      <c r="I18" s="28">
        <v>-0.44075627874643469</v>
      </c>
      <c r="J18" s="28">
        <v>8.7068830481775059</v>
      </c>
      <c r="K18" s="28">
        <v>-5.5730299578350628</v>
      </c>
      <c r="L18" s="28">
        <v>4.8001402261998338</v>
      </c>
      <c r="M18" s="28">
        <v>6.91789407600365</v>
      </c>
      <c r="N18" s="28">
        <v>9.7993201531313634</v>
      </c>
      <c r="O18" s="28">
        <v>18.89219871826355</v>
      </c>
      <c r="P18" s="28">
        <v>29.603668635815499</v>
      </c>
    </row>
    <row r="19" spans="2:16" x14ac:dyDescent="0.25">
      <c r="B19" t="s">
        <v>21</v>
      </c>
      <c r="C19" t="s">
        <v>22</v>
      </c>
      <c r="D19">
        <v>201.22308799999999</v>
      </c>
      <c r="E19">
        <v>36.930000305175781</v>
      </c>
      <c r="F19">
        <v>64361</v>
      </c>
      <c r="G19" s="28">
        <v>-0.45821610764726911</v>
      </c>
      <c r="H19" s="28"/>
      <c r="I19" s="28">
        <v>-0.45821610764726911</v>
      </c>
      <c r="J19" s="28">
        <v>7.6182158150052137</v>
      </c>
      <c r="K19" s="28">
        <v>-5.3971788134275283</v>
      </c>
      <c r="L19" s="28">
        <v>5.9988523060688026</v>
      </c>
      <c r="M19" s="28">
        <v>5.7863089847977056</v>
      </c>
      <c r="N19" s="28">
        <v>8.4864597249966867</v>
      </c>
      <c r="O19" s="28">
        <v>23.902673019706079</v>
      </c>
      <c r="P19" s="28">
        <v>35.464614529113163</v>
      </c>
    </row>
    <row r="20" spans="2:16" x14ac:dyDescent="0.25">
      <c r="B20" t="s">
        <v>67</v>
      </c>
      <c r="C20" t="s">
        <v>68</v>
      </c>
      <c r="D20">
        <v>15666.279424</v>
      </c>
      <c r="E20">
        <v>51.009998321533203</v>
      </c>
      <c r="F20">
        <v>3241983</v>
      </c>
      <c r="G20" s="28">
        <v>-0.48770973114717903</v>
      </c>
      <c r="H20" s="28"/>
      <c r="I20" s="28">
        <v>-0.48770973114717903</v>
      </c>
      <c r="J20" s="28">
        <v>8.8591502245136233</v>
      </c>
      <c r="K20" s="28">
        <v>-5.7842960738269227</v>
      </c>
      <c r="L20" s="28">
        <v>4.4003227268198941</v>
      </c>
      <c r="M20" s="28">
        <v>6.7378057006055814</v>
      </c>
      <c r="N20" s="28">
        <v>9.8062438627986701</v>
      </c>
      <c r="O20" s="28">
        <v>18.757699909910169</v>
      </c>
      <c r="P20" s="28">
        <v>29.31732613002092</v>
      </c>
    </row>
    <row r="21" spans="2:16" x14ac:dyDescent="0.25">
      <c r="B21" t="s">
        <v>23</v>
      </c>
      <c r="C21" t="s">
        <v>24</v>
      </c>
      <c r="D21">
        <v>3140.9728</v>
      </c>
      <c r="E21">
        <v>70.470001220703125</v>
      </c>
      <c r="F21">
        <v>335136</v>
      </c>
      <c r="G21" s="28">
        <v>-0.50826006077233643</v>
      </c>
      <c r="H21" s="28"/>
      <c r="I21" s="28">
        <v>-0.50826006077233643</v>
      </c>
      <c r="J21" s="28">
        <v>8.886487934617282</v>
      </c>
      <c r="K21" s="28">
        <v>-4.302182227932116</v>
      </c>
      <c r="L21" s="28">
        <v>5.6363396609694139</v>
      </c>
      <c r="M21" s="28">
        <v>8.7499967622169716</v>
      </c>
      <c r="N21" s="28">
        <v>10.319083703605861</v>
      </c>
      <c r="O21" s="28">
        <v>14.174182722939801</v>
      </c>
      <c r="P21" s="28">
        <v>18.87878709876702</v>
      </c>
    </row>
    <row r="22" spans="2:16" x14ac:dyDescent="0.25">
      <c r="B22" t="s">
        <v>25</v>
      </c>
      <c r="C22" t="s">
        <v>26</v>
      </c>
      <c r="D22">
        <v>498.19279999999998</v>
      </c>
      <c r="E22">
        <v>40.176399230957031</v>
      </c>
      <c r="F22">
        <v>48751</v>
      </c>
      <c r="G22" s="28">
        <v>-0.55347100613014621</v>
      </c>
      <c r="H22" s="28"/>
      <c r="I22" s="28">
        <v>-0.55347100613014621</v>
      </c>
      <c r="J22" s="28">
        <v>6.088564725631862</v>
      </c>
      <c r="K22" s="28">
        <v>-3.641889396442799</v>
      </c>
      <c r="L22" s="28">
        <v>0.39327044933414879</v>
      </c>
      <c r="M22" s="28">
        <v>-3.09192996635822</v>
      </c>
      <c r="N22" s="28">
        <v>-3.2438388008852792</v>
      </c>
      <c r="O22" s="28">
        <v>8.8685242260330135</v>
      </c>
      <c r="P22" s="28">
        <v>23.08209569549318</v>
      </c>
    </row>
    <row r="23" spans="2:16" x14ac:dyDescent="0.25">
      <c r="B23" t="s">
        <v>69</v>
      </c>
      <c r="C23" t="s">
        <v>70</v>
      </c>
      <c r="D23">
        <v>8714.0433919999996</v>
      </c>
      <c r="E23">
        <v>40.419998168945313</v>
      </c>
      <c r="F23">
        <v>1216665</v>
      </c>
      <c r="G23" s="28">
        <v>-0.59026482874439123</v>
      </c>
      <c r="H23" s="28"/>
      <c r="I23" s="28">
        <v>-0.59026482874439123</v>
      </c>
      <c r="J23" s="28">
        <v>6.7121169749830178</v>
      </c>
      <c r="K23" s="28">
        <v>-4.0862398923431016</v>
      </c>
      <c r="L23" s="28">
        <v>4.8780415380336386</v>
      </c>
      <c r="M23" s="28">
        <v>9.777290885277079</v>
      </c>
      <c r="N23" s="28">
        <v>13.05866131910769</v>
      </c>
      <c r="O23" s="28">
        <v>23.418490421429158</v>
      </c>
      <c r="P23" s="28">
        <v>36.080397402134892</v>
      </c>
    </row>
    <row r="24" spans="2:16" x14ac:dyDescent="0.25">
      <c r="B24" t="s">
        <v>71</v>
      </c>
      <c r="C24" t="s">
        <v>72</v>
      </c>
      <c r="D24">
        <v>476.64921600000002</v>
      </c>
      <c r="E24">
        <v>95.709999084472656</v>
      </c>
      <c r="F24">
        <v>33046</v>
      </c>
      <c r="G24" s="28">
        <v>-0.6539311577388851</v>
      </c>
      <c r="H24" s="28"/>
      <c r="I24" s="28">
        <v>-0.6539311577388851</v>
      </c>
      <c r="J24" s="28">
        <v>3.7528260558170818</v>
      </c>
      <c r="K24" s="28">
        <v>-5.1441331532598227</v>
      </c>
      <c r="L24" s="28">
        <v>-3.2548278689681349</v>
      </c>
      <c r="M24" s="28">
        <v>-4.3665094590616071</v>
      </c>
      <c r="N24" s="28">
        <v>-5.0290055591591054</v>
      </c>
      <c r="O24" s="28">
        <v>4.8571782973935163</v>
      </c>
      <c r="P24" s="28">
        <v>15.46036098099284</v>
      </c>
    </row>
    <row r="25" spans="2:16" x14ac:dyDescent="0.25">
      <c r="B25" t="s">
        <v>73</v>
      </c>
      <c r="C25" t="s">
        <v>74</v>
      </c>
      <c r="D25">
        <v>6039.1357440000002</v>
      </c>
      <c r="E25">
        <v>28.590000152587891</v>
      </c>
      <c r="F25">
        <v>24292925</v>
      </c>
      <c r="G25" s="28">
        <v>-0.66018252093295038</v>
      </c>
      <c r="H25" s="28"/>
      <c r="I25" s="28">
        <v>-0.66018252093295038</v>
      </c>
      <c r="J25" s="28">
        <v>1.66078174337061</v>
      </c>
      <c r="K25" s="28">
        <v>-7.2430647340443466</v>
      </c>
      <c r="L25" s="28">
        <v>-14.32424013274278</v>
      </c>
      <c r="M25" s="28">
        <v>-19.7586323448846</v>
      </c>
      <c r="N25" s="28">
        <v>-22.166302701099461</v>
      </c>
      <c r="O25" s="28">
        <v>-14.534256727577681</v>
      </c>
      <c r="P25" s="28">
        <v>-10.736334127111361</v>
      </c>
    </row>
    <row r="26" spans="2:16" x14ac:dyDescent="0.25">
      <c r="B26" t="s">
        <v>75</v>
      </c>
      <c r="C26" t="s">
        <v>76</v>
      </c>
      <c r="D26">
        <v>232.57171199999999</v>
      </c>
      <c r="E26">
        <v>74.489997863769531</v>
      </c>
      <c r="F26">
        <v>13780</v>
      </c>
      <c r="G26" s="28">
        <v>-0.68000284830729285</v>
      </c>
      <c r="H26" s="28"/>
      <c r="I26" s="28">
        <v>-0.68000284830729285</v>
      </c>
      <c r="J26" s="28">
        <v>1.390747435817397</v>
      </c>
      <c r="K26" s="28">
        <v>-9.7403042099192589</v>
      </c>
      <c r="L26" s="28">
        <v>0.94189175874692666</v>
      </c>
      <c r="M26" s="28">
        <v>10.642370466064349</v>
      </c>
      <c r="N26" s="28">
        <v>13.139984578698799</v>
      </c>
      <c r="O26" s="28">
        <v>19.03507922248393</v>
      </c>
      <c r="P26" s="28">
        <v>36.279600365922732</v>
      </c>
    </row>
    <row r="27" spans="2:16" x14ac:dyDescent="0.25">
      <c r="B27" t="s">
        <v>77</v>
      </c>
      <c r="C27" t="s">
        <v>78</v>
      </c>
      <c r="D27">
        <v>5918.72768</v>
      </c>
      <c r="E27">
        <v>36.549999237060547</v>
      </c>
      <c r="F27">
        <v>31426291</v>
      </c>
      <c r="G27" s="28">
        <v>-0.70633557872976649</v>
      </c>
      <c r="H27" s="28"/>
      <c r="I27" s="28">
        <v>-0.70633557872976649</v>
      </c>
      <c r="J27" s="28">
        <v>3.458941211290778</v>
      </c>
      <c r="K27" s="28">
        <v>-2.710026988206693</v>
      </c>
      <c r="L27" s="28">
        <v>-4.3193756359284912</v>
      </c>
      <c r="M27" s="28">
        <v>-8.2119550045820393</v>
      </c>
      <c r="N27" s="28">
        <v>-7.4943802141055667</v>
      </c>
      <c r="O27" s="28">
        <v>-1.026676333958731</v>
      </c>
      <c r="P27" s="28">
        <v>6.232204756396964</v>
      </c>
    </row>
    <row r="28" spans="2:16" x14ac:dyDescent="0.25">
      <c r="B28" t="s">
        <v>27</v>
      </c>
      <c r="C28" t="s">
        <v>28</v>
      </c>
      <c r="D28">
        <v>10.677082</v>
      </c>
      <c r="E28">
        <v>33.209999084472663</v>
      </c>
      <c r="F28">
        <v>2966</v>
      </c>
      <c r="G28" s="28">
        <v>-0.71156052335983322</v>
      </c>
      <c r="H28" s="28"/>
      <c r="I28" s="28">
        <v>-0.71156052335983322</v>
      </c>
      <c r="J28" s="28">
        <v>2.97327252198536</v>
      </c>
      <c r="K28" s="28">
        <v>-3.1569629428893409</v>
      </c>
      <c r="L28" s="28">
        <v>5.2781708801768357</v>
      </c>
      <c r="M28" s="28">
        <v>20.465750611682701</v>
      </c>
      <c r="N28" s="28">
        <v>24.543833173274798</v>
      </c>
      <c r="O28" s="28">
        <v>44.688136873503439</v>
      </c>
      <c r="P28" s="28">
        <v>52.329148327538917</v>
      </c>
    </row>
    <row r="29" spans="2:16" x14ac:dyDescent="0.25">
      <c r="B29" t="s">
        <v>79</v>
      </c>
      <c r="C29" t="s">
        <v>80</v>
      </c>
      <c r="D29">
        <v>6613.231616</v>
      </c>
      <c r="E29">
        <v>57.299999237060547</v>
      </c>
      <c r="F29">
        <v>3746813</v>
      </c>
      <c r="G29" s="28">
        <v>-0.72765414892599356</v>
      </c>
      <c r="H29" s="28"/>
      <c r="I29" s="28">
        <v>-0.72765414892599356</v>
      </c>
      <c r="J29" s="28">
        <v>2.80357088361467</v>
      </c>
      <c r="K29" s="28">
        <v>-3.9822219846140761</v>
      </c>
      <c r="L29" s="28">
        <v>-4.6589006791176839</v>
      </c>
      <c r="M29" s="28">
        <v>-7.9370217033836399</v>
      </c>
      <c r="N29" s="28">
        <v>-8.8188208173413667</v>
      </c>
      <c r="O29" s="28">
        <v>0.3119109638647144</v>
      </c>
      <c r="P29" s="28">
        <v>8.5700971813561502</v>
      </c>
    </row>
    <row r="30" spans="2:16" x14ac:dyDescent="0.25">
      <c r="B30" t="s">
        <v>81</v>
      </c>
      <c r="C30" t="s">
        <v>82</v>
      </c>
      <c r="D30">
        <v>497.21065599999997</v>
      </c>
      <c r="E30">
        <v>24.479999542236332</v>
      </c>
      <c r="F30">
        <v>370863</v>
      </c>
      <c r="G30" s="28">
        <v>-0.7299282493494097</v>
      </c>
      <c r="H30" s="28"/>
      <c r="I30" s="28">
        <v>-0.7299282493494097</v>
      </c>
      <c r="J30" s="28">
        <v>3.6325632741983638</v>
      </c>
      <c r="K30" s="28">
        <v>0.1677107234337338</v>
      </c>
      <c r="L30" s="28">
        <v>8.5106388375250965</v>
      </c>
      <c r="M30" s="28">
        <v>27.102799851096091</v>
      </c>
      <c r="N30" s="28">
        <v>30.083880815456119</v>
      </c>
      <c r="O30" s="28">
        <v>47.79553302831274</v>
      </c>
      <c r="P30" s="28">
        <v>58.683011749921789</v>
      </c>
    </row>
    <row r="31" spans="2:16" x14ac:dyDescent="0.25">
      <c r="B31" t="s">
        <v>29</v>
      </c>
      <c r="C31" t="s">
        <v>30</v>
      </c>
      <c r="D31">
        <v>1461.974528</v>
      </c>
      <c r="E31">
        <v>35.110000610351563</v>
      </c>
      <c r="F31">
        <v>6288838</v>
      </c>
      <c r="G31" s="28">
        <v>-0.81921159047222414</v>
      </c>
      <c r="H31" s="28"/>
      <c r="I31" s="28">
        <v>-0.81921159047222414</v>
      </c>
      <c r="J31" s="28">
        <v>7.8144124067561993</v>
      </c>
      <c r="K31" s="28">
        <v>-4.2815224334413653</v>
      </c>
      <c r="L31" s="28">
        <v>5.7530114563858934</v>
      </c>
      <c r="M31" s="28">
        <v>5.3721516564281258</v>
      </c>
      <c r="N31" s="28">
        <v>8.0462938354086688</v>
      </c>
      <c r="O31" s="28">
        <v>24.7351476913048</v>
      </c>
      <c r="P31" s="28">
        <v>35.864625993036327</v>
      </c>
    </row>
    <row r="32" spans="2:16" x14ac:dyDescent="0.25">
      <c r="B32" t="s">
        <v>31</v>
      </c>
      <c r="C32" t="s">
        <v>32</v>
      </c>
      <c r="D32">
        <v>581.51756799999998</v>
      </c>
      <c r="E32">
        <v>38</v>
      </c>
      <c r="F32">
        <v>549910</v>
      </c>
      <c r="G32" s="28">
        <v>-0.86094916590200299</v>
      </c>
      <c r="H32" s="28"/>
      <c r="I32" s="28">
        <v>-0.86094916590200299</v>
      </c>
      <c r="J32" s="28">
        <v>5.2083375814714561</v>
      </c>
      <c r="K32" s="28">
        <v>-2.412225925360556</v>
      </c>
      <c r="L32" s="28">
        <v>1.6858471665026189</v>
      </c>
      <c r="M32" s="28">
        <v>4.8275862068965614</v>
      </c>
      <c r="N32" s="28">
        <v>16.072784592938952</v>
      </c>
      <c r="O32" s="28">
        <v>17.461212869582599</v>
      </c>
      <c r="P32" s="28">
        <v>35.568688532733432</v>
      </c>
    </row>
    <row r="33" spans="2:16" x14ac:dyDescent="0.25">
      <c r="B33" t="s">
        <v>33</v>
      </c>
      <c r="C33" t="s">
        <v>34</v>
      </c>
      <c r="D33">
        <v>63.358075999999997</v>
      </c>
      <c r="E33">
        <v>52.880001068115227</v>
      </c>
      <c r="F33">
        <v>52651</v>
      </c>
      <c r="G33" s="28">
        <v>-0.95523192988101746</v>
      </c>
      <c r="H33" s="28"/>
      <c r="I33" s="28">
        <v>-0.95523192988101746</v>
      </c>
      <c r="J33" s="28">
        <v>17.46735338539407</v>
      </c>
      <c r="K33" s="28">
        <v>-1.388586217248045</v>
      </c>
      <c r="L33" s="28">
        <v>18.114810201984689</v>
      </c>
      <c r="M33" s="28">
        <v>18.114810201984689</v>
      </c>
      <c r="N33" s="28">
        <v>22.857836435405801</v>
      </c>
      <c r="O33" s="28">
        <v>67.598783588173077</v>
      </c>
      <c r="P33" s="28">
        <v>99.609253475568366</v>
      </c>
    </row>
    <row r="34" spans="2:16" x14ac:dyDescent="0.25">
      <c r="B34" t="s">
        <v>83</v>
      </c>
      <c r="C34" t="s">
        <v>84</v>
      </c>
      <c r="D34">
        <v>9721.0378239999991</v>
      </c>
      <c r="E34">
        <v>39.040000915527337</v>
      </c>
      <c r="F34">
        <v>34572666</v>
      </c>
      <c r="G34" s="28">
        <v>-0.98909304242953411</v>
      </c>
      <c r="H34" s="28"/>
      <c r="I34" s="28">
        <v>-0.98909304242953411</v>
      </c>
      <c r="J34" s="28">
        <v>3.466254542815439</v>
      </c>
      <c r="K34" s="28">
        <v>-0.64699793982651022</v>
      </c>
      <c r="L34" s="28">
        <v>5.7707967405060234</v>
      </c>
      <c r="M34" s="28">
        <v>21.242235995411459</v>
      </c>
      <c r="N34" s="28">
        <v>25.10209520084101</v>
      </c>
      <c r="O34" s="28">
        <v>46.193844620519407</v>
      </c>
      <c r="P34" s="28">
        <v>54.683516734151723</v>
      </c>
    </row>
    <row r="35" spans="2:16" x14ac:dyDescent="0.25">
      <c r="B35" t="s">
        <v>85</v>
      </c>
      <c r="C35" t="s">
        <v>86</v>
      </c>
      <c r="D35">
        <v>284.51715200000001</v>
      </c>
      <c r="E35">
        <v>70.199996948242188</v>
      </c>
      <c r="F35">
        <v>147461</v>
      </c>
      <c r="G35" s="28">
        <v>-1.0012786309395949</v>
      </c>
      <c r="H35" s="28"/>
      <c r="I35" s="28">
        <v>-1.0012786309395949</v>
      </c>
      <c r="J35" s="28">
        <v>2.6269920442801631</v>
      </c>
      <c r="K35" s="28">
        <v>-2.9650388064084381</v>
      </c>
      <c r="L35" s="28">
        <v>9.9451818729405339</v>
      </c>
      <c r="M35" s="28">
        <v>17.175758850005352</v>
      </c>
      <c r="N35" s="28">
        <v>18.042930211369399</v>
      </c>
      <c r="O35" s="28">
        <v>23.300646141336362</v>
      </c>
      <c r="P35" s="28">
        <v>30.386268399405729</v>
      </c>
    </row>
    <row r="36" spans="2:16" x14ac:dyDescent="0.25">
      <c r="B36" t="s">
        <v>35</v>
      </c>
      <c r="C36" t="s">
        <v>36</v>
      </c>
      <c r="D36">
        <v>24.561869999999999</v>
      </c>
      <c r="E36">
        <v>18.740299224853519</v>
      </c>
      <c r="F36">
        <v>8736</v>
      </c>
      <c r="G36" s="28">
        <v>-1.0021187388486119</v>
      </c>
      <c r="H36" s="28"/>
      <c r="I36" s="28">
        <v>-1.0021187388486119</v>
      </c>
      <c r="J36" s="28">
        <v>2.9826421970255979</v>
      </c>
      <c r="K36" s="28">
        <v>-4.3387347627713897</v>
      </c>
      <c r="L36" s="28">
        <v>1.025875987168634</v>
      </c>
      <c r="M36" s="28">
        <v>16.907663269571401</v>
      </c>
      <c r="N36" s="28">
        <v>19.71184786542015</v>
      </c>
      <c r="O36" s="28">
        <v>33.416227538755003</v>
      </c>
      <c r="P36" s="28">
        <v>46.54074955472425</v>
      </c>
    </row>
    <row r="37" spans="2:16" x14ac:dyDescent="0.25">
      <c r="B37" t="s">
        <v>37</v>
      </c>
      <c r="C37" t="s">
        <v>38</v>
      </c>
      <c r="D37">
        <v>2343.5028480000001</v>
      </c>
      <c r="E37">
        <v>38.874000549316413</v>
      </c>
      <c r="F37">
        <v>286816</v>
      </c>
      <c r="G37" s="28">
        <v>-1.058794493554049</v>
      </c>
      <c r="H37" s="28"/>
      <c r="I37" s="28">
        <v>-1.058794493554049</v>
      </c>
      <c r="J37" s="28">
        <v>6.0270257898279223</v>
      </c>
      <c r="K37" s="28">
        <v>-6.5389559987598096</v>
      </c>
      <c r="L37" s="28">
        <v>3.5535418254006861</v>
      </c>
      <c r="M37" s="28">
        <v>6.4749447725636946</v>
      </c>
      <c r="N37" s="28">
        <v>11.988559581356119</v>
      </c>
      <c r="O37" s="28">
        <v>19.711904435217839</v>
      </c>
      <c r="P37" s="28">
        <v>29.696862789118921</v>
      </c>
    </row>
    <row r="38" spans="2:16" x14ac:dyDescent="0.25">
      <c r="B38" t="s">
        <v>87</v>
      </c>
      <c r="C38" t="s">
        <v>88</v>
      </c>
      <c r="D38">
        <v>517.87750400000004</v>
      </c>
      <c r="E38">
        <v>77.860000610351563</v>
      </c>
      <c r="F38">
        <v>122963</v>
      </c>
      <c r="G38" s="28">
        <v>-1.067339733752537</v>
      </c>
      <c r="H38" s="28"/>
      <c r="I38" s="28">
        <v>-1.067339733752537</v>
      </c>
      <c r="J38" s="28">
        <v>-3.9801606215455032</v>
      </c>
      <c r="K38" s="28">
        <v>-13.56821433027142</v>
      </c>
      <c r="L38" s="28">
        <v>-8.5828316493484653</v>
      </c>
      <c r="M38" s="28">
        <v>7.082934384163253</v>
      </c>
      <c r="N38" s="28">
        <v>26.567311746262789</v>
      </c>
      <c r="O38" s="28">
        <v>52.905587418587949</v>
      </c>
      <c r="P38" s="28">
        <v>75.266572563879606</v>
      </c>
    </row>
    <row r="39" spans="2:16" x14ac:dyDescent="0.25">
      <c r="B39" t="s">
        <v>89</v>
      </c>
      <c r="C39" t="s">
        <v>90</v>
      </c>
      <c r="D39">
        <v>80.417056000000002</v>
      </c>
      <c r="E39">
        <v>17.340299606323239</v>
      </c>
      <c r="F39">
        <v>32525</v>
      </c>
      <c r="G39" s="28">
        <v>-1.082151014784505</v>
      </c>
      <c r="H39" s="28"/>
      <c r="I39" s="28">
        <v>-1.082151014784505</v>
      </c>
      <c r="J39" s="28">
        <v>-2.187945471553276</v>
      </c>
      <c r="K39" s="28">
        <v>-1.5570960518323631</v>
      </c>
      <c r="L39" s="28">
        <v>-1.6432193320125019</v>
      </c>
      <c r="M39" s="28">
        <v>-0.28579519878982879</v>
      </c>
      <c r="N39" s="28">
        <v>-4.180995286258316</v>
      </c>
      <c r="O39" s="28">
        <v>-6.539848530034476</v>
      </c>
      <c r="P39" s="28">
        <v>15.227713021705689</v>
      </c>
    </row>
    <row r="40" spans="2:16" x14ac:dyDescent="0.25">
      <c r="B40" t="s">
        <v>91</v>
      </c>
      <c r="C40" t="s">
        <v>92</v>
      </c>
      <c r="D40">
        <v>56551.763967999999</v>
      </c>
      <c r="E40">
        <v>26.229999542236332</v>
      </c>
      <c r="F40">
        <v>12566060</v>
      </c>
      <c r="G40" s="28">
        <v>-1.168053363214649</v>
      </c>
      <c r="H40" s="28"/>
      <c r="I40" s="28">
        <v>-1.168053363214649</v>
      </c>
      <c r="J40" s="28">
        <v>5.6483695734640396</v>
      </c>
      <c r="K40" s="28">
        <v>-6.8848755792279794</v>
      </c>
      <c r="L40" s="28">
        <v>3.3083898100854552</v>
      </c>
      <c r="M40" s="28">
        <v>7.6765143063671548</v>
      </c>
      <c r="N40" s="28">
        <v>14.03478556359889</v>
      </c>
      <c r="O40" s="28">
        <v>20.449240316400029</v>
      </c>
      <c r="P40" s="28">
        <v>30.009800787901298</v>
      </c>
    </row>
    <row r="41" spans="2:16" x14ac:dyDescent="0.25">
      <c r="B41" t="s">
        <v>93</v>
      </c>
      <c r="C41" t="s">
        <v>94</v>
      </c>
      <c r="D41">
        <v>282201.522176</v>
      </c>
      <c r="E41">
        <v>67.910003662109375</v>
      </c>
      <c r="F41">
        <v>17381678</v>
      </c>
      <c r="G41" s="28">
        <v>-1.178692584699381</v>
      </c>
      <c r="H41" s="28"/>
      <c r="I41" s="28">
        <v>-1.178692584699381</v>
      </c>
      <c r="J41" s="28">
        <v>5.6186731599678241</v>
      </c>
      <c r="K41" s="28">
        <v>-6.9858709586538614</v>
      </c>
      <c r="L41" s="28">
        <v>3.2254428317107791</v>
      </c>
      <c r="M41" s="28">
        <v>7.6353944878745361</v>
      </c>
      <c r="N41" s="28">
        <v>14.13377209994677</v>
      </c>
      <c r="O41" s="28">
        <v>20.276512609467659</v>
      </c>
      <c r="P41" s="28">
        <v>30.466694246946592</v>
      </c>
    </row>
    <row r="42" spans="2:16" x14ac:dyDescent="0.25">
      <c r="B42" t="s">
        <v>95</v>
      </c>
      <c r="C42" t="s">
        <v>96</v>
      </c>
      <c r="D42">
        <v>87.552840000000003</v>
      </c>
      <c r="E42">
        <v>36.964599609375</v>
      </c>
      <c r="F42">
        <v>30301</v>
      </c>
      <c r="G42" s="28">
        <v>-1.227554990445423</v>
      </c>
      <c r="H42" s="28"/>
      <c r="I42" s="28">
        <v>-1.227554990445423</v>
      </c>
      <c r="J42" s="28">
        <v>9.6574876533961351E-2</v>
      </c>
      <c r="K42" s="28">
        <v>-5.9236493645103199</v>
      </c>
      <c r="L42" s="28">
        <v>-1.830880468291729</v>
      </c>
      <c r="M42" s="28">
        <v>8.655494156348098</v>
      </c>
      <c r="N42" s="28">
        <v>13.8056357352154</v>
      </c>
      <c r="O42" s="28">
        <v>24.94915342532418</v>
      </c>
      <c r="P42" s="28">
        <v>33.876148458932903</v>
      </c>
    </row>
    <row r="43" spans="2:16" x14ac:dyDescent="0.25">
      <c r="B43" t="s">
        <v>97</v>
      </c>
      <c r="C43" t="s">
        <v>98</v>
      </c>
      <c r="D43">
        <v>3324.2332160000001</v>
      </c>
      <c r="E43">
        <v>46.419998168945313</v>
      </c>
      <c r="F43">
        <v>2232836</v>
      </c>
      <c r="G43" s="28">
        <v>-1.276057598845237</v>
      </c>
      <c r="H43" s="28"/>
      <c r="I43" s="28">
        <v>-1.276057598845237</v>
      </c>
      <c r="J43" s="28">
        <v>1.7260044834833901</v>
      </c>
      <c r="K43" s="28">
        <v>-5.3200282947169164</v>
      </c>
      <c r="L43" s="28">
        <v>1.0448401318785989</v>
      </c>
      <c r="M43" s="28">
        <v>4.4084550715997928</v>
      </c>
      <c r="N43" s="28">
        <v>10.37224198055231</v>
      </c>
      <c r="O43" s="28">
        <v>16.42859131604224</v>
      </c>
      <c r="P43" s="28">
        <v>25.189001718262901</v>
      </c>
    </row>
    <row r="44" spans="2:16" x14ac:dyDescent="0.25">
      <c r="B44" t="s">
        <v>99</v>
      </c>
      <c r="C44" t="s">
        <v>100</v>
      </c>
      <c r="D44">
        <v>2125.1960319999998</v>
      </c>
      <c r="E44">
        <v>75.650001525878906</v>
      </c>
      <c r="F44">
        <v>2017245</v>
      </c>
      <c r="G44" s="28">
        <v>-1.3175085937671029</v>
      </c>
      <c r="H44" s="28"/>
      <c r="I44" s="28">
        <v>-1.3175085937671029</v>
      </c>
      <c r="J44" s="28">
        <v>9.1658625516233272E-2</v>
      </c>
      <c r="K44" s="28">
        <v>-5.323427858389751</v>
      </c>
      <c r="L44" s="28">
        <v>-1.535858749255981</v>
      </c>
      <c r="M44" s="28">
        <v>8.5989054677981791</v>
      </c>
      <c r="N44" s="28">
        <v>13.68574748607965</v>
      </c>
      <c r="O44" s="28">
        <v>25.287084734330922</v>
      </c>
      <c r="P44" s="28">
        <v>34.430371869775932</v>
      </c>
    </row>
    <row r="45" spans="2:16" x14ac:dyDescent="0.25">
      <c r="B45" t="s">
        <v>101</v>
      </c>
      <c r="C45" t="s">
        <v>102</v>
      </c>
      <c r="D45">
        <v>399.751552</v>
      </c>
      <c r="E45">
        <v>62.049999237060547</v>
      </c>
      <c r="F45">
        <v>131823</v>
      </c>
      <c r="G45" s="28">
        <v>-1.3199774442681389</v>
      </c>
      <c r="H45" s="28"/>
      <c r="I45" s="28">
        <v>-1.3199774442681389</v>
      </c>
      <c r="J45" s="28">
        <v>7.0684640792550324</v>
      </c>
      <c r="K45" s="28">
        <v>-6.228604916798175</v>
      </c>
      <c r="L45" s="28">
        <v>2.4603662978559089</v>
      </c>
      <c r="M45" s="28">
        <v>5.8151430472457744</v>
      </c>
      <c r="N45" s="28">
        <v>11.56758428852498</v>
      </c>
      <c r="O45" s="28">
        <v>23.007689589938948</v>
      </c>
      <c r="P45" s="28">
        <v>30.61952435676287</v>
      </c>
    </row>
    <row r="46" spans="2:16" x14ac:dyDescent="0.25">
      <c r="B46" t="s">
        <v>103</v>
      </c>
      <c r="C46" t="s">
        <v>104</v>
      </c>
      <c r="D46">
        <v>331.560768</v>
      </c>
      <c r="E46">
        <v>14.77999973297119</v>
      </c>
      <c r="F46">
        <v>627403</v>
      </c>
      <c r="G46" s="28">
        <v>-1.3351122521815471</v>
      </c>
      <c r="H46" s="28"/>
      <c r="I46" s="28">
        <v>-1.3351122521815471</v>
      </c>
      <c r="J46" s="28">
        <v>1.413190060557046</v>
      </c>
      <c r="K46" s="28">
        <v>-3.8311637242097629</v>
      </c>
      <c r="L46" s="28">
        <v>0.33944461838912859</v>
      </c>
      <c r="M46" s="28">
        <v>13.60491524173848</v>
      </c>
      <c r="N46" s="28">
        <v>10.83991636560118</v>
      </c>
      <c r="O46" s="28">
        <v>22.450862472125909</v>
      </c>
      <c r="P46" s="28">
        <v>30.746579744983489</v>
      </c>
    </row>
    <row r="47" spans="2:16" x14ac:dyDescent="0.25">
      <c r="B47" t="s">
        <v>105</v>
      </c>
      <c r="C47" t="s">
        <v>106</v>
      </c>
      <c r="D47">
        <v>179.45430400000001</v>
      </c>
      <c r="E47">
        <v>71.029998779296875</v>
      </c>
      <c r="F47">
        <v>21888</v>
      </c>
      <c r="G47" s="28">
        <v>-1.360926715540989</v>
      </c>
      <c r="H47" s="28"/>
      <c r="I47" s="28">
        <v>-1.360926715540989</v>
      </c>
      <c r="J47" s="28">
        <v>6.2619966343225864</v>
      </c>
      <c r="K47" s="28">
        <v>-7.2955988791881481</v>
      </c>
      <c r="L47" s="28">
        <v>4.2251801826576063E-2</v>
      </c>
      <c r="M47" s="28">
        <v>3.0914328102270572</v>
      </c>
      <c r="N47" s="28">
        <v>10.46516649905149</v>
      </c>
      <c r="O47" s="28">
        <v>8.1877144424919344</v>
      </c>
      <c r="P47" s="28">
        <v>18.213436461689231</v>
      </c>
    </row>
    <row r="48" spans="2:16" x14ac:dyDescent="0.25">
      <c r="B48" t="s">
        <v>107</v>
      </c>
      <c r="C48" t="s">
        <v>108</v>
      </c>
      <c r="D48">
        <v>31.243848</v>
      </c>
      <c r="E48">
        <v>25.85000038146973</v>
      </c>
      <c r="F48">
        <v>17780</v>
      </c>
      <c r="G48" s="28">
        <v>-1.369755646287651</v>
      </c>
      <c r="H48" s="28"/>
      <c r="I48" s="28">
        <v>-1.369755646287651</v>
      </c>
      <c r="J48" s="28">
        <v>12.8997175281891</v>
      </c>
      <c r="K48" s="28">
        <v>-9.869719729688109</v>
      </c>
      <c r="L48" s="28">
        <v>9.3948425710866701</v>
      </c>
      <c r="M48" s="28">
        <v>2.173917632390721</v>
      </c>
      <c r="N48" s="28">
        <v>18.060820354813711</v>
      </c>
      <c r="O48" s="28">
        <v>19.4740735738804</v>
      </c>
      <c r="P48" s="28">
        <v>65.783833903567086</v>
      </c>
    </row>
    <row r="49" spans="2:16" x14ac:dyDescent="0.25">
      <c r="B49" t="s">
        <v>109</v>
      </c>
      <c r="C49" t="s">
        <v>110</v>
      </c>
      <c r="D49">
        <v>810.14783999999997</v>
      </c>
      <c r="E49">
        <v>23.440000534057621</v>
      </c>
      <c r="F49">
        <v>5702226</v>
      </c>
      <c r="G49" s="28">
        <v>-1.429773518799049</v>
      </c>
      <c r="H49" s="28"/>
      <c r="I49" s="28">
        <v>-1.429773518799049</v>
      </c>
      <c r="J49" s="28">
        <v>2.0215024230300749</v>
      </c>
      <c r="K49" s="28">
        <v>-3.550544538461875</v>
      </c>
      <c r="L49" s="28">
        <v>0.47149854569776828</v>
      </c>
      <c r="M49" s="28">
        <v>7.1787820511087341</v>
      </c>
      <c r="N49" s="28">
        <v>8.5843142622139332</v>
      </c>
      <c r="O49" s="28">
        <v>15.257669730654261</v>
      </c>
      <c r="P49" s="28">
        <v>35.732914338009813</v>
      </c>
    </row>
    <row r="50" spans="2:16" x14ac:dyDescent="0.25">
      <c r="B50" t="s">
        <v>111</v>
      </c>
      <c r="C50" t="s">
        <v>112</v>
      </c>
      <c r="D50">
        <v>1485.6599040000001</v>
      </c>
      <c r="E50">
        <v>60.319999694824219</v>
      </c>
      <c r="F50">
        <v>822766</v>
      </c>
      <c r="G50" s="28">
        <v>-1.5665781716643681</v>
      </c>
      <c r="H50" s="28"/>
      <c r="I50" s="28">
        <v>-1.5665781716643681</v>
      </c>
      <c r="J50" s="28">
        <v>3.142855347705487</v>
      </c>
      <c r="K50" s="28">
        <v>-7.5169032360858479</v>
      </c>
      <c r="L50" s="28">
        <v>-3.0848360087799338</v>
      </c>
      <c r="M50" s="28">
        <v>-3.3146267340233848E-2</v>
      </c>
      <c r="N50" s="28">
        <v>8.2167166818129864</v>
      </c>
      <c r="O50" s="28">
        <v>13.383456446949429</v>
      </c>
      <c r="P50" s="28">
        <v>13.100066840688489</v>
      </c>
    </row>
    <row r="51" spans="2:16" x14ac:dyDescent="0.25">
      <c r="B51" t="s">
        <v>113</v>
      </c>
      <c r="C51" t="s">
        <v>114</v>
      </c>
      <c r="D51">
        <v>516.124416</v>
      </c>
      <c r="E51">
        <v>18.770000457763668</v>
      </c>
      <c r="F51">
        <v>948998</v>
      </c>
      <c r="G51" s="28">
        <v>-1.67626868657117</v>
      </c>
      <c r="H51" s="28"/>
      <c r="I51" s="28">
        <v>-1.67626868657117</v>
      </c>
      <c r="J51" s="28">
        <v>8.2136721292868984</v>
      </c>
      <c r="K51" s="28">
        <v>-7.0853448968695609</v>
      </c>
      <c r="L51" s="28">
        <v>3.5871941966078462</v>
      </c>
      <c r="M51" s="28">
        <v>-1.7791739493912879</v>
      </c>
      <c r="N51" s="28">
        <v>11.42693576113485</v>
      </c>
      <c r="O51" s="28">
        <v>8.9106210943314501</v>
      </c>
      <c r="P51" s="28">
        <v>53.918700392472999</v>
      </c>
    </row>
    <row r="52" spans="2:16" x14ac:dyDescent="0.25">
      <c r="B52" t="s">
        <v>39</v>
      </c>
      <c r="C52" t="s">
        <v>40</v>
      </c>
      <c r="D52">
        <v>189.054</v>
      </c>
      <c r="E52">
        <v>109.6460037231445</v>
      </c>
      <c r="F52">
        <v>8510</v>
      </c>
      <c r="G52" s="28">
        <v>-1.768499350353181</v>
      </c>
      <c r="H52" s="28"/>
      <c r="I52" s="28">
        <v>-1.768499350353181</v>
      </c>
      <c r="J52" s="28">
        <v>4.1611368622260114</v>
      </c>
      <c r="K52" s="28">
        <v>-2.677323846414903</v>
      </c>
      <c r="L52" s="28">
        <v>-3.019630204467239</v>
      </c>
      <c r="M52" s="28">
        <v>-5.2897927766232256</v>
      </c>
      <c r="N52" s="28">
        <v>4.1800786436478887</v>
      </c>
      <c r="O52" s="28">
        <v>4.907723822161314</v>
      </c>
      <c r="P52" s="28">
        <v>3.600690944196216</v>
      </c>
    </row>
    <row r="53" spans="2:16" x14ac:dyDescent="0.25">
      <c r="B53" t="s">
        <v>115</v>
      </c>
      <c r="C53" t="s">
        <v>116</v>
      </c>
      <c r="D53">
        <v>1628.886528</v>
      </c>
      <c r="E53">
        <v>70.370002746582031</v>
      </c>
      <c r="F53">
        <v>238025</v>
      </c>
      <c r="G53" s="28">
        <v>-1.7864602261516429</v>
      </c>
      <c r="H53" s="28"/>
      <c r="I53" s="28">
        <v>-1.7864602261516429</v>
      </c>
      <c r="J53" s="28">
        <v>4.0040651733802779</v>
      </c>
      <c r="K53" s="28">
        <v>-6.2120373389549011</v>
      </c>
      <c r="L53" s="28">
        <v>-1.0406382469666411</v>
      </c>
      <c r="M53" s="28">
        <v>1.353885117779807</v>
      </c>
      <c r="N53" s="28">
        <v>8.1290288848188563</v>
      </c>
      <c r="O53" s="28">
        <v>13.024476161807859</v>
      </c>
      <c r="P53" s="28">
        <v>18.329846379007051</v>
      </c>
    </row>
    <row r="54" spans="2:16" x14ac:dyDescent="0.25">
      <c r="B54" t="s">
        <v>117</v>
      </c>
      <c r="C54" t="s">
        <v>118</v>
      </c>
      <c r="D54">
        <v>8329.769472</v>
      </c>
      <c r="E54">
        <v>72.959999084472656</v>
      </c>
      <c r="F54">
        <v>1854993</v>
      </c>
      <c r="G54" s="28">
        <v>-1.8431356287275771</v>
      </c>
      <c r="H54" s="28"/>
      <c r="I54" s="28">
        <v>-1.8431356287275771</v>
      </c>
      <c r="J54" s="28">
        <v>4.2893262476424221</v>
      </c>
      <c r="K54" s="28">
        <v>-6.1565181349430897</v>
      </c>
      <c r="L54" s="28">
        <v>-0.8560908883937457</v>
      </c>
      <c r="M54" s="28">
        <v>1.7857125751218119</v>
      </c>
      <c r="N54" s="28">
        <v>8.1972638337418857</v>
      </c>
      <c r="O54" s="28">
        <v>12.32831867887136</v>
      </c>
      <c r="P54" s="28">
        <v>18.49294721346488</v>
      </c>
    </row>
    <row r="55" spans="2:16" x14ac:dyDescent="0.25">
      <c r="B55" t="s">
        <v>41</v>
      </c>
      <c r="C55" t="s">
        <v>42</v>
      </c>
      <c r="D55">
        <v>247.96681599999999</v>
      </c>
      <c r="E55">
        <v>44.305000305175781</v>
      </c>
      <c r="F55">
        <v>58655</v>
      </c>
      <c r="G55" s="28">
        <v>-1.875886149131079</v>
      </c>
      <c r="H55" s="28"/>
      <c r="I55" s="28">
        <v>-1.875886149131079</v>
      </c>
      <c r="J55" s="28">
        <v>5.7984557299347816</v>
      </c>
      <c r="K55" s="28">
        <v>-7.6855670292536367</v>
      </c>
      <c r="L55" s="28">
        <v>-3.2113624723137608</v>
      </c>
      <c r="M55" s="28">
        <v>-3.2430674397475272</v>
      </c>
      <c r="N55" s="28">
        <v>1.5574966868284299</v>
      </c>
      <c r="O55" s="28">
        <v>-0.22985902987429091</v>
      </c>
      <c r="P55" s="28">
        <v>5.2821225738307156</v>
      </c>
    </row>
    <row r="56" spans="2:16" x14ac:dyDescent="0.25">
      <c r="B56" t="s">
        <v>119</v>
      </c>
      <c r="C56" t="s">
        <v>120</v>
      </c>
      <c r="D56">
        <v>36605.812736</v>
      </c>
      <c r="E56">
        <v>85.510002136230469</v>
      </c>
      <c r="F56">
        <v>4182403</v>
      </c>
      <c r="G56" s="28">
        <v>-1.881812232856295</v>
      </c>
      <c r="H56" s="28"/>
      <c r="I56" s="28">
        <v>-1.881812232856295</v>
      </c>
      <c r="J56" s="28">
        <v>4.2095151009909459</v>
      </c>
      <c r="K56" s="28">
        <v>-6.1791546900545002</v>
      </c>
      <c r="L56" s="28">
        <v>-0.99103775443337705</v>
      </c>
      <c r="M56" s="28">
        <v>1.5965885636060051</v>
      </c>
      <c r="N56" s="28">
        <v>8.4297825603028684</v>
      </c>
      <c r="O56" s="28">
        <v>12.58595779360205</v>
      </c>
      <c r="P56" s="28">
        <v>19.084291377849041</v>
      </c>
    </row>
    <row r="57" spans="2:16" x14ac:dyDescent="0.25">
      <c r="B57" t="s">
        <v>121</v>
      </c>
      <c r="C57" t="s">
        <v>122</v>
      </c>
      <c r="D57">
        <v>39.992655999999997</v>
      </c>
      <c r="E57">
        <v>32.685100555419922</v>
      </c>
      <c r="F57">
        <v>6593</v>
      </c>
      <c r="G57" s="28">
        <v>-1.8907341955705981</v>
      </c>
      <c r="H57" s="28"/>
      <c r="I57" s="28">
        <v>-1.8907341955705981</v>
      </c>
      <c r="J57" s="28">
        <v>5.0532129385282074</v>
      </c>
      <c r="K57" s="28">
        <v>-7.7013831513970006</v>
      </c>
      <c r="L57" s="28">
        <v>-3.5638655342067231</v>
      </c>
      <c r="M57" s="28">
        <v>-2.679465694756511</v>
      </c>
      <c r="N57" s="28">
        <v>2.6792440168108111</v>
      </c>
      <c r="O57" s="28">
        <v>-1.107858899677872</v>
      </c>
      <c r="P57" s="28">
        <v>3.5471428046592202</v>
      </c>
    </row>
    <row r="58" spans="2:16" x14ac:dyDescent="0.25">
      <c r="B58" t="s">
        <v>123</v>
      </c>
      <c r="C58" t="s">
        <v>124</v>
      </c>
      <c r="D58">
        <v>1397.1463679999999</v>
      </c>
      <c r="E58">
        <v>41.479999542236328</v>
      </c>
      <c r="F58">
        <v>2395633</v>
      </c>
      <c r="G58" s="28">
        <v>-2.0080374487363439</v>
      </c>
      <c r="H58" s="28"/>
      <c r="I58" s="28">
        <v>-2.0080374487363439</v>
      </c>
      <c r="J58" s="28">
        <v>5.124371939049488</v>
      </c>
      <c r="K58" s="28">
        <v>-7.5506914238830936</v>
      </c>
      <c r="L58" s="28">
        <v>-3.1746045880193701</v>
      </c>
      <c r="M58" s="28">
        <v>-2.537598205371427</v>
      </c>
      <c r="N58" s="28">
        <v>2.4703557591610359</v>
      </c>
      <c r="O58" s="28">
        <v>-1.096802812434317</v>
      </c>
      <c r="P58" s="28">
        <v>3.687717423912007</v>
      </c>
    </row>
    <row r="59" spans="2:16" x14ac:dyDescent="0.25">
      <c r="B59" t="s">
        <v>125</v>
      </c>
      <c r="C59" t="s">
        <v>126</v>
      </c>
      <c r="D59">
        <v>1696.70208</v>
      </c>
      <c r="E59">
        <v>53.349998474121087</v>
      </c>
      <c r="F59">
        <v>53866</v>
      </c>
      <c r="G59" s="28">
        <v>-2.0741576314426862</v>
      </c>
      <c r="H59" s="28"/>
      <c r="I59" s="28">
        <v>-2.0741576314426862</v>
      </c>
      <c r="J59" s="28">
        <v>3.369933338851006</v>
      </c>
      <c r="K59" s="28">
        <v>-4.9263755083807208</v>
      </c>
      <c r="L59" s="28">
        <v>-1.713338846887547</v>
      </c>
      <c r="M59" s="28">
        <v>-0.42927090159277093</v>
      </c>
      <c r="N59" s="28">
        <v>3.6123455719989872</v>
      </c>
      <c r="O59" s="28">
        <v>8.280134153757146</v>
      </c>
      <c r="P59" s="28">
        <v>13.33685963283102</v>
      </c>
    </row>
    <row r="60" spans="2:16" x14ac:dyDescent="0.25">
      <c r="B60" t="s">
        <v>127</v>
      </c>
      <c r="C60" t="s">
        <v>128</v>
      </c>
      <c r="D60">
        <v>108.722728</v>
      </c>
      <c r="E60">
        <v>63.116199493408203</v>
      </c>
      <c r="F60">
        <v>21010</v>
      </c>
      <c r="G60" s="28">
        <v>-2.1757551498711392</v>
      </c>
      <c r="H60" s="28"/>
      <c r="I60" s="28">
        <v>-2.1757551498711392</v>
      </c>
      <c r="J60" s="28">
        <v>5.5201716370808063</v>
      </c>
      <c r="K60" s="28">
        <v>-10.404534450321981</v>
      </c>
      <c r="L60" s="28">
        <v>-6.6052119217245409</v>
      </c>
      <c r="M60" s="28">
        <v>-0.57309396889027031</v>
      </c>
      <c r="N60" s="28">
        <v>8.143997018472259</v>
      </c>
      <c r="O60" s="28">
        <v>10.644870630253539</v>
      </c>
      <c r="P60" s="28">
        <v>22.59475650701928</v>
      </c>
    </row>
    <row r="61" spans="2:16" x14ac:dyDescent="0.25">
      <c r="B61" t="s">
        <v>129</v>
      </c>
      <c r="C61" t="s">
        <v>130</v>
      </c>
      <c r="D61">
        <v>9066.072064</v>
      </c>
      <c r="E61">
        <v>65.120002746582031</v>
      </c>
      <c r="F61">
        <v>2105276</v>
      </c>
      <c r="G61" s="28">
        <v>-2.3541754946007409</v>
      </c>
      <c r="H61" s="28"/>
      <c r="I61" s="28">
        <v>-2.3541754946007409</v>
      </c>
      <c r="J61" s="28">
        <v>4.8803562129689171</v>
      </c>
      <c r="K61" s="28">
        <v>-6.2415780890998196</v>
      </c>
      <c r="L61" s="28">
        <v>-1.571948092443898</v>
      </c>
      <c r="M61" s="28">
        <v>0.16920567103051451</v>
      </c>
      <c r="N61" s="28">
        <v>6.4325843922566683</v>
      </c>
      <c r="O61" s="28">
        <v>10.772380026185679</v>
      </c>
      <c r="P61" s="28">
        <v>18.01903174829453</v>
      </c>
    </row>
    <row r="62" spans="2:16" x14ac:dyDescent="0.25">
      <c r="B62" t="s">
        <v>131</v>
      </c>
      <c r="C62" t="s">
        <v>132</v>
      </c>
      <c r="D62">
        <v>406.68681600000002</v>
      </c>
      <c r="E62">
        <v>44.270000457763672</v>
      </c>
      <c r="F62">
        <v>490370</v>
      </c>
      <c r="G62" s="28">
        <v>-2.4245062817227598</v>
      </c>
      <c r="H62" s="28"/>
      <c r="I62" s="28">
        <v>-2.4245062817227598</v>
      </c>
      <c r="J62" s="28">
        <v>3.3751503042971591</v>
      </c>
      <c r="K62" s="28">
        <v>-6.849900467281989</v>
      </c>
      <c r="L62" s="28">
        <v>-3.1926505556252982</v>
      </c>
      <c r="M62" s="28">
        <v>-2.2953010019999609</v>
      </c>
      <c r="N62" s="28">
        <v>1.632123034164779</v>
      </c>
      <c r="O62" s="28">
        <v>5.0638556486721109</v>
      </c>
      <c r="P62" s="28">
        <v>9.342135264444229</v>
      </c>
    </row>
    <row r="63" spans="2:16" x14ac:dyDescent="0.25">
      <c r="B63" t="s">
        <v>133</v>
      </c>
      <c r="C63" t="s">
        <v>134</v>
      </c>
      <c r="D63">
        <v>627.10681599999998</v>
      </c>
      <c r="E63">
        <v>56.279998779296882</v>
      </c>
      <c r="F63">
        <v>524081</v>
      </c>
      <c r="G63" s="28">
        <v>-2.4610086046214401</v>
      </c>
      <c r="H63" s="28"/>
      <c r="I63" s="28">
        <v>-2.4610086046214401</v>
      </c>
      <c r="J63" s="28">
        <v>5.9622089526209843</v>
      </c>
      <c r="K63" s="28">
        <v>-4.5218991233150767</v>
      </c>
      <c r="L63" s="28">
        <v>1.0412890635781209</v>
      </c>
      <c r="M63" s="28">
        <v>2.0304549220141239</v>
      </c>
      <c r="N63" s="28">
        <v>9.2478228133499041</v>
      </c>
      <c r="O63" s="28">
        <v>14.055681820553771</v>
      </c>
      <c r="P63" s="28">
        <v>28.310494499511751</v>
      </c>
    </row>
    <row r="64" spans="2:16" x14ac:dyDescent="0.25">
      <c r="B64" t="s">
        <v>135</v>
      </c>
      <c r="C64" t="s">
        <v>136</v>
      </c>
      <c r="D64">
        <v>272.538816</v>
      </c>
      <c r="E64">
        <v>68.069999694824219</v>
      </c>
      <c r="F64">
        <v>138940</v>
      </c>
      <c r="G64" s="28">
        <v>-2.576217233433364</v>
      </c>
      <c r="H64" s="28"/>
      <c r="I64" s="28">
        <v>-2.576217233433364</v>
      </c>
      <c r="J64" s="28">
        <v>5.9848438609730206</v>
      </c>
      <c r="K64" s="28">
        <v>-5.6154859463324431</v>
      </c>
      <c r="L64" s="28">
        <v>-8.8144697877515767</v>
      </c>
      <c r="M64" s="28">
        <v>0.93415959461942144</v>
      </c>
      <c r="N64" s="28">
        <v>11.47063986411734</v>
      </c>
      <c r="O64" s="28">
        <v>5.8190402068827529</v>
      </c>
      <c r="P64" s="28">
        <v>40.738714629761297</v>
      </c>
    </row>
    <row r="65" spans="2:16" x14ac:dyDescent="0.25">
      <c r="B65" t="s">
        <v>137</v>
      </c>
      <c r="C65" t="s">
        <v>138</v>
      </c>
      <c r="D65">
        <v>4327.6835840000003</v>
      </c>
      <c r="E65">
        <v>64.269996643066406</v>
      </c>
      <c r="F65">
        <v>2496370</v>
      </c>
      <c r="G65" s="28">
        <v>-2.606457457770972</v>
      </c>
      <c r="H65" s="28"/>
      <c r="I65" s="28">
        <v>-2.606457457770972</v>
      </c>
      <c r="J65" s="28">
        <v>4.6478430561921016</v>
      </c>
      <c r="K65" s="28">
        <v>-6.5735021442758779</v>
      </c>
      <c r="L65" s="28">
        <v>-2.7075356759374452</v>
      </c>
      <c r="M65" s="28">
        <v>-1.531752222286775</v>
      </c>
      <c r="N65" s="28">
        <v>4.3667347268353973</v>
      </c>
      <c r="O65" s="28">
        <v>9.9383149780827971</v>
      </c>
      <c r="P65" s="28">
        <v>15.12387881786157</v>
      </c>
    </row>
    <row r="66" spans="2:16" x14ac:dyDescent="0.25">
      <c r="B66" t="s">
        <v>139</v>
      </c>
      <c r="C66" t="s">
        <v>140</v>
      </c>
      <c r="D66">
        <v>151.09424000000001</v>
      </c>
      <c r="E66">
        <v>63</v>
      </c>
      <c r="F66">
        <v>153636</v>
      </c>
      <c r="G66" s="28">
        <v>-2.7027027027026969</v>
      </c>
      <c r="H66" s="28"/>
      <c r="I66" s="28">
        <v>-2.7027027027026969</v>
      </c>
      <c r="J66" s="28">
        <v>14.719997829861111</v>
      </c>
      <c r="K66" s="28">
        <v>-16.842769801097312</v>
      </c>
      <c r="L66" s="28">
        <v>16.107633521614591</v>
      </c>
      <c r="M66" s="28">
        <v>37.464537383698769</v>
      </c>
      <c r="N66" s="28">
        <v>59.579727868228993</v>
      </c>
      <c r="O66" s="28">
        <v>67.40966227794749</v>
      </c>
      <c r="P66" s="28">
        <v>115.6399873789462</v>
      </c>
    </row>
    <row r="67" spans="2:16" x14ac:dyDescent="0.25">
      <c r="B67" t="s">
        <v>141</v>
      </c>
      <c r="C67" t="s">
        <v>142</v>
      </c>
      <c r="D67">
        <v>1814.069888</v>
      </c>
      <c r="E67">
        <v>54.869998931884773</v>
      </c>
      <c r="F67">
        <v>587445</v>
      </c>
      <c r="G67" s="28">
        <v>-3.073664829017198</v>
      </c>
      <c r="H67" s="28"/>
      <c r="I67" s="28">
        <v>-3.073664829017198</v>
      </c>
      <c r="J67" s="28">
        <v>3.1488889433559208</v>
      </c>
      <c r="K67" s="28">
        <v>-3.069779481489832</v>
      </c>
      <c r="L67" s="28">
        <v>-0.61583075208474503</v>
      </c>
      <c r="M67" s="28">
        <v>0.31078275424905039</v>
      </c>
      <c r="N67" s="28">
        <v>10.119204744365049</v>
      </c>
      <c r="O67" s="28">
        <v>18.14020910818186</v>
      </c>
      <c r="P67" s="28">
        <v>36.690559903418453</v>
      </c>
    </row>
    <row r="68" spans="2:16" ht="18.75" x14ac:dyDescent="0.3">
      <c r="B68" s="26"/>
      <c r="C68"/>
      <c r="D68"/>
      <c r="E68" s="27"/>
      <c r="F68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2:16" ht="15.75" x14ac:dyDescent="0.25">
      <c r="B69" s="3"/>
      <c r="C69" s="21"/>
      <c r="F69" s="16"/>
      <c r="P69" s="16"/>
    </row>
    <row r="70" spans="2:16" ht="15.75" x14ac:dyDescent="0.25">
      <c r="B70" s="3"/>
      <c r="C70" s="21"/>
      <c r="F70" s="16"/>
      <c r="P70" s="16"/>
    </row>
    <row r="71" spans="2:16" ht="15.75" x14ac:dyDescent="0.25">
      <c r="B71" s="3"/>
      <c r="C71" s="21"/>
      <c r="F71" s="16"/>
      <c r="P71" s="16"/>
    </row>
    <row r="72" spans="2:16" ht="15.75" x14ac:dyDescent="0.25">
      <c r="B72" s="3"/>
      <c r="C72" s="21"/>
      <c r="F72" s="16"/>
      <c r="P72" s="16"/>
    </row>
    <row r="73" spans="2:16" ht="15.75" x14ac:dyDescent="0.25">
      <c r="B73" s="3"/>
      <c r="C73" s="21"/>
      <c r="F73" s="16"/>
      <c r="P73" s="16"/>
    </row>
    <row r="74" spans="2:16" ht="15.75" x14ac:dyDescent="0.25">
      <c r="B74" s="3"/>
      <c r="C74" s="21"/>
      <c r="F74" s="16"/>
      <c r="P74" s="16"/>
    </row>
    <row r="75" spans="2:16" ht="15.75" x14ac:dyDescent="0.25">
      <c r="B75" s="3"/>
      <c r="C75" s="21"/>
      <c r="F75" s="16"/>
      <c r="P75" s="16"/>
    </row>
    <row r="76" spans="2:16" ht="15.75" x14ac:dyDescent="0.25">
      <c r="B76" s="3"/>
      <c r="C76" s="21"/>
      <c r="F76" s="16"/>
      <c r="P76" s="16"/>
    </row>
    <row r="77" spans="2:16" ht="15.75" x14ac:dyDescent="0.25">
      <c r="B77" s="3"/>
      <c r="C77" s="21"/>
      <c r="F77" s="16"/>
      <c r="P77" s="16"/>
    </row>
    <row r="78" spans="2:16" ht="15.75" x14ac:dyDescent="0.25">
      <c r="B78" s="3"/>
      <c r="C78" s="21"/>
      <c r="F78" s="16"/>
      <c r="P78" s="16"/>
    </row>
    <row r="79" spans="2:16" ht="15.75" x14ac:dyDescent="0.25">
      <c r="B79" s="3"/>
      <c r="C79" s="21"/>
      <c r="F79" s="16"/>
      <c r="P79" s="16"/>
    </row>
    <row r="80" spans="2:16" ht="15.75" x14ac:dyDescent="0.25">
      <c r="B80" s="3"/>
      <c r="C80" s="21"/>
      <c r="F80" s="16"/>
      <c r="P80" s="16"/>
    </row>
    <row r="81" spans="2:16" ht="15.75" x14ac:dyDescent="0.25">
      <c r="B81" s="3"/>
      <c r="C81" s="21"/>
      <c r="F81" s="16"/>
      <c r="P81" s="16"/>
    </row>
    <row r="82" spans="2:16" ht="15.75" x14ac:dyDescent="0.25">
      <c r="B82" s="3"/>
      <c r="C82" s="21"/>
      <c r="F82" s="16"/>
      <c r="P82" s="16"/>
    </row>
    <row r="83" spans="2:16" ht="15.75" x14ac:dyDescent="0.25">
      <c r="B83" s="3"/>
      <c r="C83" s="21"/>
      <c r="F83" s="16"/>
      <c r="P83" s="16"/>
    </row>
    <row r="84" spans="2:16" ht="15.75" x14ac:dyDescent="0.25">
      <c r="B84" s="3"/>
      <c r="C84" s="21"/>
      <c r="F84" s="16"/>
      <c r="P84" s="16"/>
    </row>
    <row r="85" spans="2:16" ht="15.75" x14ac:dyDescent="0.25">
      <c r="B85" s="3"/>
      <c r="C85" s="21"/>
      <c r="F85" s="16"/>
      <c r="P85" s="16"/>
    </row>
    <row r="86" spans="2:16" ht="15.75" x14ac:dyDescent="0.25">
      <c r="B86" s="3"/>
      <c r="C86" s="21"/>
      <c r="F86" s="16"/>
      <c r="P86" s="16"/>
    </row>
    <row r="87" spans="2:16" ht="15.75" x14ac:dyDescent="0.25">
      <c r="B87" s="3"/>
      <c r="C87" s="21"/>
      <c r="F87" s="16"/>
      <c r="P87" s="16"/>
    </row>
    <row r="88" spans="2:16" ht="15.75" x14ac:dyDescent="0.25">
      <c r="B88" s="3"/>
      <c r="C88" s="21"/>
      <c r="F88" s="16"/>
      <c r="P88" s="16"/>
    </row>
    <row r="89" spans="2:16" ht="15.75" x14ac:dyDescent="0.25">
      <c r="B89" s="3"/>
      <c r="C89" s="21"/>
      <c r="F89" s="16"/>
      <c r="P89" s="16"/>
    </row>
    <row r="90" spans="2:16" ht="15.75" x14ac:dyDescent="0.25">
      <c r="B90" s="3"/>
      <c r="C90" s="21"/>
      <c r="F90" s="16"/>
      <c r="P90" s="16"/>
    </row>
    <row r="91" spans="2:16" ht="15.75" x14ac:dyDescent="0.25">
      <c r="B91" s="3"/>
      <c r="C91" s="21"/>
      <c r="F91" s="16"/>
      <c r="P91" s="16"/>
    </row>
    <row r="92" spans="2:16" ht="15.75" x14ac:dyDescent="0.25">
      <c r="B92" s="3"/>
      <c r="C92" s="21"/>
      <c r="F92" s="16"/>
      <c r="P92" s="16"/>
    </row>
    <row r="93" spans="2:16" ht="15.75" x14ac:dyDescent="0.25">
      <c r="B93" s="3"/>
      <c r="C93" s="21"/>
      <c r="F93" s="16"/>
      <c r="P93" s="16"/>
    </row>
    <row r="94" spans="2:16" ht="15.75" x14ac:dyDescent="0.25">
      <c r="B94" s="3"/>
      <c r="C94" s="21"/>
      <c r="F94" s="16"/>
      <c r="P94" s="16"/>
    </row>
    <row r="95" spans="2:16" ht="15.75" x14ac:dyDescent="0.25">
      <c r="B95" s="3"/>
      <c r="C95" s="21"/>
      <c r="F95" s="16"/>
      <c r="P95" s="16"/>
    </row>
    <row r="96" spans="2:16" ht="15.75" x14ac:dyDescent="0.25">
      <c r="B96" s="3"/>
      <c r="C96" s="21"/>
      <c r="F96" s="16"/>
      <c r="P96" s="16"/>
    </row>
    <row r="97" spans="2:16" ht="15.75" x14ac:dyDescent="0.25">
      <c r="B97" s="3"/>
      <c r="C97" s="21"/>
      <c r="F97" s="16"/>
      <c r="P97" s="16"/>
    </row>
    <row r="98" spans="2:16" ht="15.75" x14ac:dyDescent="0.25">
      <c r="B98" s="3"/>
      <c r="C98" s="21"/>
      <c r="F98" s="16"/>
      <c r="P98" s="16"/>
    </row>
    <row r="99" spans="2:16" ht="15.75" x14ac:dyDescent="0.25">
      <c r="B99" s="3"/>
      <c r="C99" s="21"/>
      <c r="F99" s="16"/>
      <c r="P99" s="16"/>
    </row>
    <row r="100" spans="2:16" ht="15.75" x14ac:dyDescent="0.25">
      <c r="B100" s="3"/>
      <c r="C100" s="21"/>
      <c r="F100" s="16"/>
      <c r="P100" s="16"/>
    </row>
    <row r="101" spans="2:16" ht="15.75" x14ac:dyDescent="0.25">
      <c r="B101" s="3"/>
      <c r="C101" s="21"/>
      <c r="F101" s="16"/>
      <c r="P101" s="16"/>
    </row>
    <row r="102" spans="2:16" ht="15.75" x14ac:dyDescent="0.25">
      <c r="B102" s="3"/>
      <c r="C102" s="21"/>
      <c r="F102" s="16"/>
      <c r="P102" s="16"/>
    </row>
    <row r="103" spans="2:16" ht="15.75" x14ac:dyDescent="0.25">
      <c r="B103" s="3"/>
      <c r="C103" s="21"/>
      <c r="F103" s="16"/>
      <c r="P103" s="16"/>
    </row>
    <row r="104" spans="2:16" ht="15.75" x14ac:dyDescent="0.25">
      <c r="B104" s="3"/>
      <c r="C104" s="21"/>
      <c r="F104" s="16"/>
      <c r="P104" s="16"/>
    </row>
    <row r="105" spans="2:16" ht="15.75" x14ac:dyDescent="0.25">
      <c r="B105" s="3"/>
      <c r="C105" s="21"/>
      <c r="F105" s="16"/>
      <c r="P105" s="16"/>
    </row>
    <row r="106" spans="2:16" ht="15.75" x14ac:dyDescent="0.25">
      <c r="B106" s="3"/>
      <c r="C106" s="21"/>
      <c r="F106" s="16"/>
      <c r="P106" s="16"/>
    </row>
    <row r="107" spans="2:16" ht="15.75" x14ac:dyDescent="0.25">
      <c r="B107" s="3"/>
      <c r="C107" s="21"/>
      <c r="F107" s="16"/>
      <c r="P107" s="16"/>
    </row>
    <row r="108" spans="2:16" ht="15.75" x14ac:dyDescent="0.25">
      <c r="B108" s="3"/>
      <c r="C108" s="21"/>
      <c r="F108" s="16"/>
      <c r="P108" s="16"/>
    </row>
    <row r="109" spans="2:16" ht="15.75" x14ac:dyDescent="0.25">
      <c r="B109" s="3"/>
      <c r="C109" s="21"/>
      <c r="F109" s="16"/>
      <c r="P109" s="16"/>
    </row>
    <row r="110" spans="2:16" ht="15.75" x14ac:dyDescent="0.25">
      <c r="B110" s="3"/>
      <c r="C110" s="21"/>
      <c r="F110" s="16"/>
      <c r="P110" s="16"/>
    </row>
    <row r="111" spans="2:16" ht="15.75" x14ac:dyDescent="0.25">
      <c r="B111" s="3"/>
      <c r="C111" s="21"/>
      <c r="F111" s="16"/>
      <c r="P111" s="16"/>
    </row>
    <row r="112" spans="2:16" ht="15.75" x14ac:dyDescent="0.25">
      <c r="B112" s="3"/>
      <c r="C112" s="21"/>
      <c r="F112" s="16"/>
      <c r="P112" s="16"/>
    </row>
    <row r="113" spans="2:16" ht="15.75" x14ac:dyDescent="0.25">
      <c r="B113" s="3"/>
      <c r="C113" s="21"/>
      <c r="F113" s="16"/>
      <c r="P113" s="16"/>
    </row>
    <row r="114" spans="2:16" ht="15.75" x14ac:dyDescent="0.25">
      <c r="B114" s="3"/>
      <c r="C114" s="21"/>
      <c r="F114" s="16"/>
      <c r="P114" s="16"/>
    </row>
    <row r="115" spans="2:16" ht="15.75" x14ac:dyDescent="0.25">
      <c r="B115" s="3"/>
      <c r="C115" s="21"/>
      <c r="F115" s="16"/>
      <c r="P115" s="16"/>
    </row>
    <row r="116" spans="2:16" ht="15.75" x14ac:dyDescent="0.25">
      <c r="B116" s="3"/>
      <c r="C116" s="21"/>
      <c r="F116" s="16"/>
      <c r="P116" s="16"/>
    </row>
    <row r="117" spans="2:16" ht="15.75" x14ac:dyDescent="0.25">
      <c r="B117" s="3"/>
      <c r="C117" s="21"/>
      <c r="F117" s="16"/>
      <c r="P117" s="16"/>
    </row>
    <row r="118" spans="2:16" ht="15.75" x14ac:dyDescent="0.25">
      <c r="B118" s="3"/>
      <c r="C118" s="21"/>
      <c r="F118" s="16"/>
      <c r="P118" s="16"/>
    </row>
    <row r="119" spans="2:16" ht="15.75" x14ac:dyDescent="0.25">
      <c r="B119" s="3"/>
      <c r="C119" s="21"/>
      <c r="F119" s="16"/>
      <c r="P119" s="16"/>
    </row>
    <row r="120" spans="2:16" ht="15.75" x14ac:dyDescent="0.25">
      <c r="B120" s="3"/>
      <c r="C120" s="21"/>
      <c r="F120" s="16"/>
      <c r="P120" s="16"/>
    </row>
    <row r="121" spans="2:16" ht="15.75" x14ac:dyDescent="0.25">
      <c r="B121" s="3"/>
      <c r="C121" s="21"/>
      <c r="F121" s="16"/>
      <c r="P121" s="16"/>
    </row>
    <row r="122" spans="2:16" ht="15.75" x14ac:dyDescent="0.25">
      <c r="B122" s="3"/>
      <c r="C122" s="21"/>
      <c r="F122" s="16"/>
      <c r="P122" s="16"/>
    </row>
    <row r="123" spans="2:16" ht="15.75" x14ac:dyDescent="0.25">
      <c r="B123" s="3"/>
      <c r="C123" s="21"/>
      <c r="F123" s="16"/>
      <c r="P123" s="16"/>
    </row>
    <row r="124" spans="2:16" x14ac:dyDescent="0.25">
      <c r="B124"/>
      <c r="C124" s="21"/>
      <c r="F124" s="11"/>
    </row>
    <row r="125" spans="2:16" x14ac:dyDescent="0.25">
      <c r="B125"/>
      <c r="C125" s="21"/>
      <c r="F125" s="11"/>
    </row>
    <row r="126" spans="2:16" x14ac:dyDescent="0.25">
      <c r="B126"/>
      <c r="C126" s="21"/>
      <c r="F126" s="11"/>
    </row>
    <row r="127" spans="2:16" x14ac:dyDescent="0.25">
      <c r="B127"/>
      <c r="C127" s="21"/>
      <c r="F127" s="11"/>
    </row>
    <row r="128" spans="2:16" x14ac:dyDescent="0.25">
      <c r="B128"/>
      <c r="C128" s="21"/>
      <c r="F128" s="11"/>
    </row>
    <row r="129" spans="2:6" x14ac:dyDescent="0.25">
      <c r="B129"/>
      <c r="C129" s="21"/>
      <c r="F129" s="11"/>
    </row>
    <row r="130" spans="2:6" x14ac:dyDescent="0.25">
      <c r="B130"/>
      <c r="C130" s="21"/>
      <c r="F130" s="11"/>
    </row>
    <row r="131" spans="2:6" x14ac:dyDescent="0.25">
      <c r="B131"/>
      <c r="C131" s="21"/>
      <c r="F131" s="11"/>
    </row>
    <row r="132" spans="2:6" x14ac:dyDescent="0.25">
      <c r="B132"/>
      <c r="C132" s="21"/>
      <c r="F132" s="11"/>
    </row>
    <row r="133" spans="2:6" x14ac:dyDescent="0.25">
      <c r="B133"/>
      <c r="C133" s="21"/>
      <c r="F133" s="11"/>
    </row>
    <row r="134" spans="2:6" x14ac:dyDescent="0.25">
      <c r="B134"/>
      <c r="C134" s="21"/>
      <c r="F134" s="11"/>
    </row>
    <row r="135" spans="2:6" x14ac:dyDescent="0.25">
      <c r="B135"/>
      <c r="C135" s="21"/>
      <c r="F135" s="11"/>
    </row>
    <row r="136" spans="2:6" x14ac:dyDescent="0.25">
      <c r="B136"/>
      <c r="C136" s="21"/>
      <c r="F136" s="11"/>
    </row>
    <row r="137" spans="2:6" x14ac:dyDescent="0.25">
      <c r="B137"/>
      <c r="C137" s="21"/>
      <c r="F137" s="11"/>
    </row>
    <row r="138" spans="2:6" x14ac:dyDescent="0.25">
      <c r="B138"/>
      <c r="C138" s="21"/>
      <c r="F138" s="11"/>
    </row>
    <row r="139" spans="2:6" x14ac:dyDescent="0.25">
      <c r="B139"/>
      <c r="C139" s="21"/>
      <c r="F139" s="11"/>
    </row>
    <row r="140" spans="2:6" x14ac:dyDescent="0.25">
      <c r="B140"/>
      <c r="C140" s="21"/>
      <c r="F140" s="11"/>
    </row>
    <row r="141" spans="2:6" x14ac:dyDescent="0.25">
      <c r="B141"/>
      <c r="C141" s="21"/>
      <c r="F141" s="11"/>
    </row>
    <row r="142" spans="2:6" x14ac:dyDescent="0.25">
      <c r="B142"/>
      <c r="C142" s="21"/>
      <c r="F142" s="11"/>
    </row>
    <row r="143" spans="2:6" x14ac:dyDescent="0.25">
      <c r="B143"/>
      <c r="C143" s="21"/>
      <c r="F143" s="11"/>
    </row>
    <row r="144" spans="2:6" x14ac:dyDescent="0.25">
      <c r="B144"/>
      <c r="C144" s="21"/>
      <c r="F144" s="11"/>
    </row>
    <row r="145" spans="2:6" x14ac:dyDescent="0.25">
      <c r="B145"/>
      <c r="C145" s="21"/>
      <c r="F145" s="11"/>
    </row>
    <row r="146" spans="2:6" x14ac:dyDescent="0.25">
      <c r="B146"/>
      <c r="C146" s="21"/>
      <c r="F146" s="11"/>
    </row>
    <row r="147" spans="2:6" x14ac:dyDescent="0.25">
      <c r="B147"/>
      <c r="C147" s="21"/>
      <c r="F147" s="11"/>
    </row>
    <row r="148" spans="2:6" x14ac:dyDescent="0.25">
      <c r="B148"/>
      <c r="C148" s="21"/>
      <c r="F148" s="11"/>
    </row>
    <row r="149" spans="2:6" x14ac:dyDescent="0.25">
      <c r="B149"/>
      <c r="C149" s="21"/>
      <c r="F149" s="11"/>
    </row>
    <row r="150" spans="2:6" x14ac:dyDescent="0.25">
      <c r="B150"/>
      <c r="C150" s="21"/>
      <c r="F150" s="11"/>
    </row>
    <row r="151" spans="2:6" x14ac:dyDescent="0.25">
      <c r="B151"/>
      <c r="C151" s="21"/>
      <c r="F151" s="11"/>
    </row>
    <row r="152" spans="2:6" x14ac:dyDescent="0.25">
      <c r="B152"/>
      <c r="C152" s="21"/>
      <c r="F152" s="11"/>
    </row>
    <row r="153" spans="2:6" x14ac:dyDescent="0.25">
      <c r="B153"/>
      <c r="C153" s="21"/>
      <c r="F153" s="11"/>
    </row>
    <row r="154" spans="2:6" x14ac:dyDescent="0.25">
      <c r="B154"/>
      <c r="C154" s="21"/>
      <c r="F154" s="11"/>
    </row>
    <row r="155" spans="2:6" x14ac:dyDescent="0.25">
      <c r="B155"/>
      <c r="C155" s="21"/>
      <c r="F155" s="11"/>
    </row>
    <row r="156" spans="2:6" x14ac:dyDescent="0.25">
      <c r="B156"/>
      <c r="C156" s="21"/>
      <c r="F156" s="11"/>
    </row>
    <row r="157" spans="2:6" x14ac:dyDescent="0.25">
      <c r="B157"/>
      <c r="C157" s="21"/>
      <c r="F157" s="11"/>
    </row>
    <row r="158" spans="2:6" x14ac:dyDescent="0.25">
      <c r="B158"/>
      <c r="C158" s="21"/>
      <c r="F158" s="11"/>
    </row>
    <row r="159" spans="2:6" x14ac:dyDescent="0.25">
      <c r="B159"/>
      <c r="C159" s="21"/>
      <c r="F159" s="11"/>
    </row>
    <row r="160" spans="2:6" x14ac:dyDescent="0.25">
      <c r="B160"/>
      <c r="C160" s="21"/>
      <c r="F160" s="11"/>
    </row>
    <row r="161" spans="2:6" x14ac:dyDescent="0.25">
      <c r="B161"/>
      <c r="C161" s="21"/>
      <c r="F161" s="11"/>
    </row>
    <row r="162" spans="2:6" x14ac:dyDescent="0.25">
      <c r="B162"/>
      <c r="C162" s="21"/>
      <c r="F162" s="11"/>
    </row>
    <row r="163" spans="2:6" x14ac:dyDescent="0.25">
      <c r="B163"/>
      <c r="C163" s="21"/>
      <c r="F163" s="11"/>
    </row>
    <row r="164" spans="2:6" x14ac:dyDescent="0.25">
      <c r="B164"/>
      <c r="C164" s="21"/>
      <c r="F164" s="11"/>
    </row>
    <row r="165" spans="2:6" x14ac:dyDescent="0.25">
      <c r="B165"/>
      <c r="C165" s="21"/>
      <c r="F165" s="11"/>
    </row>
    <row r="166" spans="2:6" x14ac:dyDescent="0.25">
      <c r="B166"/>
      <c r="C166" s="21"/>
      <c r="F166" s="11"/>
    </row>
    <row r="167" spans="2:6" x14ac:dyDescent="0.25">
      <c r="B167"/>
      <c r="C167" s="21"/>
      <c r="F167" s="11"/>
    </row>
    <row r="168" spans="2:6" x14ac:dyDescent="0.25">
      <c r="B168"/>
      <c r="C168" s="21"/>
      <c r="F168" s="11"/>
    </row>
    <row r="169" spans="2:6" x14ac:dyDescent="0.25">
      <c r="B169"/>
      <c r="C169" s="21"/>
      <c r="F169" s="11"/>
    </row>
    <row r="170" spans="2:6" x14ac:dyDescent="0.25">
      <c r="B170"/>
      <c r="C170" s="21"/>
      <c r="F170" s="11"/>
    </row>
    <row r="171" spans="2:6" x14ac:dyDescent="0.25">
      <c r="B171"/>
      <c r="C171" s="21"/>
      <c r="F171" s="11"/>
    </row>
    <row r="172" spans="2:6" x14ac:dyDescent="0.25">
      <c r="B172"/>
      <c r="C172" s="21"/>
      <c r="F172" s="11"/>
    </row>
    <row r="173" spans="2:6" x14ac:dyDescent="0.25">
      <c r="B173"/>
      <c r="C173" s="21"/>
      <c r="F173" s="11"/>
    </row>
    <row r="174" spans="2:6" x14ac:dyDescent="0.25">
      <c r="B174"/>
      <c r="C174" s="21"/>
      <c r="F174" s="11"/>
    </row>
    <row r="175" spans="2:6" x14ac:dyDescent="0.25">
      <c r="B175"/>
      <c r="C175" s="21"/>
      <c r="F175" s="11"/>
    </row>
    <row r="176" spans="2:6" x14ac:dyDescent="0.25">
      <c r="B176"/>
      <c r="C176" s="21"/>
      <c r="F176" s="11"/>
    </row>
    <row r="177" spans="2:6" x14ac:dyDescent="0.25">
      <c r="B177"/>
      <c r="C177" s="21"/>
      <c r="F177" s="11"/>
    </row>
    <row r="178" spans="2:6" x14ac:dyDescent="0.25">
      <c r="B178"/>
      <c r="C178" s="21"/>
      <c r="F178" s="11"/>
    </row>
    <row r="179" spans="2:6" x14ac:dyDescent="0.25">
      <c r="B179"/>
      <c r="C179" s="21"/>
      <c r="F179" s="11"/>
    </row>
    <row r="180" spans="2:6" x14ac:dyDescent="0.25">
      <c r="B180"/>
      <c r="C180" s="21"/>
      <c r="F180" s="11"/>
    </row>
    <row r="181" spans="2:6" x14ac:dyDescent="0.25">
      <c r="B181"/>
      <c r="C181" s="21"/>
      <c r="F181" s="11"/>
    </row>
    <row r="182" spans="2:6" x14ac:dyDescent="0.25">
      <c r="B182"/>
      <c r="C182" s="21"/>
      <c r="F182" s="11"/>
    </row>
    <row r="183" spans="2:6" x14ac:dyDescent="0.25">
      <c r="B183"/>
      <c r="C183" s="21"/>
      <c r="F183" s="11"/>
    </row>
    <row r="184" spans="2:6" x14ac:dyDescent="0.25">
      <c r="B184"/>
      <c r="C184" s="21"/>
      <c r="F184" s="11"/>
    </row>
    <row r="185" spans="2:6" x14ac:dyDescent="0.25">
      <c r="B185"/>
      <c r="C185" s="21"/>
      <c r="F185" s="11"/>
    </row>
    <row r="186" spans="2:6" x14ac:dyDescent="0.25">
      <c r="B186"/>
      <c r="C186" s="21"/>
      <c r="F186" s="11"/>
    </row>
    <row r="187" spans="2:6" x14ac:dyDescent="0.25">
      <c r="B187"/>
      <c r="C187" s="21"/>
      <c r="F187" s="11"/>
    </row>
    <row r="188" spans="2:6" x14ac:dyDescent="0.25">
      <c r="B188"/>
      <c r="C188" s="21"/>
      <c r="F188" s="11"/>
    </row>
    <row r="189" spans="2:6" x14ac:dyDescent="0.25">
      <c r="B189"/>
      <c r="C189" s="21"/>
      <c r="F189" s="11"/>
    </row>
    <row r="190" spans="2:6" x14ac:dyDescent="0.25">
      <c r="B190"/>
      <c r="C190" s="21"/>
      <c r="F190" s="11"/>
    </row>
    <row r="191" spans="2:6" x14ac:dyDescent="0.25">
      <c r="B191"/>
      <c r="C191" s="21"/>
      <c r="F191" s="11"/>
    </row>
    <row r="192" spans="2:6" x14ac:dyDescent="0.25">
      <c r="B192"/>
      <c r="C192" s="21"/>
      <c r="F192" s="11"/>
    </row>
    <row r="193" spans="2:6" x14ac:dyDescent="0.25">
      <c r="B193"/>
      <c r="C193" s="21"/>
      <c r="F193" s="11"/>
    </row>
    <row r="194" spans="2:6" x14ac:dyDescent="0.25">
      <c r="B194"/>
      <c r="C194" s="21"/>
      <c r="F194" s="11"/>
    </row>
    <row r="195" spans="2:6" x14ac:dyDescent="0.25">
      <c r="B195"/>
      <c r="C195" s="21"/>
      <c r="F195" s="11"/>
    </row>
    <row r="196" spans="2:6" x14ac:dyDescent="0.25">
      <c r="B196"/>
      <c r="C196" s="21"/>
      <c r="F196" s="11"/>
    </row>
    <row r="197" spans="2:6" x14ac:dyDescent="0.25">
      <c r="B197"/>
      <c r="C197" s="21"/>
      <c r="F197" s="11"/>
    </row>
    <row r="198" spans="2:6" x14ac:dyDescent="0.25">
      <c r="B198"/>
      <c r="C198" s="21"/>
      <c r="F198" s="11"/>
    </row>
    <row r="199" spans="2:6" x14ac:dyDescent="0.25">
      <c r="B199"/>
      <c r="C199" s="21"/>
      <c r="F199" s="11"/>
    </row>
    <row r="200" spans="2:6" x14ac:dyDescent="0.25">
      <c r="B200"/>
      <c r="C200" s="21"/>
      <c r="F200" s="11"/>
    </row>
    <row r="201" spans="2:6" x14ac:dyDescent="0.25">
      <c r="B201"/>
      <c r="C201" s="21"/>
      <c r="F201" s="11"/>
    </row>
    <row r="202" spans="2:6" x14ac:dyDescent="0.25">
      <c r="B202"/>
      <c r="C202" s="21"/>
      <c r="F202" s="11"/>
    </row>
    <row r="203" spans="2:6" x14ac:dyDescent="0.25">
      <c r="B203"/>
      <c r="C203" s="21"/>
      <c r="F203" s="11"/>
    </row>
    <row r="204" spans="2:6" x14ac:dyDescent="0.25">
      <c r="B204"/>
      <c r="C204" s="21"/>
      <c r="F204" s="11"/>
    </row>
    <row r="205" spans="2:6" x14ac:dyDescent="0.25">
      <c r="B205"/>
      <c r="C205" s="21"/>
      <c r="F205" s="11"/>
    </row>
    <row r="206" spans="2:6" x14ac:dyDescent="0.25">
      <c r="B206"/>
      <c r="C206" s="21"/>
      <c r="F206" s="11"/>
    </row>
    <row r="207" spans="2:6" x14ac:dyDescent="0.25">
      <c r="B207"/>
      <c r="C207" s="21"/>
      <c r="F207" s="11"/>
    </row>
    <row r="208" spans="2:6" x14ac:dyDescent="0.25">
      <c r="B208"/>
      <c r="C208" s="21"/>
      <c r="F208" s="11"/>
    </row>
    <row r="209" spans="2:6" x14ac:dyDescent="0.25">
      <c r="B209"/>
      <c r="C209" s="21"/>
      <c r="F209" s="11"/>
    </row>
    <row r="210" spans="2:6" x14ac:dyDescent="0.25">
      <c r="B210"/>
      <c r="C210" s="21"/>
      <c r="F210" s="11"/>
    </row>
    <row r="211" spans="2:6" x14ac:dyDescent="0.25">
      <c r="B211"/>
      <c r="C211" s="21"/>
      <c r="F211" s="11"/>
    </row>
    <row r="212" spans="2:6" x14ac:dyDescent="0.25">
      <c r="B212"/>
      <c r="C212" s="21"/>
      <c r="F212" s="11"/>
    </row>
    <row r="213" spans="2:6" x14ac:dyDescent="0.25">
      <c r="B213"/>
      <c r="C213" s="21"/>
      <c r="F213" s="11"/>
    </row>
    <row r="214" spans="2:6" x14ac:dyDescent="0.25">
      <c r="B214"/>
      <c r="C214" s="21"/>
      <c r="F214" s="11"/>
    </row>
    <row r="215" spans="2:6" x14ac:dyDescent="0.25">
      <c r="B215"/>
      <c r="C215" s="21"/>
      <c r="F215" s="11"/>
    </row>
    <row r="216" spans="2:6" x14ac:dyDescent="0.25">
      <c r="B216"/>
      <c r="C216" s="21"/>
      <c r="F216" s="11"/>
    </row>
    <row r="217" spans="2:6" x14ac:dyDescent="0.25">
      <c r="B217"/>
      <c r="C217" s="21"/>
      <c r="F217" s="11"/>
    </row>
    <row r="218" spans="2:6" x14ac:dyDescent="0.25">
      <c r="B218"/>
      <c r="C218" s="21"/>
      <c r="F218" s="11"/>
    </row>
    <row r="219" spans="2:6" x14ac:dyDescent="0.25">
      <c r="B219"/>
      <c r="C219" s="21"/>
      <c r="F219" s="11"/>
    </row>
    <row r="220" spans="2:6" x14ac:dyDescent="0.25">
      <c r="B220"/>
      <c r="C220" s="21"/>
      <c r="F220" s="11"/>
    </row>
    <row r="221" spans="2:6" x14ac:dyDescent="0.25">
      <c r="B221"/>
      <c r="C221" s="21"/>
      <c r="F221" s="11"/>
    </row>
    <row r="222" spans="2:6" x14ac:dyDescent="0.25">
      <c r="B222"/>
      <c r="C222" s="21"/>
      <c r="F222" s="11"/>
    </row>
    <row r="223" spans="2:6" x14ac:dyDescent="0.25">
      <c r="B223"/>
      <c r="C223" s="21"/>
      <c r="F223" s="11"/>
    </row>
    <row r="224" spans="2:6" x14ac:dyDescent="0.25">
      <c r="B224"/>
      <c r="C224" s="21"/>
      <c r="F224" s="11"/>
    </row>
    <row r="225" spans="2:6" x14ac:dyDescent="0.25">
      <c r="B225"/>
      <c r="C225" s="21"/>
      <c r="F225" s="11"/>
    </row>
    <row r="226" spans="2:6" x14ac:dyDescent="0.25">
      <c r="B226"/>
      <c r="C226" s="21"/>
      <c r="F226" s="11"/>
    </row>
    <row r="227" spans="2:6" x14ac:dyDescent="0.25">
      <c r="B227"/>
      <c r="C227" s="21"/>
      <c r="F227" s="11"/>
    </row>
    <row r="228" spans="2:6" x14ac:dyDescent="0.25">
      <c r="B228"/>
      <c r="C228" s="21"/>
      <c r="F228" s="11"/>
    </row>
    <row r="229" spans="2:6" x14ac:dyDescent="0.25">
      <c r="B229"/>
      <c r="C229" s="21"/>
      <c r="F229" s="11"/>
    </row>
    <row r="230" spans="2:6" x14ac:dyDescent="0.25">
      <c r="B230"/>
      <c r="C230" s="21"/>
      <c r="F230" s="11"/>
    </row>
    <row r="231" spans="2:6" x14ac:dyDescent="0.25">
      <c r="B231"/>
      <c r="C231" s="21"/>
      <c r="F231" s="11"/>
    </row>
    <row r="232" spans="2:6" x14ac:dyDescent="0.25">
      <c r="B232"/>
      <c r="C232" s="21"/>
      <c r="F232" s="11"/>
    </row>
    <row r="233" spans="2:6" x14ac:dyDescent="0.25">
      <c r="B233"/>
      <c r="C233" s="21"/>
      <c r="F233" s="11"/>
    </row>
    <row r="234" spans="2:6" x14ac:dyDescent="0.25">
      <c r="B234"/>
      <c r="C234" s="21"/>
      <c r="F234" s="11"/>
    </row>
    <row r="235" spans="2:6" x14ac:dyDescent="0.25">
      <c r="B235"/>
      <c r="C235" s="21"/>
      <c r="F235" s="11"/>
    </row>
    <row r="236" spans="2:6" x14ac:dyDescent="0.25">
      <c r="B236"/>
      <c r="C236" s="21"/>
      <c r="F236" s="11"/>
    </row>
  </sheetData>
  <autoFilter ref="B3:P225" xr:uid="{00000000-0001-0000-0000-000000000000}">
    <sortState xmlns:xlrd2="http://schemas.microsoft.com/office/spreadsheetml/2017/richdata2" ref="B4:P225">
      <sortCondition descending="1" ref="L4:L225"/>
    </sortState>
  </autoFilter>
  <sortState xmlns:xlrd2="http://schemas.microsoft.com/office/spreadsheetml/2017/richdata2" ref="B4:P68">
    <sortCondition descending="1" ref="N4:N68"/>
  </sortState>
  <conditionalFormatting sqref="G4:O14">
    <cfRule type="cellIs" dxfId="3" priority="3" stopIfTrue="1" operator="equal">
      <formula>G$1</formula>
    </cfRule>
    <cfRule type="cellIs" dxfId="2" priority="4" stopIfTrue="1" operator="equal">
      <formula>G$2</formula>
    </cfRule>
  </conditionalFormatting>
  <conditionalFormatting sqref="P4:P225 F69:F225">
    <cfRule type="cellIs" dxfId="1" priority="13" stopIfTrue="1" operator="equal">
      <formula>F$1</formula>
    </cfRule>
    <cfRule type="cellIs" dxfId="0" priority="14" stopIfTrue="1" operator="equal">
      <formula>F$2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Ashish Sinha</cp:lastModifiedBy>
  <cp:revision/>
  <dcterms:created xsi:type="dcterms:W3CDTF">2015-06-05T18:17:20Z</dcterms:created>
  <dcterms:modified xsi:type="dcterms:W3CDTF">2026-05-04T22:09:30Z</dcterms:modified>
  <cp:category/>
  <cp:contentStatus/>
</cp:coreProperties>
</file>