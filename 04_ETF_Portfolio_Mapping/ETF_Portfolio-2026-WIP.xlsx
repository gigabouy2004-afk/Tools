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Tools\ETF_Portfolio_Mapping\"/>
    </mc:Choice>
  </mc:AlternateContent>
  <xr:revisionPtr revIDLastSave="0" documentId="13_ncr:1_{58E7F980-BC25-42F7-BF97-2FC11F5B3D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trix" sheetId="1" r:id="rId1"/>
    <sheet name="ETF Summary" sheetId="2" r:id="rId2"/>
    <sheet name="Stock Summary" sheetId="3" r:id="rId3"/>
    <sheet name="Raw Holdings" sheetId="4" r:id="rId4"/>
    <sheet name="Failed ETFs" sheetId="5" r:id="rId5"/>
  </sheets>
  <definedNames>
    <definedName name="_xlnm._FilterDatabase" localSheetId="0" hidden="1">Matrix!$A$5:$HJ$748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1" i="1" l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G153" i="1"/>
  <c r="H15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G183" i="1"/>
  <c r="H183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G214" i="1"/>
  <c r="H214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G245" i="1"/>
  <c r="H24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2" i="1"/>
  <c r="H272" i="1"/>
  <c r="G273" i="1"/>
  <c r="H273" i="1"/>
  <c r="G274" i="1"/>
  <c r="H274" i="1"/>
  <c r="G275" i="1"/>
  <c r="H275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G306" i="1"/>
  <c r="H30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G321" i="1"/>
  <c r="H321" i="1"/>
  <c r="G322" i="1"/>
  <c r="H322" i="1"/>
  <c r="G323" i="1"/>
  <c r="H323" i="1"/>
  <c r="G324" i="1"/>
  <c r="H324" i="1"/>
  <c r="G325" i="1"/>
  <c r="H325" i="1"/>
  <c r="G326" i="1"/>
  <c r="H326" i="1"/>
  <c r="G327" i="1"/>
  <c r="H327" i="1"/>
  <c r="G328" i="1"/>
  <c r="H328" i="1"/>
  <c r="G329" i="1"/>
  <c r="H329" i="1"/>
  <c r="G330" i="1"/>
  <c r="H330" i="1"/>
  <c r="G331" i="1"/>
  <c r="H331" i="1"/>
  <c r="G332" i="1"/>
  <c r="H332" i="1"/>
  <c r="G333" i="1"/>
  <c r="H333" i="1"/>
  <c r="G334" i="1"/>
  <c r="H334" i="1"/>
  <c r="G335" i="1"/>
  <c r="H335" i="1"/>
  <c r="G336" i="1"/>
  <c r="H336" i="1"/>
  <c r="G337" i="1"/>
  <c r="H337" i="1"/>
  <c r="G338" i="1"/>
  <c r="H338" i="1"/>
  <c r="G339" i="1"/>
  <c r="H339" i="1"/>
  <c r="G340" i="1"/>
  <c r="H340" i="1"/>
  <c r="G341" i="1"/>
  <c r="H341" i="1"/>
  <c r="G342" i="1"/>
  <c r="H342" i="1"/>
  <c r="G343" i="1"/>
  <c r="H343" i="1"/>
  <c r="G344" i="1"/>
  <c r="H344" i="1"/>
  <c r="G345" i="1"/>
  <c r="H345" i="1"/>
  <c r="G346" i="1"/>
  <c r="H346" i="1"/>
  <c r="G347" i="1"/>
  <c r="H347" i="1"/>
  <c r="G348" i="1"/>
  <c r="H348" i="1"/>
  <c r="G349" i="1"/>
  <c r="H349" i="1"/>
  <c r="G350" i="1"/>
  <c r="H350" i="1"/>
  <c r="G351" i="1"/>
  <c r="H351" i="1"/>
  <c r="G352" i="1"/>
  <c r="H352" i="1"/>
  <c r="G353" i="1"/>
  <c r="H353" i="1"/>
  <c r="G354" i="1"/>
  <c r="H354" i="1"/>
  <c r="G355" i="1"/>
  <c r="H355" i="1"/>
  <c r="G356" i="1"/>
  <c r="H356" i="1"/>
  <c r="G357" i="1"/>
  <c r="H357" i="1"/>
  <c r="G358" i="1"/>
  <c r="H358" i="1"/>
  <c r="G359" i="1"/>
  <c r="H359" i="1"/>
  <c r="G360" i="1"/>
  <c r="H360" i="1"/>
  <c r="G361" i="1"/>
  <c r="H361" i="1"/>
  <c r="G362" i="1"/>
  <c r="H362" i="1"/>
  <c r="G363" i="1"/>
  <c r="H363" i="1"/>
  <c r="G364" i="1"/>
  <c r="H364" i="1"/>
  <c r="G365" i="1"/>
  <c r="H365" i="1"/>
  <c r="G366" i="1"/>
  <c r="H366" i="1"/>
  <c r="G367" i="1"/>
  <c r="H367" i="1"/>
  <c r="G368" i="1"/>
  <c r="H368" i="1"/>
  <c r="G369" i="1"/>
  <c r="H369" i="1"/>
  <c r="G370" i="1"/>
  <c r="H370" i="1"/>
  <c r="G371" i="1"/>
  <c r="H371" i="1"/>
  <c r="G372" i="1"/>
  <c r="H372" i="1"/>
  <c r="G373" i="1"/>
  <c r="H373" i="1"/>
  <c r="G374" i="1"/>
  <c r="H374" i="1"/>
  <c r="G375" i="1"/>
  <c r="H375" i="1"/>
  <c r="G376" i="1"/>
  <c r="H376" i="1"/>
  <c r="G377" i="1"/>
  <c r="H377" i="1"/>
  <c r="G378" i="1"/>
  <c r="H378" i="1"/>
  <c r="G379" i="1"/>
  <c r="H379" i="1"/>
  <c r="G380" i="1"/>
  <c r="H380" i="1"/>
  <c r="G381" i="1"/>
  <c r="H381" i="1"/>
  <c r="G382" i="1"/>
  <c r="H382" i="1"/>
  <c r="G383" i="1"/>
  <c r="H383" i="1"/>
  <c r="G384" i="1"/>
  <c r="H384" i="1"/>
  <c r="G385" i="1"/>
  <c r="H385" i="1"/>
  <c r="G386" i="1"/>
  <c r="H386" i="1"/>
  <c r="G387" i="1"/>
  <c r="H387" i="1"/>
  <c r="G388" i="1"/>
  <c r="H388" i="1"/>
  <c r="G389" i="1"/>
  <c r="H389" i="1"/>
  <c r="G390" i="1"/>
  <c r="H390" i="1"/>
  <c r="G391" i="1"/>
  <c r="H391" i="1"/>
  <c r="G392" i="1"/>
  <c r="H392" i="1"/>
  <c r="G393" i="1"/>
  <c r="H393" i="1"/>
  <c r="G394" i="1"/>
  <c r="H394" i="1"/>
  <c r="G395" i="1"/>
  <c r="H395" i="1"/>
  <c r="G396" i="1"/>
  <c r="H396" i="1"/>
  <c r="G397" i="1"/>
  <c r="H397" i="1"/>
  <c r="G398" i="1"/>
  <c r="H398" i="1"/>
  <c r="G399" i="1"/>
  <c r="H399" i="1"/>
  <c r="G400" i="1"/>
  <c r="H400" i="1"/>
  <c r="G401" i="1"/>
  <c r="H401" i="1"/>
  <c r="G402" i="1"/>
  <c r="H402" i="1"/>
  <c r="G403" i="1"/>
  <c r="H403" i="1"/>
  <c r="G404" i="1"/>
  <c r="H404" i="1"/>
  <c r="G405" i="1"/>
  <c r="H405" i="1"/>
  <c r="G406" i="1"/>
  <c r="H406" i="1"/>
  <c r="G407" i="1"/>
  <c r="H407" i="1"/>
  <c r="G408" i="1"/>
  <c r="H408" i="1"/>
  <c r="G409" i="1"/>
  <c r="H409" i="1"/>
  <c r="G410" i="1"/>
  <c r="H410" i="1"/>
  <c r="G411" i="1"/>
  <c r="H411" i="1"/>
  <c r="G412" i="1"/>
  <c r="H412" i="1"/>
  <c r="G413" i="1"/>
  <c r="H413" i="1"/>
  <c r="G414" i="1"/>
  <c r="H414" i="1"/>
  <c r="G415" i="1"/>
  <c r="H415" i="1"/>
  <c r="G416" i="1"/>
  <c r="H416" i="1"/>
  <c r="G417" i="1"/>
  <c r="H417" i="1"/>
  <c r="G418" i="1"/>
  <c r="H418" i="1"/>
  <c r="G419" i="1"/>
  <c r="H419" i="1"/>
  <c r="G420" i="1"/>
  <c r="H420" i="1"/>
  <c r="G421" i="1"/>
  <c r="H421" i="1"/>
  <c r="G422" i="1"/>
  <c r="H422" i="1"/>
  <c r="G423" i="1"/>
  <c r="H423" i="1"/>
  <c r="G424" i="1"/>
  <c r="H424" i="1"/>
  <c r="G425" i="1"/>
  <c r="H425" i="1"/>
  <c r="G426" i="1"/>
  <c r="H426" i="1"/>
  <c r="G427" i="1"/>
  <c r="H427" i="1"/>
  <c r="G428" i="1"/>
  <c r="H428" i="1"/>
  <c r="G429" i="1"/>
  <c r="H429" i="1"/>
  <c r="G430" i="1"/>
  <c r="H430" i="1"/>
  <c r="G431" i="1"/>
  <c r="H431" i="1"/>
  <c r="G432" i="1"/>
  <c r="H432" i="1"/>
  <c r="G433" i="1"/>
  <c r="H433" i="1"/>
  <c r="G434" i="1"/>
  <c r="H434" i="1"/>
  <c r="G435" i="1"/>
  <c r="H435" i="1"/>
  <c r="G436" i="1"/>
  <c r="H436" i="1"/>
  <c r="G437" i="1"/>
  <c r="H437" i="1"/>
  <c r="G438" i="1"/>
  <c r="H438" i="1"/>
  <c r="G439" i="1"/>
  <c r="H439" i="1"/>
  <c r="G440" i="1"/>
  <c r="H440" i="1"/>
  <c r="G441" i="1"/>
  <c r="H441" i="1"/>
  <c r="G442" i="1"/>
  <c r="H442" i="1"/>
  <c r="G443" i="1"/>
  <c r="H443" i="1"/>
  <c r="G444" i="1"/>
  <c r="H444" i="1"/>
  <c r="G445" i="1"/>
  <c r="H445" i="1"/>
  <c r="G446" i="1"/>
  <c r="H446" i="1"/>
  <c r="G447" i="1"/>
  <c r="H447" i="1"/>
  <c r="G448" i="1"/>
  <c r="H448" i="1"/>
  <c r="G449" i="1"/>
  <c r="H449" i="1"/>
  <c r="G450" i="1"/>
  <c r="H450" i="1"/>
  <c r="G451" i="1"/>
  <c r="H451" i="1"/>
  <c r="G452" i="1"/>
  <c r="H452" i="1"/>
  <c r="G453" i="1"/>
  <c r="H453" i="1"/>
  <c r="G454" i="1"/>
  <c r="H454" i="1"/>
  <c r="G455" i="1"/>
  <c r="H455" i="1"/>
  <c r="G456" i="1"/>
  <c r="H456" i="1"/>
  <c r="G457" i="1"/>
  <c r="H457" i="1"/>
  <c r="G458" i="1"/>
  <c r="H458" i="1"/>
  <c r="G459" i="1"/>
  <c r="H459" i="1"/>
  <c r="G460" i="1"/>
  <c r="H460" i="1"/>
  <c r="G461" i="1"/>
  <c r="H461" i="1"/>
  <c r="G462" i="1"/>
  <c r="H462" i="1"/>
  <c r="G463" i="1"/>
  <c r="H463" i="1"/>
  <c r="G464" i="1"/>
  <c r="H464" i="1"/>
  <c r="G465" i="1"/>
  <c r="H465" i="1"/>
  <c r="G466" i="1"/>
  <c r="H466" i="1"/>
  <c r="G467" i="1"/>
  <c r="H467" i="1"/>
  <c r="G468" i="1"/>
  <c r="H468" i="1"/>
  <c r="G469" i="1"/>
  <c r="H469" i="1"/>
  <c r="G470" i="1"/>
  <c r="H470" i="1"/>
  <c r="G471" i="1"/>
  <c r="H471" i="1"/>
  <c r="G472" i="1"/>
  <c r="H472" i="1"/>
  <c r="G473" i="1"/>
  <c r="H473" i="1"/>
  <c r="G474" i="1"/>
  <c r="H474" i="1"/>
  <c r="G475" i="1"/>
  <c r="H475" i="1"/>
  <c r="G476" i="1"/>
  <c r="H476" i="1"/>
  <c r="G477" i="1"/>
  <c r="H477" i="1"/>
  <c r="G478" i="1"/>
  <c r="H478" i="1"/>
  <c r="G479" i="1"/>
  <c r="H479" i="1"/>
  <c r="G480" i="1"/>
  <c r="H480" i="1"/>
  <c r="G481" i="1"/>
  <c r="H481" i="1"/>
  <c r="G482" i="1"/>
  <c r="H482" i="1"/>
  <c r="G483" i="1"/>
  <c r="H483" i="1"/>
  <c r="G484" i="1"/>
  <c r="H484" i="1"/>
  <c r="G485" i="1"/>
  <c r="H485" i="1"/>
  <c r="G486" i="1"/>
  <c r="H486" i="1"/>
  <c r="G487" i="1"/>
  <c r="H487" i="1"/>
  <c r="G488" i="1"/>
  <c r="H488" i="1"/>
  <c r="G489" i="1"/>
  <c r="H489" i="1"/>
  <c r="G490" i="1"/>
  <c r="H490" i="1"/>
  <c r="G491" i="1"/>
  <c r="H491" i="1"/>
  <c r="G492" i="1"/>
  <c r="H492" i="1"/>
  <c r="G493" i="1"/>
  <c r="H493" i="1"/>
  <c r="G494" i="1"/>
  <c r="H494" i="1"/>
  <c r="G495" i="1"/>
  <c r="H495" i="1"/>
  <c r="G496" i="1"/>
  <c r="H496" i="1"/>
  <c r="G497" i="1"/>
  <c r="H497" i="1"/>
  <c r="G498" i="1"/>
  <c r="H498" i="1"/>
  <c r="G499" i="1"/>
  <c r="H499" i="1"/>
  <c r="G500" i="1"/>
  <c r="H500" i="1"/>
  <c r="G501" i="1"/>
  <c r="H501" i="1"/>
  <c r="G502" i="1"/>
  <c r="H502" i="1"/>
  <c r="G503" i="1"/>
  <c r="H503" i="1"/>
  <c r="G504" i="1"/>
  <c r="H504" i="1"/>
  <c r="G505" i="1"/>
  <c r="H505" i="1"/>
  <c r="G506" i="1"/>
  <c r="H506" i="1"/>
  <c r="G507" i="1"/>
  <c r="H507" i="1"/>
  <c r="G508" i="1"/>
  <c r="H508" i="1"/>
  <c r="G509" i="1"/>
  <c r="H509" i="1"/>
  <c r="G510" i="1"/>
  <c r="H510" i="1"/>
  <c r="G511" i="1"/>
  <c r="H511" i="1"/>
  <c r="G512" i="1"/>
  <c r="H512" i="1"/>
  <c r="G513" i="1"/>
  <c r="H513" i="1"/>
  <c r="G514" i="1"/>
  <c r="H514" i="1"/>
  <c r="G515" i="1"/>
  <c r="H515" i="1"/>
  <c r="G516" i="1"/>
  <c r="H516" i="1"/>
  <c r="G517" i="1"/>
  <c r="H517" i="1"/>
  <c r="G518" i="1"/>
  <c r="H518" i="1"/>
  <c r="G519" i="1"/>
  <c r="H519" i="1"/>
  <c r="G520" i="1"/>
  <c r="H520" i="1"/>
  <c r="G521" i="1"/>
  <c r="H521" i="1"/>
  <c r="G522" i="1"/>
  <c r="H522" i="1"/>
  <c r="G523" i="1"/>
  <c r="H523" i="1"/>
  <c r="G524" i="1"/>
  <c r="H524" i="1"/>
  <c r="G525" i="1"/>
  <c r="H525" i="1"/>
  <c r="G526" i="1"/>
  <c r="H526" i="1"/>
  <c r="G527" i="1"/>
  <c r="H527" i="1"/>
  <c r="G528" i="1"/>
  <c r="H528" i="1"/>
  <c r="G529" i="1"/>
  <c r="H529" i="1"/>
  <c r="G530" i="1"/>
  <c r="H530" i="1"/>
  <c r="G531" i="1"/>
  <c r="H531" i="1"/>
  <c r="G532" i="1"/>
  <c r="H532" i="1"/>
  <c r="G533" i="1"/>
  <c r="H533" i="1"/>
  <c r="G534" i="1"/>
  <c r="H534" i="1"/>
  <c r="G535" i="1"/>
  <c r="H535" i="1"/>
  <c r="G536" i="1"/>
  <c r="H536" i="1"/>
  <c r="G537" i="1"/>
  <c r="H537" i="1"/>
  <c r="G538" i="1"/>
  <c r="H538" i="1"/>
  <c r="G539" i="1"/>
  <c r="H539" i="1"/>
  <c r="G540" i="1"/>
  <c r="H540" i="1"/>
  <c r="G541" i="1"/>
  <c r="H541" i="1"/>
  <c r="G542" i="1"/>
  <c r="H542" i="1"/>
  <c r="G543" i="1"/>
  <c r="H543" i="1"/>
  <c r="G544" i="1"/>
  <c r="H544" i="1"/>
  <c r="G545" i="1"/>
  <c r="H545" i="1"/>
  <c r="G546" i="1"/>
  <c r="H546" i="1"/>
  <c r="G547" i="1"/>
  <c r="H547" i="1"/>
  <c r="G548" i="1"/>
  <c r="H548" i="1"/>
  <c r="G549" i="1"/>
  <c r="H549" i="1"/>
  <c r="G550" i="1"/>
  <c r="H550" i="1"/>
  <c r="G551" i="1"/>
  <c r="H551" i="1"/>
  <c r="G552" i="1"/>
  <c r="H552" i="1"/>
  <c r="G553" i="1"/>
  <c r="H553" i="1"/>
  <c r="G554" i="1"/>
  <c r="H554" i="1"/>
  <c r="G555" i="1"/>
  <c r="H555" i="1"/>
  <c r="G556" i="1"/>
  <c r="H556" i="1"/>
  <c r="G557" i="1"/>
  <c r="H557" i="1"/>
  <c r="G558" i="1"/>
  <c r="H558" i="1"/>
  <c r="G559" i="1"/>
  <c r="H559" i="1"/>
  <c r="G560" i="1"/>
  <c r="H560" i="1"/>
  <c r="G561" i="1"/>
  <c r="H561" i="1"/>
  <c r="G562" i="1"/>
  <c r="H562" i="1"/>
  <c r="G563" i="1"/>
  <c r="H563" i="1"/>
  <c r="G564" i="1"/>
  <c r="H564" i="1"/>
  <c r="G565" i="1"/>
  <c r="H565" i="1"/>
  <c r="G566" i="1"/>
  <c r="H566" i="1"/>
  <c r="G567" i="1"/>
  <c r="H567" i="1"/>
  <c r="G568" i="1"/>
  <c r="H568" i="1"/>
  <c r="G569" i="1"/>
  <c r="H569" i="1"/>
  <c r="G570" i="1"/>
  <c r="H570" i="1"/>
  <c r="G571" i="1"/>
  <c r="H571" i="1"/>
  <c r="G572" i="1"/>
  <c r="H572" i="1"/>
  <c r="G573" i="1"/>
  <c r="H573" i="1"/>
  <c r="G574" i="1"/>
  <c r="H574" i="1"/>
  <c r="G575" i="1"/>
  <c r="H575" i="1"/>
  <c r="G576" i="1"/>
  <c r="H576" i="1"/>
  <c r="G577" i="1"/>
  <c r="H577" i="1"/>
  <c r="G578" i="1"/>
  <c r="H578" i="1"/>
  <c r="G579" i="1"/>
  <c r="H579" i="1"/>
  <c r="G580" i="1"/>
  <c r="H580" i="1"/>
  <c r="G581" i="1"/>
  <c r="H581" i="1"/>
  <c r="G582" i="1"/>
  <c r="H582" i="1"/>
  <c r="G583" i="1"/>
  <c r="H583" i="1"/>
  <c r="G584" i="1"/>
  <c r="H584" i="1"/>
  <c r="G585" i="1"/>
  <c r="H585" i="1"/>
  <c r="G586" i="1"/>
  <c r="H586" i="1"/>
  <c r="G587" i="1"/>
  <c r="H587" i="1"/>
  <c r="G588" i="1"/>
  <c r="H588" i="1"/>
  <c r="G589" i="1"/>
  <c r="H589" i="1"/>
  <c r="G590" i="1"/>
  <c r="H590" i="1"/>
  <c r="G591" i="1"/>
  <c r="H591" i="1"/>
  <c r="G592" i="1"/>
  <c r="H592" i="1"/>
  <c r="G593" i="1"/>
  <c r="H593" i="1"/>
  <c r="G594" i="1"/>
  <c r="H594" i="1"/>
  <c r="G595" i="1"/>
  <c r="H595" i="1"/>
  <c r="G596" i="1"/>
  <c r="H596" i="1"/>
  <c r="G597" i="1"/>
  <c r="H597" i="1"/>
  <c r="G598" i="1"/>
  <c r="H598" i="1"/>
  <c r="G599" i="1"/>
  <c r="H599" i="1"/>
  <c r="G600" i="1"/>
  <c r="H600" i="1"/>
  <c r="G601" i="1"/>
  <c r="H601" i="1"/>
  <c r="G602" i="1"/>
  <c r="H602" i="1"/>
  <c r="G603" i="1"/>
  <c r="H603" i="1"/>
  <c r="G604" i="1"/>
  <c r="H604" i="1"/>
  <c r="G605" i="1"/>
  <c r="H605" i="1"/>
  <c r="G606" i="1"/>
  <c r="H606" i="1"/>
  <c r="G607" i="1"/>
  <c r="H607" i="1"/>
  <c r="G608" i="1"/>
  <c r="H608" i="1"/>
  <c r="G609" i="1"/>
  <c r="H609" i="1"/>
  <c r="G610" i="1"/>
  <c r="H610" i="1"/>
  <c r="G611" i="1"/>
  <c r="H611" i="1"/>
  <c r="G612" i="1"/>
  <c r="H612" i="1"/>
  <c r="G613" i="1"/>
  <c r="H613" i="1"/>
  <c r="G614" i="1"/>
  <c r="H614" i="1"/>
  <c r="G615" i="1"/>
  <c r="H615" i="1"/>
  <c r="G616" i="1"/>
  <c r="H616" i="1"/>
  <c r="G617" i="1"/>
  <c r="H617" i="1"/>
  <c r="G618" i="1"/>
  <c r="H618" i="1"/>
  <c r="G619" i="1"/>
  <c r="H619" i="1"/>
  <c r="G620" i="1"/>
  <c r="H620" i="1"/>
  <c r="G621" i="1"/>
  <c r="H621" i="1"/>
  <c r="G622" i="1"/>
  <c r="H622" i="1"/>
  <c r="G623" i="1"/>
  <c r="H623" i="1"/>
  <c r="G624" i="1"/>
  <c r="H624" i="1"/>
  <c r="G625" i="1"/>
  <c r="H625" i="1"/>
  <c r="G626" i="1"/>
  <c r="H626" i="1"/>
  <c r="G627" i="1"/>
  <c r="H627" i="1"/>
  <c r="G628" i="1"/>
  <c r="H628" i="1"/>
  <c r="G629" i="1"/>
  <c r="H629" i="1"/>
  <c r="G630" i="1"/>
  <c r="H630" i="1"/>
  <c r="G631" i="1"/>
  <c r="H631" i="1"/>
  <c r="G632" i="1"/>
  <c r="H632" i="1"/>
  <c r="G633" i="1"/>
  <c r="H633" i="1"/>
  <c r="G634" i="1"/>
  <c r="H634" i="1"/>
  <c r="G635" i="1"/>
  <c r="H635" i="1"/>
  <c r="G636" i="1"/>
  <c r="H636" i="1"/>
  <c r="G637" i="1"/>
  <c r="H637" i="1"/>
  <c r="G638" i="1"/>
  <c r="H638" i="1"/>
  <c r="G639" i="1"/>
  <c r="H639" i="1"/>
  <c r="G640" i="1"/>
  <c r="H640" i="1"/>
  <c r="G641" i="1"/>
  <c r="H641" i="1"/>
  <c r="G642" i="1"/>
  <c r="H642" i="1"/>
  <c r="G643" i="1"/>
  <c r="H643" i="1"/>
  <c r="G644" i="1"/>
  <c r="H644" i="1"/>
  <c r="G645" i="1"/>
  <c r="H645" i="1"/>
  <c r="G646" i="1"/>
  <c r="H646" i="1"/>
  <c r="G647" i="1"/>
  <c r="H647" i="1"/>
  <c r="G648" i="1"/>
  <c r="H648" i="1"/>
  <c r="G649" i="1"/>
  <c r="H649" i="1"/>
  <c r="G650" i="1"/>
  <c r="H650" i="1"/>
  <c r="G651" i="1"/>
  <c r="H651" i="1"/>
  <c r="G652" i="1"/>
  <c r="H652" i="1"/>
  <c r="G653" i="1"/>
  <c r="H653" i="1"/>
  <c r="G654" i="1"/>
  <c r="H654" i="1"/>
  <c r="G655" i="1"/>
  <c r="H655" i="1"/>
  <c r="G656" i="1"/>
  <c r="H656" i="1"/>
  <c r="G657" i="1"/>
  <c r="H657" i="1"/>
  <c r="G658" i="1"/>
  <c r="H658" i="1"/>
  <c r="G659" i="1"/>
  <c r="H659" i="1"/>
  <c r="G660" i="1"/>
  <c r="H660" i="1"/>
  <c r="G661" i="1"/>
  <c r="H661" i="1"/>
  <c r="G662" i="1"/>
  <c r="H662" i="1"/>
  <c r="G663" i="1"/>
  <c r="H663" i="1"/>
  <c r="G664" i="1"/>
  <c r="H664" i="1"/>
  <c r="G665" i="1"/>
  <c r="H665" i="1"/>
  <c r="G666" i="1"/>
  <c r="H666" i="1"/>
  <c r="G667" i="1"/>
  <c r="H667" i="1"/>
  <c r="G668" i="1"/>
  <c r="H668" i="1"/>
  <c r="G669" i="1"/>
  <c r="H669" i="1"/>
  <c r="G670" i="1"/>
  <c r="H670" i="1"/>
  <c r="G671" i="1"/>
  <c r="H671" i="1"/>
  <c r="G672" i="1"/>
  <c r="H672" i="1"/>
  <c r="G673" i="1"/>
  <c r="H673" i="1"/>
  <c r="G674" i="1"/>
  <c r="H674" i="1"/>
  <c r="G675" i="1"/>
  <c r="H675" i="1"/>
  <c r="G676" i="1"/>
  <c r="H676" i="1"/>
  <c r="G677" i="1"/>
  <c r="H677" i="1"/>
  <c r="G678" i="1"/>
  <c r="H678" i="1"/>
  <c r="G679" i="1"/>
  <c r="H679" i="1"/>
  <c r="G680" i="1"/>
  <c r="H680" i="1"/>
  <c r="G681" i="1"/>
  <c r="H681" i="1"/>
  <c r="G682" i="1"/>
  <c r="H682" i="1"/>
  <c r="G683" i="1"/>
  <c r="H683" i="1"/>
  <c r="G684" i="1"/>
  <c r="H684" i="1"/>
  <c r="G685" i="1"/>
  <c r="H685" i="1"/>
  <c r="G686" i="1"/>
  <c r="H686" i="1"/>
  <c r="G687" i="1"/>
  <c r="H687" i="1"/>
  <c r="G688" i="1"/>
  <c r="H688" i="1"/>
  <c r="G689" i="1"/>
  <c r="H689" i="1"/>
  <c r="G690" i="1"/>
  <c r="H690" i="1"/>
  <c r="G691" i="1"/>
  <c r="H691" i="1"/>
  <c r="G692" i="1"/>
  <c r="H692" i="1"/>
  <c r="G693" i="1"/>
  <c r="H693" i="1"/>
  <c r="G694" i="1"/>
  <c r="H694" i="1"/>
  <c r="G695" i="1"/>
  <c r="H695" i="1"/>
  <c r="G696" i="1"/>
  <c r="H696" i="1"/>
  <c r="G697" i="1"/>
  <c r="H697" i="1"/>
  <c r="G698" i="1"/>
  <c r="H698" i="1"/>
  <c r="G699" i="1"/>
  <c r="H699" i="1"/>
  <c r="G700" i="1"/>
  <c r="H700" i="1"/>
  <c r="G701" i="1"/>
  <c r="H701" i="1"/>
  <c r="G702" i="1"/>
  <c r="H702" i="1"/>
  <c r="G703" i="1"/>
  <c r="H703" i="1"/>
  <c r="G704" i="1"/>
  <c r="H704" i="1"/>
  <c r="G705" i="1"/>
  <c r="H705" i="1"/>
  <c r="G706" i="1"/>
  <c r="H706" i="1"/>
  <c r="G707" i="1"/>
  <c r="H707" i="1"/>
  <c r="G708" i="1"/>
  <c r="H708" i="1"/>
  <c r="G709" i="1"/>
  <c r="H709" i="1"/>
  <c r="G710" i="1"/>
  <c r="H710" i="1"/>
  <c r="G711" i="1"/>
  <c r="H711" i="1"/>
  <c r="G712" i="1"/>
  <c r="H712" i="1"/>
  <c r="G713" i="1"/>
  <c r="H713" i="1"/>
  <c r="G714" i="1"/>
  <c r="H714" i="1"/>
  <c r="G715" i="1"/>
  <c r="H715" i="1"/>
  <c r="G716" i="1"/>
  <c r="H716" i="1"/>
  <c r="G717" i="1"/>
  <c r="H717" i="1"/>
  <c r="G718" i="1"/>
  <c r="H718" i="1"/>
  <c r="G719" i="1"/>
  <c r="H719" i="1"/>
  <c r="G720" i="1"/>
  <c r="H720" i="1"/>
  <c r="G721" i="1"/>
  <c r="H721" i="1"/>
  <c r="G722" i="1"/>
  <c r="H722" i="1"/>
  <c r="G723" i="1"/>
  <c r="H723" i="1"/>
  <c r="G724" i="1"/>
  <c r="H724" i="1"/>
  <c r="G725" i="1"/>
  <c r="H725" i="1"/>
  <c r="G726" i="1"/>
  <c r="H726" i="1"/>
  <c r="G727" i="1"/>
  <c r="H727" i="1"/>
  <c r="G728" i="1"/>
  <c r="H728" i="1"/>
  <c r="G729" i="1"/>
  <c r="H729" i="1"/>
  <c r="G730" i="1"/>
  <c r="H730" i="1"/>
  <c r="G731" i="1"/>
  <c r="H731" i="1"/>
  <c r="G732" i="1"/>
  <c r="H732" i="1"/>
  <c r="G733" i="1"/>
  <c r="H733" i="1"/>
  <c r="G734" i="1"/>
  <c r="H734" i="1"/>
  <c r="G735" i="1"/>
  <c r="H735" i="1"/>
  <c r="G736" i="1"/>
  <c r="H736" i="1"/>
  <c r="G737" i="1"/>
  <c r="H737" i="1"/>
  <c r="G738" i="1"/>
  <c r="H738" i="1"/>
  <c r="G739" i="1"/>
  <c r="H739" i="1"/>
  <c r="G740" i="1"/>
  <c r="H740" i="1"/>
  <c r="G741" i="1"/>
  <c r="H741" i="1"/>
  <c r="G742" i="1"/>
  <c r="H742" i="1"/>
  <c r="G743" i="1"/>
  <c r="H743" i="1"/>
  <c r="G744" i="1"/>
  <c r="H744" i="1"/>
  <c r="G745" i="1"/>
  <c r="H745" i="1"/>
  <c r="G746" i="1"/>
  <c r="H746" i="1"/>
  <c r="G747" i="1"/>
  <c r="H747" i="1"/>
  <c r="G748" i="1"/>
  <c r="H748" i="1"/>
  <c r="H6" i="1"/>
  <c r="G6" i="1"/>
  <c r="L1" i="1"/>
  <c r="M1" i="1"/>
  <c r="N1" i="1"/>
  <c r="O1" i="1"/>
  <c r="P1" i="1"/>
  <c r="Q1" i="1"/>
  <c r="R1" i="1"/>
  <c r="S1" i="1"/>
  <c r="T1" i="1"/>
  <c r="U1" i="1"/>
  <c r="V1" i="1"/>
  <c r="W1" i="1"/>
  <c r="X1" i="1"/>
  <c r="Y1" i="1"/>
  <c r="Z1" i="1"/>
  <c r="AA1" i="1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AO1" i="1"/>
  <c r="AP1" i="1"/>
  <c r="AQ1" i="1"/>
  <c r="AR1" i="1"/>
  <c r="AS1" i="1"/>
  <c r="AT1" i="1"/>
  <c r="AU1" i="1"/>
  <c r="AV1" i="1"/>
  <c r="AW1" i="1"/>
  <c r="AX1" i="1"/>
  <c r="AY1" i="1"/>
  <c r="AZ1" i="1"/>
  <c r="BA1" i="1"/>
  <c r="BB1" i="1"/>
  <c r="BC1" i="1"/>
  <c r="BD1" i="1"/>
  <c r="BE1" i="1"/>
  <c r="BF1" i="1"/>
  <c r="BG1" i="1"/>
  <c r="BH1" i="1"/>
  <c r="BI1" i="1"/>
  <c r="BJ1" i="1"/>
  <c r="BK1" i="1"/>
  <c r="BL1" i="1"/>
  <c r="BM1" i="1"/>
  <c r="BN1" i="1"/>
  <c r="BO1" i="1"/>
  <c r="BP1" i="1"/>
  <c r="BQ1" i="1"/>
  <c r="BR1" i="1"/>
  <c r="BS1" i="1"/>
  <c r="BT1" i="1"/>
  <c r="BU1" i="1"/>
  <c r="BV1" i="1"/>
  <c r="BW1" i="1"/>
  <c r="BX1" i="1"/>
  <c r="BY1" i="1"/>
  <c r="BZ1" i="1"/>
  <c r="CA1" i="1"/>
  <c r="CB1" i="1"/>
  <c r="CC1" i="1"/>
  <c r="CD1" i="1"/>
  <c r="CE1" i="1"/>
  <c r="CF1" i="1"/>
  <c r="CG1" i="1"/>
  <c r="CH1" i="1"/>
  <c r="CI1" i="1"/>
  <c r="CJ1" i="1"/>
  <c r="CK1" i="1"/>
  <c r="CL1" i="1"/>
  <c r="CM1" i="1"/>
  <c r="CN1" i="1"/>
  <c r="CO1" i="1"/>
  <c r="CP1" i="1"/>
  <c r="CQ1" i="1"/>
  <c r="CR1" i="1"/>
  <c r="CS1" i="1"/>
  <c r="CT1" i="1"/>
  <c r="CU1" i="1"/>
  <c r="CV1" i="1"/>
  <c r="CW1" i="1"/>
  <c r="CX1" i="1"/>
  <c r="CY1" i="1"/>
  <c r="CZ1" i="1"/>
  <c r="DA1" i="1"/>
  <c r="DB1" i="1"/>
  <c r="DC1" i="1"/>
  <c r="DD1" i="1"/>
  <c r="DE1" i="1"/>
  <c r="DF1" i="1"/>
  <c r="DG1" i="1"/>
  <c r="DH1" i="1"/>
  <c r="DI1" i="1"/>
  <c r="DJ1" i="1"/>
  <c r="DK1" i="1"/>
  <c r="DL1" i="1"/>
  <c r="DM1" i="1"/>
  <c r="DN1" i="1"/>
  <c r="DO1" i="1"/>
  <c r="DP1" i="1"/>
  <c r="DQ1" i="1"/>
  <c r="DR1" i="1"/>
  <c r="DS1" i="1"/>
  <c r="DT1" i="1"/>
  <c r="DU1" i="1"/>
  <c r="DV1" i="1"/>
  <c r="DW1" i="1"/>
  <c r="DX1" i="1"/>
  <c r="DY1" i="1"/>
  <c r="DZ1" i="1"/>
  <c r="EA1" i="1"/>
  <c r="EB1" i="1"/>
  <c r="EC1" i="1"/>
  <c r="ED1" i="1"/>
  <c r="EE1" i="1"/>
  <c r="EF1" i="1"/>
  <c r="EG1" i="1"/>
  <c r="EH1" i="1"/>
  <c r="EI1" i="1"/>
  <c r="EJ1" i="1"/>
  <c r="EK1" i="1"/>
  <c r="EL1" i="1"/>
  <c r="EM1" i="1"/>
  <c r="EN1" i="1"/>
  <c r="EO1" i="1"/>
  <c r="EP1" i="1"/>
  <c r="EQ1" i="1"/>
  <c r="ER1" i="1"/>
  <c r="ES1" i="1"/>
  <c r="ET1" i="1"/>
  <c r="EU1" i="1"/>
  <c r="EV1" i="1"/>
  <c r="EW1" i="1"/>
  <c r="EX1" i="1"/>
  <c r="EY1" i="1"/>
  <c r="EZ1" i="1"/>
  <c r="FA1" i="1"/>
  <c r="FB1" i="1"/>
  <c r="FC1" i="1"/>
  <c r="FD1" i="1"/>
  <c r="FE1" i="1"/>
  <c r="FF1" i="1"/>
  <c r="FG1" i="1"/>
  <c r="FH1" i="1"/>
  <c r="FI1" i="1"/>
  <c r="FJ1" i="1"/>
  <c r="FK1" i="1"/>
  <c r="FL1" i="1"/>
  <c r="FM1" i="1"/>
  <c r="FN1" i="1"/>
  <c r="FO1" i="1"/>
  <c r="FP1" i="1"/>
  <c r="FQ1" i="1"/>
  <c r="FR1" i="1"/>
  <c r="FS1" i="1"/>
  <c r="FT1" i="1"/>
  <c r="FU1" i="1"/>
  <c r="FV1" i="1"/>
  <c r="FW1" i="1"/>
  <c r="FX1" i="1"/>
  <c r="FY1" i="1"/>
  <c r="FZ1" i="1"/>
  <c r="GA1" i="1"/>
  <c r="GB1" i="1"/>
  <c r="GC1" i="1"/>
  <c r="GD1" i="1"/>
  <c r="GE1" i="1"/>
  <c r="GF1" i="1"/>
  <c r="GG1" i="1"/>
  <c r="GH1" i="1"/>
  <c r="GI1" i="1"/>
  <c r="GJ1" i="1"/>
  <c r="GK1" i="1"/>
  <c r="GL1" i="1"/>
  <c r="GM1" i="1"/>
  <c r="GN1" i="1"/>
  <c r="GO1" i="1"/>
  <c r="GP1" i="1"/>
  <c r="GQ1" i="1"/>
  <c r="GR1" i="1"/>
  <c r="GS1" i="1"/>
  <c r="GT1" i="1"/>
  <c r="GU1" i="1"/>
  <c r="GV1" i="1"/>
  <c r="GW1" i="1"/>
  <c r="GX1" i="1"/>
  <c r="GY1" i="1"/>
  <c r="GZ1" i="1"/>
  <c r="HA1" i="1"/>
  <c r="HB1" i="1"/>
  <c r="HC1" i="1"/>
  <c r="HD1" i="1"/>
  <c r="HE1" i="1"/>
  <c r="HF1" i="1"/>
  <c r="HG1" i="1"/>
  <c r="HH1" i="1"/>
  <c r="HI1" i="1"/>
  <c r="HJ1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Z2" i="1"/>
  <c r="AA2" i="1"/>
  <c r="AB2" i="1"/>
  <c r="AC2" i="1"/>
  <c r="AD2" i="1"/>
  <c r="AE2" i="1"/>
  <c r="AF2" i="1"/>
  <c r="AG2" i="1"/>
  <c r="AH2" i="1"/>
  <c r="AI2" i="1"/>
  <c r="AJ2" i="1"/>
  <c r="AK2" i="1"/>
  <c r="AL2" i="1"/>
  <c r="AM2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BH2" i="1"/>
  <c r="BI2" i="1"/>
  <c r="BJ2" i="1"/>
  <c r="BK2" i="1"/>
  <c r="BL2" i="1"/>
  <c r="BM2" i="1"/>
  <c r="BN2" i="1"/>
  <c r="BO2" i="1"/>
  <c r="BP2" i="1"/>
  <c r="BQ2" i="1"/>
  <c r="BR2" i="1"/>
  <c r="BS2" i="1"/>
  <c r="BT2" i="1"/>
  <c r="BU2" i="1"/>
  <c r="BV2" i="1"/>
  <c r="BW2" i="1"/>
  <c r="BX2" i="1"/>
  <c r="BY2" i="1"/>
  <c r="BZ2" i="1"/>
  <c r="CA2" i="1"/>
  <c r="CB2" i="1"/>
  <c r="CC2" i="1"/>
  <c r="CD2" i="1"/>
  <c r="CE2" i="1"/>
  <c r="CF2" i="1"/>
  <c r="CG2" i="1"/>
  <c r="CH2" i="1"/>
  <c r="CI2" i="1"/>
  <c r="CJ2" i="1"/>
  <c r="CK2" i="1"/>
  <c r="CL2" i="1"/>
  <c r="CM2" i="1"/>
  <c r="CN2" i="1"/>
  <c r="CO2" i="1"/>
  <c r="CP2" i="1"/>
  <c r="CQ2" i="1"/>
  <c r="CR2" i="1"/>
  <c r="CS2" i="1"/>
  <c r="CT2" i="1"/>
  <c r="CU2" i="1"/>
  <c r="CV2" i="1"/>
  <c r="CW2" i="1"/>
  <c r="CX2" i="1"/>
  <c r="CY2" i="1"/>
  <c r="CZ2" i="1"/>
  <c r="DA2" i="1"/>
  <c r="DB2" i="1"/>
  <c r="DC2" i="1"/>
  <c r="DD2" i="1"/>
  <c r="DE2" i="1"/>
  <c r="DF2" i="1"/>
  <c r="DG2" i="1"/>
  <c r="DH2" i="1"/>
  <c r="DI2" i="1"/>
  <c r="DJ2" i="1"/>
  <c r="DK2" i="1"/>
  <c r="DL2" i="1"/>
  <c r="DM2" i="1"/>
  <c r="DN2" i="1"/>
  <c r="DO2" i="1"/>
  <c r="DP2" i="1"/>
  <c r="DQ2" i="1"/>
  <c r="DR2" i="1"/>
  <c r="DS2" i="1"/>
  <c r="DT2" i="1"/>
  <c r="DU2" i="1"/>
  <c r="DV2" i="1"/>
  <c r="DW2" i="1"/>
  <c r="DX2" i="1"/>
  <c r="DY2" i="1"/>
  <c r="DZ2" i="1"/>
  <c r="EA2" i="1"/>
  <c r="EB2" i="1"/>
  <c r="EC2" i="1"/>
  <c r="ED2" i="1"/>
  <c r="EE2" i="1"/>
  <c r="EF2" i="1"/>
  <c r="EG2" i="1"/>
  <c r="EH2" i="1"/>
  <c r="EI2" i="1"/>
  <c r="EJ2" i="1"/>
  <c r="EK2" i="1"/>
  <c r="EL2" i="1"/>
  <c r="EM2" i="1"/>
  <c r="EN2" i="1"/>
  <c r="EO2" i="1"/>
  <c r="EP2" i="1"/>
  <c r="EQ2" i="1"/>
  <c r="ER2" i="1"/>
  <c r="ES2" i="1"/>
  <c r="ET2" i="1"/>
  <c r="EU2" i="1"/>
  <c r="EV2" i="1"/>
  <c r="EW2" i="1"/>
  <c r="EX2" i="1"/>
  <c r="EY2" i="1"/>
  <c r="EZ2" i="1"/>
  <c r="FA2" i="1"/>
  <c r="FB2" i="1"/>
  <c r="FC2" i="1"/>
  <c r="FD2" i="1"/>
  <c r="FE2" i="1"/>
  <c r="FF2" i="1"/>
  <c r="FG2" i="1"/>
  <c r="FH2" i="1"/>
  <c r="FI2" i="1"/>
  <c r="FJ2" i="1"/>
  <c r="FK2" i="1"/>
  <c r="FL2" i="1"/>
  <c r="FM2" i="1"/>
  <c r="FN2" i="1"/>
  <c r="FO2" i="1"/>
  <c r="FP2" i="1"/>
  <c r="FQ2" i="1"/>
  <c r="FR2" i="1"/>
  <c r="FS2" i="1"/>
  <c r="FT2" i="1"/>
  <c r="FU2" i="1"/>
  <c r="FV2" i="1"/>
  <c r="FW2" i="1"/>
  <c r="FX2" i="1"/>
  <c r="FY2" i="1"/>
  <c r="FZ2" i="1"/>
  <c r="GA2" i="1"/>
  <c r="GB2" i="1"/>
  <c r="GC2" i="1"/>
  <c r="GD2" i="1"/>
  <c r="GE2" i="1"/>
  <c r="GF2" i="1"/>
  <c r="GG2" i="1"/>
  <c r="GH2" i="1"/>
  <c r="GI2" i="1"/>
  <c r="GJ2" i="1"/>
  <c r="GK2" i="1"/>
  <c r="GL2" i="1"/>
  <c r="GM2" i="1"/>
  <c r="GN2" i="1"/>
  <c r="GO2" i="1"/>
  <c r="GP2" i="1"/>
  <c r="GQ2" i="1"/>
  <c r="GR2" i="1"/>
  <c r="GS2" i="1"/>
  <c r="GT2" i="1"/>
  <c r="GU2" i="1"/>
  <c r="GV2" i="1"/>
  <c r="GW2" i="1"/>
  <c r="GX2" i="1"/>
  <c r="GY2" i="1"/>
  <c r="GZ2" i="1"/>
  <c r="HA2" i="1"/>
  <c r="HB2" i="1"/>
  <c r="HC2" i="1"/>
  <c r="HD2" i="1"/>
  <c r="HE2" i="1"/>
  <c r="HF2" i="1"/>
  <c r="HG2" i="1"/>
  <c r="HH2" i="1"/>
  <c r="HI2" i="1"/>
  <c r="HJ2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L3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BM3" i="1"/>
  <c r="BN3" i="1"/>
  <c r="BO3" i="1"/>
  <c r="BP3" i="1"/>
  <c r="BQ3" i="1"/>
  <c r="BR3" i="1"/>
  <c r="BS3" i="1"/>
  <c r="BT3" i="1"/>
  <c r="BU3" i="1"/>
  <c r="BV3" i="1"/>
  <c r="BW3" i="1"/>
  <c r="BX3" i="1"/>
  <c r="BY3" i="1"/>
  <c r="BZ3" i="1"/>
  <c r="CA3" i="1"/>
  <c r="CB3" i="1"/>
  <c r="CC3" i="1"/>
  <c r="CD3" i="1"/>
  <c r="CE3" i="1"/>
  <c r="CF3" i="1"/>
  <c r="CG3" i="1"/>
  <c r="CH3" i="1"/>
  <c r="CI3" i="1"/>
  <c r="CJ3" i="1"/>
  <c r="CK3" i="1"/>
  <c r="CL3" i="1"/>
  <c r="CM3" i="1"/>
  <c r="CN3" i="1"/>
  <c r="CO3" i="1"/>
  <c r="CP3" i="1"/>
  <c r="CQ3" i="1"/>
  <c r="CR3" i="1"/>
  <c r="CS3" i="1"/>
  <c r="CT3" i="1"/>
  <c r="CU3" i="1"/>
  <c r="CV3" i="1"/>
  <c r="CW3" i="1"/>
  <c r="CX3" i="1"/>
  <c r="CY3" i="1"/>
  <c r="CZ3" i="1"/>
  <c r="DA3" i="1"/>
  <c r="DB3" i="1"/>
  <c r="DC3" i="1"/>
  <c r="DD3" i="1"/>
  <c r="DE3" i="1"/>
  <c r="DF3" i="1"/>
  <c r="DG3" i="1"/>
  <c r="DH3" i="1"/>
  <c r="DI3" i="1"/>
  <c r="DJ3" i="1"/>
  <c r="DK3" i="1"/>
  <c r="DL3" i="1"/>
  <c r="DM3" i="1"/>
  <c r="DN3" i="1"/>
  <c r="DO3" i="1"/>
  <c r="DP3" i="1"/>
  <c r="DQ3" i="1"/>
  <c r="DR3" i="1"/>
  <c r="DS3" i="1"/>
  <c r="DT3" i="1"/>
  <c r="DU3" i="1"/>
  <c r="DV3" i="1"/>
  <c r="DW3" i="1"/>
  <c r="DX3" i="1"/>
  <c r="DY3" i="1"/>
  <c r="DZ3" i="1"/>
  <c r="EA3" i="1"/>
  <c r="EB3" i="1"/>
  <c r="EC3" i="1"/>
  <c r="ED3" i="1"/>
  <c r="EE3" i="1"/>
  <c r="EF3" i="1"/>
  <c r="EG3" i="1"/>
  <c r="EH3" i="1"/>
  <c r="EI3" i="1"/>
  <c r="EJ3" i="1"/>
  <c r="EK3" i="1"/>
  <c r="EL3" i="1"/>
  <c r="EM3" i="1"/>
  <c r="EN3" i="1"/>
  <c r="EO3" i="1"/>
  <c r="EP3" i="1"/>
  <c r="EQ3" i="1"/>
  <c r="ER3" i="1"/>
  <c r="ES3" i="1"/>
  <c r="ET3" i="1"/>
  <c r="EU3" i="1"/>
  <c r="EV3" i="1"/>
  <c r="EW3" i="1"/>
  <c r="EX3" i="1"/>
  <c r="EY3" i="1"/>
  <c r="EZ3" i="1"/>
  <c r="FA3" i="1"/>
  <c r="FB3" i="1"/>
  <c r="FC3" i="1"/>
  <c r="FD3" i="1"/>
  <c r="FE3" i="1"/>
  <c r="FF3" i="1"/>
  <c r="FG3" i="1"/>
  <c r="FH3" i="1"/>
  <c r="FI3" i="1"/>
  <c r="FJ3" i="1"/>
  <c r="FK3" i="1"/>
  <c r="FL3" i="1"/>
  <c r="FM3" i="1"/>
  <c r="FN3" i="1"/>
  <c r="FO3" i="1"/>
  <c r="FP3" i="1"/>
  <c r="FQ3" i="1"/>
  <c r="FR3" i="1"/>
  <c r="FS3" i="1"/>
  <c r="FT3" i="1"/>
  <c r="FU3" i="1"/>
  <c r="FV3" i="1"/>
  <c r="FW3" i="1"/>
  <c r="FX3" i="1"/>
  <c r="FY3" i="1"/>
  <c r="FZ3" i="1"/>
  <c r="GA3" i="1"/>
  <c r="GB3" i="1"/>
  <c r="GC3" i="1"/>
  <c r="GD3" i="1"/>
  <c r="GE3" i="1"/>
  <c r="GF3" i="1"/>
  <c r="GG3" i="1"/>
  <c r="GH3" i="1"/>
  <c r="GI3" i="1"/>
  <c r="GJ3" i="1"/>
  <c r="GK3" i="1"/>
  <c r="GL3" i="1"/>
  <c r="GM3" i="1"/>
  <c r="GN3" i="1"/>
  <c r="GO3" i="1"/>
  <c r="GP3" i="1"/>
  <c r="GQ3" i="1"/>
  <c r="GR3" i="1"/>
  <c r="GS3" i="1"/>
  <c r="GT3" i="1"/>
  <c r="GU3" i="1"/>
  <c r="GV3" i="1"/>
  <c r="GW3" i="1"/>
  <c r="GX3" i="1"/>
  <c r="GY3" i="1"/>
  <c r="GZ3" i="1"/>
  <c r="HA3" i="1"/>
  <c r="HB3" i="1"/>
  <c r="HC3" i="1"/>
  <c r="HD3" i="1"/>
  <c r="HE3" i="1"/>
  <c r="HF3" i="1"/>
  <c r="HG3" i="1"/>
  <c r="HH3" i="1"/>
  <c r="HI3" i="1"/>
  <c r="HJ3" i="1"/>
  <c r="K3" i="1"/>
  <c r="K2" i="1"/>
  <c r="F1" i="1"/>
  <c r="K1" i="1"/>
</calcChain>
</file>

<file path=xl/sharedStrings.xml><?xml version="1.0" encoding="utf-8"?>
<sst xmlns="http://schemas.openxmlformats.org/spreadsheetml/2006/main" count="18444" uniqueCount="3205">
  <si>
    <t>Company Name</t>
  </si>
  <si>
    <t>Stock Ticker</t>
  </si>
  <si>
    <t>Exchange</t>
  </si>
  <si>
    <t>Market Cap</t>
  </si>
  <si>
    <t>Price</t>
  </si>
  <si>
    <t>AGIQ</t>
  </si>
  <si>
    <t>AGIX</t>
  </si>
  <si>
    <t>AIEQ</t>
  </si>
  <si>
    <t>AIFD</t>
  </si>
  <si>
    <t>AINT</t>
  </si>
  <si>
    <t>AIPI</t>
  </si>
  <si>
    <t>AIPO</t>
  </si>
  <si>
    <t>AIQ</t>
  </si>
  <si>
    <t>AIQU</t>
  </si>
  <si>
    <t>AIRR</t>
  </si>
  <si>
    <t>AIS</t>
  </si>
  <si>
    <t>AIUP</t>
  </si>
  <si>
    <t>AIVC</t>
  </si>
  <si>
    <t>AIVI</t>
  </si>
  <si>
    <t>AIVL</t>
  </si>
  <si>
    <t>AIYY</t>
  </si>
  <si>
    <t>ALAI</t>
  </si>
  <si>
    <t>AMOM</t>
  </si>
  <si>
    <t>ARKQ</t>
  </si>
  <si>
    <t>ARKW</t>
  </si>
  <si>
    <t>ARKX</t>
  </si>
  <si>
    <t>ARTY</t>
  </si>
  <si>
    <t>BAI</t>
  </si>
  <si>
    <t>BAIV</t>
  </si>
  <si>
    <t>BILD</t>
  </si>
  <si>
    <t>BLDX</t>
  </si>
  <si>
    <t>BOTT</t>
  </si>
  <si>
    <t>BOTZ</t>
  </si>
  <si>
    <t>BUG</t>
  </si>
  <si>
    <t>BULD</t>
  </si>
  <si>
    <t>BUZZ</t>
  </si>
  <si>
    <t>CABZ</t>
  </si>
  <si>
    <t>CHAT</t>
  </si>
  <si>
    <t>CHPS</t>
  </si>
  <si>
    <t>CHPX</t>
  </si>
  <si>
    <t>CHPY</t>
  </si>
  <si>
    <t>CIBR</t>
  </si>
  <si>
    <t>CLOD</t>
  </si>
  <si>
    <t>CLOU</t>
  </si>
  <si>
    <t>CORD</t>
  </si>
  <si>
    <t>CSIO</t>
  </si>
  <si>
    <t>DIPR</t>
  </si>
  <si>
    <t>DRAI</t>
  </si>
  <si>
    <t>DRAM</t>
  </si>
  <si>
    <t>DRGN</t>
  </si>
  <si>
    <t>DRIV</t>
  </si>
  <si>
    <t>DTCR</t>
  </si>
  <si>
    <t>DUTY</t>
  </si>
  <si>
    <t>EART</t>
  </si>
  <si>
    <t>EBIZ</t>
  </si>
  <si>
    <t>ECML</t>
  </si>
  <si>
    <t>EEMX</t>
  </si>
  <si>
    <t>EFAX</t>
  </si>
  <si>
    <t>EFRA</t>
  </si>
  <si>
    <t>ELFY</t>
  </si>
  <si>
    <t>EMIF</t>
  </si>
  <si>
    <t>EMLP</t>
  </si>
  <si>
    <t>EMQQ</t>
  </si>
  <si>
    <t>ENFR</t>
  </si>
  <si>
    <t>ENHU</t>
  </si>
  <si>
    <t>EPAI</t>
  </si>
  <si>
    <t>EXEQ</t>
  </si>
  <si>
    <t>EXI</t>
  </si>
  <si>
    <t>FAI</t>
  </si>
  <si>
    <t>FAN</t>
  </si>
  <si>
    <t>FBOT</t>
  </si>
  <si>
    <t>FDN</t>
  </si>
  <si>
    <t>FDNI</t>
  </si>
  <si>
    <t>FDTX</t>
  </si>
  <si>
    <t>FENY</t>
  </si>
  <si>
    <t>FMAT</t>
  </si>
  <si>
    <t>FMQQ</t>
  </si>
  <si>
    <t>FTEC</t>
  </si>
  <si>
    <t>FTXL</t>
  </si>
  <si>
    <t>FTXN</t>
  </si>
  <si>
    <t>FXR</t>
  </si>
  <si>
    <t>FXZ</t>
  </si>
  <si>
    <t>GCAD</t>
  </si>
  <si>
    <t>GII</t>
  </si>
  <si>
    <t>GLIX</t>
  </si>
  <si>
    <t>GPT</t>
  </si>
  <si>
    <t>GPTY</t>
  </si>
  <si>
    <t>GROZ</t>
  </si>
  <si>
    <t>GXPE</t>
  </si>
  <si>
    <t>HACK</t>
  </si>
  <si>
    <t>HAKY</t>
  </si>
  <si>
    <t>HEAL</t>
  </si>
  <si>
    <t>HTEC</t>
  </si>
  <si>
    <t>HUMN</t>
  </si>
  <si>
    <t>HVAC</t>
  </si>
  <si>
    <t>HWAY</t>
  </si>
  <si>
    <t>HYDR</t>
  </si>
  <si>
    <t>IBAT</t>
  </si>
  <si>
    <t>IBOT</t>
  </si>
  <si>
    <t>IBUY</t>
  </si>
  <si>
    <t>ICLN</t>
  </si>
  <si>
    <t>IDAT</t>
  </si>
  <si>
    <t>IDEF</t>
  </si>
  <si>
    <t>IDGT</t>
  </si>
  <si>
    <t>IEDI</t>
  </si>
  <si>
    <t>IETC</t>
  </si>
  <si>
    <t>IGF</t>
  </si>
  <si>
    <t>IGPT</t>
  </si>
  <si>
    <t>IHAK</t>
  </si>
  <si>
    <t>INQQ</t>
  </si>
  <si>
    <t>ISHP</t>
  </si>
  <si>
    <t>IVEP</t>
  </si>
  <si>
    <t>IVES</t>
  </si>
  <si>
    <t>IYM</t>
  </si>
  <si>
    <t>JHAI</t>
  </si>
  <si>
    <t>JXX</t>
  </si>
  <si>
    <t>KCAI</t>
  </si>
  <si>
    <t>KDEF</t>
  </si>
  <si>
    <t>KGRN</t>
  </si>
  <si>
    <t>KMCA</t>
  </si>
  <si>
    <t>KOID</t>
  </si>
  <si>
    <t>KOMP</t>
  </si>
  <si>
    <t>KWEB</t>
  </si>
  <si>
    <t>LIVR</t>
  </si>
  <si>
    <t>LQAI</t>
  </si>
  <si>
    <t>LRNZ</t>
  </si>
  <si>
    <t>MADE</t>
  </si>
  <si>
    <t>MARS</t>
  </si>
  <si>
    <t>MISL</t>
  </si>
  <si>
    <t>MLPD</t>
  </si>
  <si>
    <t>MLPX</t>
  </si>
  <si>
    <t>MXI</t>
  </si>
  <si>
    <t>NASA</t>
  </si>
  <si>
    <t>NATO</t>
  </si>
  <si>
    <t>NBET</t>
  </si>
  <si>
    <t>NDIV</t>
  </si>
  <si>
    <t>NEWZ</t>
  </si>
  <si>
    <t>NFRA</t>
  </si>
  <si>
    <t>NFRX</t>
  </si>
  <si>
    <t>NGIF</t>
  </si>
  <si>
    <t>NLR</t>
  </si>
  <si>
    <t>NSI</t>
  </si>
  <si>
    <t>NUIF</t>
  </si>
  <si>
    <t>NUKZ</t>
  </si>
  <si>
    <t>OGIG</t>
  </si>
  <si>
    <t>ORBX</t>
  </si>
  <si>
    <t>PBD</t>
  </si>
  <si>
    <t>PBOT</t>
  </si>
  <si>
    <t>PBW</t>
  </si>
  <si>
    <t>PFDE</t>
  </si>
  <si>
    <t>PKB</t>
  </si>
  <si>
    <t>PNQI</t>
  </si>
  <si>
    <t>POWR</t>
  </si>
  <si>
    <t>PPA</t>
  </si>
  <si>
    <t>PQNT</t>
  </si>
  <si>
    <t>PQUS</t>
  </si>
  <si>
    <t>PSCI</t>
  </si>
  <si>
    <t>PSCM</t>
  </si>
  <si>
    <t>PSI</t>
  </si>
  <si>
    <t>PSWD</t>
  </si>
  <si>
    <t>PXI</t>
  </si>
  <si>
    <t>PYZ</t>
  </si>
  <si>
    <t>QCLN</t>
  </si>
  <si>
    <t>QQQ</t>
  </si>
  <si>
    <t>QRFT</t>
  </si>
  <si>
    <t>QTUM</t>
  </si>
  <si>
    <t>RBLD</t>
  </si>
  <si>
    <t>RCTR</t>
  </si>
  <si>
    <t>RNRG</t>
  </si>
  <si>
    <t>ROBO</t>
  </si>
  <si>
    <t>ROBT</t>
  </si>
  <si>
    <t>ROKT</t>
  </si>
  <si>
    <t>RSHO</t>
  </si>
  <si>
    <t>RSPG</t>
  </si>
  <si>
    <t>RSPM</t>
  </si>
  <si>
    <t>RWEM</t>
  </si>
  <si>
    <t>RWLC</t>
  </si>
  <si>
    <t>SAMM</t>
  </si>
  <si>
    <t>SEMI</t>
  </si>
  <si>
    <t>SETM</t>
  </si>
  <si>
    <t>SHLD</t>
  </si>
  <si>
    <t>SHOC</t>
  </si>
  <si>
    <t>SHPP</t>
  </si>
  <si>
    <t>SKYY</t>
  </si>
  <si>
    <t>SMH</t>
  </si>
  <si>
    <t>SMHX</t>
  </si>
  <si>
    <t>SMRF</t>
  </si>
  <si>
    <t>SNSR</t>
  </si>
  <si>
    <t>SOXQ</t>
  </si>
  <si>
    <t>SOXX</t>
  </si>
  <si>
    <t>SPAM</t>
  </si>
  <si>
    <t>SPYX</t>
  </si>
  <si>
    <t>SRVR</t>
  </si>
  <si>
    <t>TAN</t>
  </si>
  <si>
    <t>TCAI</t>
  </si>
  <si>
    <t>TEKY</t>
  </si>
  <si>
    <t>THNQ</t>
  </si>
  <si>
    <t>TNUK</t>
  </si>
  <si>
    <t>TPZ</t>
  </si>
  <si>
    <t>TSSD</t>
  </si>
  <si>
    <t>UFO</t>
  </si>
  <si>
    <t>UPGR</t>
  </si>
  <si>
    <t>URA</t>
  </si>
  <si>
    <t>URNJ</t>
  </si>
  <si>
    <t>URNM</t>
  </si>
  <si>
    <t>USAI</t>
  </si>
  <si>
    <t>USNG</t>
  </si>
  <si>
    <t>VAW</t>
  </si>
  <si>
    <t>VCLN</t>
  </si>
  <si>
    <t>VEM</t>
  </si>
  <si>
    <t>VGT</t>
  </si>
  <si>
    <t>VIS</t>
  </si>
  <si>
    <t>VLUE</t>
  </si>
  <si>
    <t>VPN</t>
  </si>
  <si>
    <t>WAR</t>
  </si>
  <si>
    <t>WARP</t>
  </si>
  <si>
    <t>WCBR</t>
  </si>
  <si>
    <t>WCLD</t>
  </si>
  <si>
    <t>WDAF</t>
  </si>
  <si>
    <t>WDEF</t>
  </si>
  <si>
    <t>WDGF</t>
  </si>
  <si>
    <t>WEPN</t>
  </si>
  <si>
    <t>WISE</t>
  </si>
  <si>
    <t>WTAI</t>
  </si>
  <si>
    <t>XAIX</t>
  </si>
  <si>
    <t>XAR</t>
  </si>
  <si>
    <t>XDAT</t>
  </si>
  <si>
    <t>XDEF</t>
  </si>
  <si>
    <t>XLB</t>
  </si>
  <si>
    <t>XLI</t>
  </si>
  <si>
    <t>XLK</t>
  </si>
  <si>
    <t>XSD</t>
  </si>
  <si>
    <t>XTL</t>
  </si>
  <si>
    <t>ETF_Count</t>
  </si>
  <si>
    <t>Total_Weight_Across_ETFs</t>
  </si>
  <si>
    <t>Error</t>
  </si>
  <si>
    <t>$47.4200</t>
  </si>
  <si>
    <t>$49.5400</t>
  </si>
  <si>
    <t>$55.1100</t>
  </si>
  <si>
    <t>$37.5600</t>
  </si>
  <si>
    <t>$34.0000</t>
  </si>
  <si>
    <t>$66.3300</t>
  </si>
  <si>
    <t>$130.9100</t>
  </si>
  <si>
    <t>$84.7200</t>
  </si>
  <si>
    <t>$26.9400</t>
  </si>
  <si>
    <t>$117.6300</t>
  </si>
  <si>
    <t>$58.0000</t>
  </si>
  <si>
    <t>$128.9600</t>
  </si>
  <si>
    <t>$9.2700</t>
  </si>
  <si>
    <t>$46.5600</t>
  </si>
  <si>
    <t>$62.9600</t>
  </si>
  <si>
    <t>$133.1200</t>
  </si>
  <si>
    <t>$146.2700</t>
  </si>
  <si>
    <t>$34.6200</t>
  </si>
  <si>
    <t>$78.8700</t>
  </si>
  <si>
    <t>$53.1800</t>
  </si>
  <si>
    <t>$25.5000</t>
  </si>
  <si>
    <t>$30.1100</t>
  </si>
  <si>
    <t>$25.9300</t>
  </si>
  <si>
    <t>$52.0700</t>
  </si>
  <si>
    <t>$38.3200</t>
  </si>
  <si>
    <t>$33.9500</t>
  </si>
  <si>
    <t>$36.9200</t>
  </si>
  <si>
    <t>$38.0500</t>
  </si>
  <si>
    <t>$23.2700</t>
  </si>
  <si>
    <t>$101.6500</t>
  </si>
  <si>
    <t>$102.6500</t>
  </si>
  <si>
    <t>$108.9100</t>
  </si>
  <si>
    <t>$87.3600</t>
  </si>
  <si>
    <t>$84.6600</t>
  </si>
  <si>
    <t>$30.3400</t>
  </si>
  <si>
    <t>$21.7900</t>
  </si>
  <si>
    <t>$4.0400</t>
  </si>
  <si>
    <t>$26.4700</t>
  </si>
  <si>
    <t>$34.7900</t>
  </si>
  <si>
    <t>$75.2500</t>
  </si>
  <si>
    <t>$37.9100</t>
  </si>
  <si>
    <t>$40.1500</t>
  </si>
  <si>
    <t>$31.8000</t>
  </si>
  <si>
    <t>$25.2100</t>
  </si>
  <si>
    <t>$31.6900</t>
  </si>
  <si>
    <t>$27.6300</t>
  </si>
  <si>
    <t>$38.2200</t>
  </si>
  <si>
    <t>$55.3300</t>
  </si>
  <si>
    <t>$54.3200</t>
  </si>
  <si>
    <t>$34.8800</t>
  </si>
  <si>
    <t>$44.7900</t>
  </si>
  <si>
    <t>$26.6800</t>
  </si>
  <si>
    <t>$42.9200</t>
  </si>
  <si>
    <t>$31.7500</t>
  </si>
  <si>
    <t>$37.5200</t>
  </si>
  <si>
    <t>$27.8900</t>
  </si>
  <si>
    <t>$30.3700</t>
  </si>
  <si>
    <t>$198.6300</t>
  </si>
  <si>
    <t>$54.9500</t>
  </si>
  <si>
    <t>$24.8200</t>
  </si>
  <si>
    <t>$39.0000</t>
  </si>
  <si>
    <t>$265.6500</t>
  </si>
  <si>
    <t>$26.2200</t>
  </si>
  <si>
    <t>$57.7600</t>
  </si>
  <si>
    <t>$29.6600</t>
  </si>
  <si>
    <t>$59.6900</t>
  </si>
  <si>
    <t>$11.7200</t>
  </si>
  <si>
    <t>$286.7100</t>
  </si>
  <si>
    <t>$289.1300</t>
  </si>
  <si>
    <t>$33.6000</t>
  </si>
  <si>
    <t>$88.7100</t>
  </si>
  <si>
    <t>$82.7000</t>
  </si>
  <si>
    <t>$55.5700</t>
  </si>
  <si>
    <t>$75.7100</t>
  </si>
  <si>
    <t>$27.1800</t>
  </si>
  <si>
    <t>$47.2800</t>
  </si>
  <si>
    <t>$31.9700</t>
  </si>
  <si>
    <t>$31.4400</t>
  </si>
  <si>
    <t>$96.0800</t>
  </si>
  <si>
    <t>$27.6400</t>
  </si>
  <si>
    <t>$26.1300</t>
  </si>
  <si>
    <t>$35.1300</t>
  </si>
  <si>
    <t>$36.1100</t>
  </si>
  <si>
    <t>$42.0400</t>
  </si>
  <si>
    <t>$38.8500</t>
  </si>
  <si>
    <t>$56.8500</t>
  </si>
  <si>
    <t>$46.5900</t>
  </si>
  <si>
    <t>$68.4700</t>
  </si>
  <si>
    <t>$68.7300</t>
  </si>
  <si>
    <t>$21.1300</t>
  </si>
  <si>
    <t>$36.9700</t>
  </si>
  <si>
    <t>$32.3200</t>
  </si>
  <si>
    <t>$123.9100</t>
  </si>
  <si>
    <t>$55.2300</t>
  </si>
  <si>
    <t>$109.3500</t>
  </si>
  <si>
    <t>$66.3600</t>
  </si>
  <si>
    <t>$105.8400</t>
  </si>
  <si>
    <t>$54.5800</t>
  </si>
  <si>
    <t>$12.7700</t>
  </si>
  <si>
    <t>$28.7300</t>
  </si>
  <si>
    <t>$38.0700</t>
  </si>
  <si>
    <t>$185.2400</t>
  </si>
  <si>
    <t>$36.5600</t>
  </si>
  <si>
    <t>$32.8500</t>
  </si>
  <si>
    <t>$32.2200</t>
  </si>
  <si>
    <t>$48.7800</t>
  </si>
  <si>
    <t>$24.6000</t>
  </si>
  <si>
    <t>$23.4300</t>
  </si>
  <si>
    <t>$41.8800</t>
  </si>
  <si>
    <t>$71.4400</t>
  </si>
  <si>
    <t>$25.4200</t>
  </si>
  <si>
    <t>$47.7900</t>
  </si>
  <si>
    <t>$61.0200</t>
  </si>
  <si>
    <t>$33.0400</t>
  </si>
  <si>
    <t>$46.3400</t>
  </si>
  <si>
    <t>$24.9600</t>
  </si>
  <si>
    <t>$72.2300</t>
  </si>
  <si>
    <t>$110.2300</t>
  </si>
  <si>
    <t>$40.6000</t>
  </si>
  <si>
    <t>$38.8300</t>
  </si>
  <si>
    <t>$32.7800</t>
  </si>
  <si>
    <t>$29.2200</t>
  </si>
  <si>
    <t>$64.5200</t>
  </si>
  <si>
    <t>$26.5500</t>
  </si>
  <si>
    <t>$127.3300</t>
  </si>
  <si>
    <t>$39.0300</t>
  </si>
  <si>
    <t>$71.3800</t>
  </si>
  <si>
    <t>$44.5000</t>
  </si>
  <si>
    <t>$54.1700</t>
  </si>
  <si>
    <t>$20.3500</t>
  </si>
  <si>
    <t>$41.5300</t>
  </si>
  <si>
    <t>$27.9900</t>
  </si>
  <si>
    <t>$110.3200</t>
  </si>
  <si>
    <t>$45.9000</t>
  </si>
  <si>
    <t>$175.2100</t>
  </si>
  <si>
    <t>$180.1200</t>
  </si>
  <si>
    <t>$106.6400</t>
  </si>
  <si>
    <t>$178.3700</t>
  </si>
  <si>
    <t>$37.5100</t>
  </si>
  <si>
    <t>$54.8000</t>
  </si>
  <si>
    <t>$130.2000</t>
  </si>
  <si>
    <t>$64.2600</t>
  </si>
  <si>
    <t>$740.3800</t>
  </si>
  <si>
    <t>$69.7200</t>
  </si>
  <si>
    <t>$167.6900</t>
  </si>
  <si>
    <t>$89.7400</t>
  </si>
  <si>
    <t>$35.3400</t>
  </si>
  <si>
    <t>$36.0500</t>
  </si>
  <si>
    <t>$85.4800</t>
  </si>
  <si>
    <t>$55.4300</t>
  </si>
  <si>
    <t>$117.5000</t>
  </si>
  <si>
    <t>$61.6700</t>
  </si>
  <si>
    <t>$97.2500</t>
  </si>
  <si>
    <t>$39.4600</t>
  </si>
  <si>
    <t>$32.8800</t>
  </si>
  <si>
    <t>$40.5500</t>
  </si>
  <si>
    <t>$34.3100</t>
  </si>
  <si>
    <t>$62.3900</t>
  </si>
  <si>
    <t>$122.3800</t>
  </si>
  <si>
    <t>$33.1400</t>
  </si>
  <si>
    <t>$131.8600</t>
  </si>
  <si>
    <t>$659.7300</t>
  </si>
  <si>
    <t>$66.3800</t>
  </si>
  <si>
    <t>$51.1800</t>
  </si>
  <si>
    <t>$112.9100</t>
  </si>
  <si>
    <t>$639.2800</t>
  </si>
  <si>
    <t>$38.1200</t>
  </si>
  <si>
    <t>$61.3300</t>
  </si>
  <si>
    <t>$33.4700</t>
  </si>
  <si>
    <t>$60.4200</t>
  </si>
  <si>
    <t>$56.8000</t>
  </si>
  <si>
    <t>$46.5300</t>
  </si>
  <si>
    <t>$89.1600</t>
  </si>
  <si>
    <t>$26.0800</t>
  </si>
  <si>
    <t>$21.8500</t>
  </si>
  <si>
    <t>$50.4500</t>
  </si>
  <si>
    <t>$28.0200</t>
  </si>
  <si>
    <t>$47.9600</t>
  </si>
  <si>
    <t>$26.6600</t>
  </si>
  <si>
    <t>$57.9000</t>
  </si>
  <si>
    <t>$44.6100</t>
  </si>
  <si>
    <t>$36.8600</t>
  </si>
  <si>
    <t>$234.1900</t>
  </si>
  <si>
    <t>$32.6800</t>
  </si>
  <si>
    <t>$120.1400</t>
  </si>
  <si>
    <t>$353.4300</t>
  </si>
  <si>
    <t>$200.1100</t>
  </si>
  <si>
    <t>$15.0900</t>
  </si>
  <si>
    <t>$33.6100</t>
  </si>
  <si>
    <t>$25.8900</t>
  </si>
  <si>
    <t>$32.2300</t>
  </si>
  <si>
    <t>$29.5700</t>
  </si>
  <si>
    <t>$33.5900</t>
  </si>
  <si>
    <t>$31.6400</t>
  </si>
  <si>
    <t>$40.1000</t>
  </si>
  <si>
    <t>$47.1500</t>
  </si>
  <si>
    <t>$58.2800</t>
  </si>
  <si>
    <t>$284.1300</t>
  </si>
  <si>
    <t>$24.4700</t>
  </si>
  <si>
    <t>$21.4000</t>
  </si>
  <si>
    <t>$51.8000</t>
  </si>
  <si>
    <t>$180.8900</t>
  </si>
  <si>
    <t>$191.4800</t>
  </si>
  <si>
    <t>$636.3500</t>
  </si>
  <si>
    <t>$220.8600</t>
  </si>
  <si>
    <t>NVIDIA Corp</t>
  </si>
  <si>
    <t>NVDA</t>
  </si>
  <si>
    <t>United States (NMS)</t>
  </si>
  <si>
    <t>$5.10T</t>
  </si>
  <si>
    <t>$210.69</t>
  </si>
  <si>
    <t>Micron Technology Inc</t>
  </si>
  <si>
    <t>MU</t>
  </si>
  <si>
    <t>$1.28T</t>
  </si>
  <si>
    <t>$1133.99</t>
  </si>
  <si>
    <t>Advanced Micro Devices Inc</t>
  </si>
  <si>
    <t>AMD</t>
  </si>
  <si>
    <t>$876.24B</t>
  </si>
  <si>
    <t>$537.37</t>
  </si>
  <si>
    <t>Broadcom Inc</t>
  </si>
  <si>
    <t>AVGO</t>
  </si>
  <si>
    <t>$1.96T</t>
  </si>
  <si>
    <t>$411.35</t>
  </si>
  <si>
    <t>Amazon.com Inc</t>
  </si>
  <si>
    <t>AMZN</t>
  </si>
  <si>
    <t>$2.63T</t>
  </si>
  <si>
    <t>$244.39</t>
  </si>
  <si>
    <t>Alphabet Inc Class A</t>
  </si>
  <si>
    <t>GOOGL</t>
  </si>
  <si>
    <t>$4.49T</t>
  </si>
  <si>
    <t>$368.03</t>
  </si>
  <si>
    <t>Microsoft Corp</t>
  </si>
  <si>
    <t>MSFT</t>
  </si>
  <si>
    <t>$2.82T</t>
  </si>
  <si>
    <t>$379.40</t>
  </si>
  <si>
    <t>Intel Corp</t>
  </si>
  <si>
    <t>INTC</t>
  </si>
  <si>
    <t>$673.43B</t>
  </si>
  <si>
    <t>$133.99</t>
  </si>
  <si>
    <t>Apple Inc</t>
  </si>
  <si>
    <t>AAPL</t>
  </si>
  <si>
    <t>$4.38T</t>
  </si>
  <si>
    <t>$298.01</t>
  </si>
  <si>
    <t>Palo Alto Networks Inc</t>
  </si>
  <si>
    <t>PANW</t>
  </si>
  <si>
    <t>$234.54B</t>
  </si>
  <si>
    <t>$287.78</t>
  </si>
  <si>
    <t>SK Hynix Inc</t>
  </si>
  <si>
    <t>000660.KS</t>
  </si>
  <si>
    <t>South Korea (KSC)</t>
  </si>
  <si>
    <t>₩1962.04T</t>
  </si>
  <si>
    <t>₩2764000.00</t>
  </si>
  <si>
    <t>Taiwan Semiconductor Manufacturing Co Ltd ADR</t>
  </si>
  <si>
    <t>TSM</t>
  </si>
  <si>
    <t>Unknown</t>
  </si>
  <si>
    <t>N/A</t>
  </si>
  <si>
    <t>Meta Platforms Inc Class A</t>
  </si>
  <si>
    <t>META</t>
  </si>
  <si>
    <t>$1.47T</t>
  </si>
  <si>
    <t>$577.22</t>
  </si>
  <si>
    <t>Qualcomm Inc</t>
  </si>
  <si>
    <t>QCOM</t>
  </si>
  <si>
    <t>$238.32B</t>
  </si>
  <si>
    <t>$226.11</t>
  </si>
  <si>
    <t>CrowdStrike Holdings Inc Class A</t>
  </si>
  <si>
    <t>CRWD</t>
  </si>
  <si>
    <t>$174.34B</t>
  </si>
  <si>
    <t>$684.86</t>
  </si>
  <si>
    <t>Bloom Energy Corp Class A</t>
  </si>
  <si>
    <t>BE</t>
  </si>
  <si>
    <t>United States (NYQ)</t>
  </si>
  <si>
    <t>$93.56B</t>
  </si>
  <si>
    <t>$328.91</t>
  </si>
  <si>
    <t>Marvell Technology Inc</t>
  </si>
  <si>
    <t>MRVL</t>
  </si>
  <si>
    <t>$271.70B</t>
  </si>
  <si>
    <t>$310.58</t>
  </si>
  <si>
    <t>Rocket Lab Corp</t>
  </si>
  <si>
    <t>RKLB</t>
  </si>
  <si>
    <t>$67.01B</t>
  </si>
  <si>
    <t>$107.24</t>
  </si>
  <si>
    <t>Lam Research Corp</t>
  </si>
  <si>
    <t>LRCX</t>
  </si>
  <si>
    <t>$486.52B</t>
  </si>
  <si>
    <t>$389.04</t>
  </si>
  <si>
    <t>Oracle Corp</t>
  </si>
  <si>
    <t>ORCL</t>
  </si>
  <si>
    <t>$530.03B</t>
  </si>
  <si>
    <t>$184.29</t>
  </si>
  <si>
    <t>Palantir Technologies Inc Ordinary Shares - Class A</t>
  </si>
  <si>
    <t>PLTR</t>
  </si>
  <si>
    <t>$307.98B</t>
  </si>
  <si>
    <t>$128.47</t>
  </si>
  <si>
    <t>Tesla Inc</t>
  </si>
  <si>
    <t>TSLA</t>
  </si>
  <si>
    <t>Cisco Systems Inc</t>
  </si>
  <si>
    <t>CSCO</t>
  </si>
  <si>
    <t>$471.16B</t>
  </si>
  <si>
    <t>$119.54</t>
  </si>
  <si>
    <t>Datadog Inc Class A</t>
  </si>
  <si>
    <t>DDOG</t>
  </si>
  <si>
    <t>$79.38B</t>
  </si>
  <si>
    <t>$223.00</t>
  </si>
  <si>
    <t>Williams Companies Inc</t>
  </si>
  <si>
    <t>WMB</t>
  </si>
  <si>
    <t>Alphabet Inc Class C</t>
  </si>
  <si>
    <t>GOOG</t>
  </si>
  <si>
    <t>$4.48T</t>
  </si>
  <si>
    <t>$367.46</t>
  </si>
  <si>
    <t>Boeing Co</t>
  </si>
  <si>
    <t>BA</t>
  </si>
  <si>
    <t>$175.57B</t>
  </si>
  <si>
    <t>$222.72</t>
  </si>
  <si>
    <t>Freeport-McMoRan Inc</t>
  </si>
  <si>
    <t>FCX</t>
  </si>
  <si>
    <t>$98.73B</t>
  </si>
  <si>
    <t>$68.68</t>
  </si>
  <si>
    <t>Okta Inc Class A</t>
  </si>
  <si>
    <t>OKTA</t>
  </si>
  <si>
    <t>$20.48B</t>
  </si>
  <si>
    <t>$117.81</t>
  </si>
  <si>
    <t>Vertiv Holdings Co Class A</t>
  </si>
  <si>
    <t>VRT</t>
  </si>
  <si>
    <t>GE Vernova Inc</t>
  </si>
  <si>
    <t>GEV</t>
  </si>
  <si>
    <t>$298.21B</t>
  </si>
  <si>
    <t>$1109.73</t>
  </si>
  <si>
    <t>Lockheed Martin Corp</t>
  </si>
  <si>
    <t>LMT</t>
  </si>
  <si>
    <t>$117.81B</t>
  </si>
  <si>
    <t>$510.95</t>
  </si>
  <si>
    <t>Fortinet Inc</t>
  </si>
  <si>
    <t>FTNT</t>
  </si>
  <si>
    <t>$106.04B</t>
  </si>
  <si>
    <t>$144.73</t>
  </si>
  <si>
    <t>RTX Corp</t>
  </si>
  <si>
    <t>RTX</t>
  </si>
  <si>
    <t>$249.94B</t>
  </si>
  <si>
    <t>$185.60</t>
  </si>
  <si>
    <t>Intuitive Machines Inc Ordinary Shares - Class A</t>
  </si>
  <si>
    <t>LUNR</t>
  </si>
  <si>
    <t>United States (NGM)</t>
  </si>
  <si>
    <t>$3.67B</t>
  </si>
  <si>
    <t>$22.85</t>
  </si>
  <si>
    <t>Caterpillar Inc</t>
  </si>
  <si>
    <t>CAT</t>
  </si>
  <si>
    <t>$454.06B</t>
  </si>
  <si>
    <t>$985.82</t>
  </si>
  <si>
    <t>MediaTek Inc</t>
  </si>
  <si>
    <t>2454.TW</t>
  </si>
  <si>
    <t>Taiwan (TAI)</t>
  </si>
  <si>
    <t>NT$7.01T</t>
  </si>
  <si>
    <t>NT$4390.00</t>
  </si>
  <si>
    <t>Cameco Corp</t>
  </si>
  <si>
    <t>CCO.TO</t>
  </si>
  <si>
    <t>Canada (TOR)</t>
  </si>
  <si>
    <t>C$65.80B</t>
  </si>
  <si>
    <t>C$151.07</t>
  </si>
  <si>
    <t>GE Aerospace</t>
  </si>
  <si>
    <t>GE</t>
  </si>
  <si>
    <t>$373.67B</t>
  </si>
  <si>
    <t>$357.64</t>
  </si>
  <si>
    <t>Targa Resources Corp</t>
  </si>
  <si>
    <t>TRGP</t>
  </si>
  <si>
    <t>Cloudflare Inc</t>
  </si>
  <si>
    <t>NET</t>
  </si>
  <si>
    <t>$79.53B</t>
  </si>
  <si>
    <t>$224.06</t>
  </si>
  <si>
    <t>Iridium Communications Inc</t>
  </si>
  <si>
    <t>IRDM</t>
  </si>
  <si>
    <t>$4.71B</t>
  </si>
  <si>
    <t>$44.57</t>
  </si>
  <si>
    <t>Snowflake Inc Ordinary Shares</t>
  </si>
  <si>
    <t>SNOW</t>
  </si>
  <si>
    <t>Union Pacific Corp</t>
  </si>
  <si>
    <t>UNP</t>
  </si>
  <si>
    <t>Eaton Corp PLC</t>
  </si>
  <si>
    <t>ETN</t>
  </si>
  <si>
    <t>Ireland (NYQ)</t>
  </si>
  <si>
    <t>$163.77B</t>
  </si>
  <si>
    <t>$421.77</t>
  </si>
  <si>
    <t>Nebius Group NV Shs Class-A-</t>
  </si>
  <si>
    <t>NBIS</t>
  </si>
  <si>
    <t>Netherlands (NMS)</t>
  </si>
  <si>
    <t>$72.79B</t>
  </si>
  <si>
    <t>$286.69</t>
  </si>
  <si>
    <t>Linde PLC</t>
  </si>
  <si>
    <t>LIN</t>
  </si>
  <si>
    <t>United Kingdom (NMS)</t>
  </si>
  <si>
    <t>$236.79B</t>
  </si>
  <si>
    <t>$512.15</t>
  </si>
  <si>
    <t>Samsung Electronics Co Ltd</t>
  </si>
  <si>
    <t>005930.KS</t>
  </si>
  <si>
    <t>₩2324.56T</t>
  </si>
  <si>
    <t>₩354000.00</t>
  </si>
  <si>
    <t>Planet Labs PBC Class A</t>
  </si>
  <si>
    <t>PL</t>
  </si>
  <si>
    <t>$10.06B</t>
  </si>
  <si>
    <t>$28.23</t>
  </si>
  <si>
    <t>Enbridge Inc</t>
  </si>
  <si>
    <t>ENB.TO</t>
  </si>
  <si>
    <t>C$169.17B</t>
  </si>
  <si>
    <t>C$77.47</t>
  </si>
  <si>
    <t>Energy Transfer LP</t>
  </si>
  <si>
    <t>ET</t>
  </si>
  <si>
    <t>$64.52B</t>
  </si>
  <si>
    <t>$18.75</t>
  </si>
  <si>
    <t>First Solar Inc</t>
  </si>
  <si>
    <t>FSLR</t>
  </si>
  <si>
    <t>$27.69B</t>
  </si>
  <si>
    <t>$257.70</t>
  </si>
  <si>
    <t>AST SpaceMobile Inc Ordinary Shares - Class A</t>
  </si>
  <si>
    <t>ASTS</t>
  </si>
  <si>
    <t>$31.31B</t>
  </si>
  <si>
    <t>$80.66</t>
  </si>
  <si>
    <t>ASML Holding NV ADR</t>
  </si>
  <si>
    <t>ASML</t>
  </si>
  <si>
    <t>$743.73B</t>
  </si>
  <si>
    <t>$1929.68</t>
  </si>
  <si>
    <t>Rubrik Inc Class A Shares</t>
  </si>
  <si>
    <t>RBRK</t>
  </si>
  <si>
    <t>$14.45B</t>
  </si>
  <si>
    <t>$70.22</t>
  </si>
  <si>
    <t>Akamai Technologies Inc</t>
  </si>
  <si>
    <t>AKAM</t>
  </si>
  <si>
    <t>$18.16B</t>
  </si>
  <si>
    <t>$124.91</t>
  </si>
  <si>
    <t>Nucor Corp</t>
  </si>
  <si>
    <t>NUE</t>
  </si>
  <si>
    <t>$55.53B</t>
  </si>
  <si>
    <t>$243.83</t>
  </si>
  <si>
    <t>CRH PLC</t>
  </si>
  <si>
    <t>CRH</t>
  </si>
  <si>
    <t>$74.33B</t>
  </si>
  <si>
    <t>$111.24</t>
  </si>
  <si>
    <t>Texas Instruments Inc</t>
  </si>
  <si>
    <t>TXN</t>
  </si>
  <si>
    <t>Seagate Technology Holdings PLC</t>
  </si>
  <si>
    <t>STX</t>
  </si>
  <si>
    <t>Deere &amp; Co</t>
  </si>
  <si>
    <t>DE</t>
  </si>
  <si>
    <t>$159.06B</t>
  </si>
  <si>
    <t>$589.24</t>
  </si>
  <si>
    <t>Astera Labs Inc</t>
  </si>
  <si>
    <t>ALAB</t>
  </si>
  <si>
    <t>$71.49B</t>
  </si>
  <si>
    <t>$417.07</t>
  </si>
  <si>
    <t>Taiwan Semiconductor Manufacturing Co Ltd</t>
  </si>
  <si>
    <t>2330.TW</t>
  </si>
  <si>
    <t>NT$62.50T</t>
  </si>
  <si>
    <t>NT$2410.00</t>
  </si>
  <si>
    <t>TC Energy Corp</t>
  </si>
  <si>
    <t>TRP.TO</t>
  </si>
  <si>
    <t>ARM Holdings PLC ADR</t>
  </si>
  <si>
    <t>ARM</t>
  </si>
  <si>
    <t>$469.38B</t>
  </si>
  <si>
    <t>$439.46</t>
  </si>
  <si>
    <t>General Dynamics Corp</t>
  </si>
  <si>
    <t>GD</t>
  </si>
  <si>
    <t>$94.65B</t>
  </si>
  <si>
    <t>$350.01</t>
  </si>
  <si>
    <t>Viasat Inc</t>
  </si>
  <si>
    <t>VSAT</t>
  </si>
  <si>
    <t>Quanta Services Inc</t>
  </si>
  <si>
    <t>PWR</t>
  </si>
  <si>
    <t>$105.38B</t>
  </si>
  <si>
    <t>$702.25</t>
  </si>
  <si>
    <t>Steel Dynamics Inc</t>
  </si>
  <si>
    <t>STLD</t>
  </si>
  <si>
    <t>F5 Inc</t>
  </si>
  <si>
    <t>FFIV</t>
  </si>
  <si>
    <t>$21.75B</t>
  </si>
  <si>
    <t>$385.49</t>
  </si>
  <si>
    <t>Honeywell International Inc</t>
  </si>
  <si>
    <t>HON</t>
  </si>
  <si>
    <t>$145.11B</t>
  </si>
  <si>
    <t>$229.01</t>
  </si>
  <si>
    <t>KLA Corp</t>
  </si>
  <si>
    <t>KLAC</t>
  </si>
  <si>
    <t>$339.06B</t>
  </si>
  <si>
    <t>$259.56</t>
  </si>
  <si>
    <t>NextEra Energy Inc</t>
  </si>
  <si>
    <t>NEE</t>
  </si>
  <si>
    <t>$180.93B</t>
  </si>
  <si>
    <t>$86.75</t>
  </si>
  <si>
    <t>Equinix Inc</t>
  </si>
  <si>
    <t>EQIX</t>
  </si>
  <si>
    <t>$107.72B</t>
  </si>
  <si>
    <t>$1092.19</t>
  </si>
  <si>
    <t>Chevron Corp</t>
  </si>
  <si>
    <t>CVX</t>
  </si>
  <si>
    <t>$345.80B</t>
  </si>
  <si>
    <t>$173.63</t>
  </si>
  <si>
    <t>American Tower Corp</t>
  </si>
  <si>
    <t>AMT</t>
  </si>
  <si>
    <t>$82.02B</t>
  </si>
  <si>
    <t>$176.05</t>
  </si>
  <si>
    <t>Digital Realty Trust Inc</t>
  </si>
  <si>
    <t>DLR</t>
  </si>
  <si>
    <t>$67.30B</t>
  </si>
  <si>
    <t>$188.15</t>
  </si>
  <si>
    <t>Newmont Corp</t>
  </si>
  <si>
    <t>NEM</t>
  </si>
  <si>
    <t>$110.80B</t>
  </si>
  <si>
    <t>$103.79</t>
  </si>
  <si>
    <t>Nextpower Inc Class A</t>
  </si>
  <si>
    <t>NXT</t>
  </si>
  <si>
    <t>$19.16B</t>
  </si>
  <si>
    <t>$125.90</t>
  </si>
  <si>
    <t>L3Harris Technologies Inc</t>
  </si>
  <si>
    <t>LHX</t>
  </si>
  <si>
    <t>$54.92B</t>
  </si>
  <si>
    <t>$294.82</t>
  </si>
  <si>
    <t>Northrop Grumman Corp</t>
  </si>
  <si>
    <t>NOC</t>
  </si>
  <si>
    <t>$74.07B</t>
  </si>
  <si>
    <t>$521.50</t>
  </si>
  <si>
    <t>Rolls-Royce Holdings PLC</t>
  </si>
  <si>
    <t>RR.L</t>
  </si>
  <si>
    <t>United Kingdom (LSE)</t>
  </si>
  <si>
    <t>£116.71B</t>
  </si>
  <si>
    <t>£1408.20</t>
  </si>
  <si>
    <t>Redwire Corp</t>
  </si>
  <si>
    <t>RDW</t>
  </si>
  <si>
    <t>$2.85B</t>
  </si>
  <si>
    <t>$14.35</t>
  </si>
  <si>
    <t>Cheniere Energy Inc</t>
  </si>
  <si>
    <t>LNG</t>
  </si>
  <si>
    <t>$47.57B</t>
  </si>
  <si>
    <t>$227.03</t>
  </si>
  <si>
    <t>Teradyne Inc</t>
  </si>
  <si>
    <t>TER</t>
  </si>
  <si>
    <t>Dell Technologies Inc Ordinary Shares - Class C</t>
  </si>
  <si>
    <t>DELL</t>
  </si>
  <si>
    <t>$264.60B</t>
  </si>
  <si>
    <t>$409.50</t>
  </si>
  <si>
    <t>Applied Materials Inc</t>
  </si>
  <si>
    <t>AMAT</t>
  </si>
  <si>
    <t>$489.96B</t>
  </si>
  <si>
    <t>$617.11</t>
  </si>
  <si>
    <t>Uranium Energy Corp</t>
  </si>
  <si>
    <t>UEC</t>
  </si>
  <si>
    <t>Constellation Energy Corp</t>
  </si>
  <si>
    <t>CEG</t>
  </si>
  <si>
    <t>$97.87B</t>
  </si>
  <si>
    <t>$274.06</t>
  </si>
  <si>
    <t>Nextdc Ltd</t>
  </si>
  <si>
    <t>NXT.AX</t>
  </si>
  <si>
    <t>Australia (ASX)</t>
  </si>
  <si>
    <t>A$10.97B</t>
  </si>
  <si>
    <t>A$15.18</t>
  </si>
  <si>
    <t>Comfort Systems USA Inc</t>
  </si>
  <si>
    <t>FIX</t>
  </si>
  <si>
    <t>$69.22B</t>
  </si>
  <si>
    <t>$1967.41</t>
  </si>
  <si>
    <t>Plug Power Inc</t>
  </si>
  <si>
    <t>PLUG</t>
  </si>
  <si>
    <t>United States (NCM)</t>
  </si>
  <si>
    <t>$3.98B</t>
  </si>
  <si>
    <t>$2.85</t>
  </si>
  <si>
    <t>Marathon Petroleum Corp</t>
  </si>
  <si>
    <t>MPC</t>
  </si>
  <si>
    <t>$70.91B</t>
  </si>
  <si>
    <t>$242.91</t>
  </si>
  <si>
    <t>Super Micro Computer Inc</t>
  </si>
  <si>
    <t>SMCI</t>
  </si>
  <si>
    <t>Ciena Corp</t>
  </si>
  <si>
    <t>CIEN</t>
  </si>
  <si>
    <t>$60.62B</t>
  </si>
  <si>
    <t>$428.22</t>
  </si>
  <si>
    <t>ON Semiconductor Corp</t>
  </si>
  <si>
    <t>ON</t>
  </si>
  <si>
    <t>$47.29B</t>
  </si>
  <si>
    <t>$121.62</t>
  </si>
  <si>
    <t>Air Products and Chemicals Inc</t>
  </si>
  <si>
    <t>APD</t>
  </si>
  <si>
    <t>$62.40B</t>
  </si>
  <si>
    <t>$280.21</t>
  </si>
  <si>
    <t>Vulcan Materials Co</t>
  </si>
  <si>
    <t>VMC</t>
  </si>
  <si>
    <t>Arista Networks Inc</t>
  </si>
  <si>
    <t>ANET</t>
  </si>
  <si>
    <t>$213.64B</t>
  </si>
  <si>
    <t>$169.67</t>
  </si>
  <si>
    <t>Iberdrola SA</t>
  </si>
  <si>
    <t>IBE.MC</t>
  </si>
  <si>
    <t>Spain (MCE)</t>
  </si>
  <si>
    <t>€137.28B</t>
  </si>
  <si>
    <t>€20.83</t>
  </si>
  <si>
    <t>Infineon Technologies AG</t>
  </si>
  <si>
    <t>IFX.DE</t>
  </si>
  <si>
    <t>Germany (GER)</t>
  </si>
  <si>
    <t>€106.52B</t>
  </si>
  <si>
    <t>€81.97</t>
  </si>
  <si>
    <t>Exxon Mobil Corp</t>
  </si>
  <si>
    <t>XOM</t>
  </si>
  <si>
    <t>First American Government Obligs X</t>
  </si>
  <si>
    <t>FGXXX</t>
  </si>
  <si>
    <t>NAS</t>
  </si>
  <si>
    <t>$1.00</t>
  </si>
  <si>
    <t>Enterprise Products Partners LP</t>
  </si>
  <si>
    <t>EPD</t>
  </si>
  <si>
    <t>$79.18B</t>
  </si>
  <si>
    <t>$36.60</t>
  </si>
  <si>
    <t>Paladin Energy Ltd</t>
  </si>
  <si>
    <t>PDN.AX</t>
  </si>
  <si>
    <t>A$4.50B</t>
  </si>
  <si>
    <t>A$10.02</t>
  </si>
  <si>
    <t>Alibaba Group Holding Ltd Ordinary Shares</t>
  </si>
  <si>
    <t>9988.HK</t>
  </si>
  <si>
    <t>China (HKG)</t>
  </si>
  <si>
    <t>HK$2.01T</t>
  </si>
  <si>
    <t>HK$104.90</t>
  </si>
  <si>
    <t>ABB Ltd</t>
  </si>
  <si>
    <t>ABBN.SW</t>
  </si>
  <si>
    <t>Switzerland (EBS)</t>
  </si>
  <si>
    <t>CHF 158.08B</t>
  </si>
  <si>
    <t>CHF 87.10</t>
  </si>
  <si>
    <t>Tencent Holdings Ltd</t>
  </si>
  <si>
    <t>0700.HK</t>
  </si>
  <si>
    <t>HK$3.97T</t>
  </si>
  <si>
    <t>HK$440.20</t>
  </si>
  <si>
    <t>Kinder Morgan Inc Class P</t>
  </si>
  <si>
    <t>KMI</t>
  </si>
  <si>
    <t>$70.28B</t>
  </si>
  <si>
    <t>$31.59</t>
  </si>
  <si>
    <t>Enphase Energy Inc</t>
  </si>
  <si>
    <t>ENPH</t>
  </si>
  <si>
    <t>$6.89B</t>
  </si>
  <si>
    <t>$52.28</t>
  </si>
  <si>
    <t>BAE Systems PLC</t>
  </si>
  <si>
    <t>BA.L</t>
  </si>
  <si>
    <t>£54.17B</t>
  </si>
  <si>
    <t>£1846.50</t>
  </si>
  <si>
    <t>EchoStar Corp Class A</t>
  </si>
  <si>
    <t>SATS</t>
  </si>
  <si>
    <t>DT Midstream Inc Ordinary Shares</t>
  </si>
  <si>
    <t>DTM</t>
  </si>
  <si>
    <t>$14.62B</t>
  </si>
  <si>
    <t>$143.30</t>
  </si>
  <si>
    <t>Canadian National Railway Co</t>
  </si>
  <si>
    <t>CNR.TO</t>
  </si>
  <si>
    <t>C$96.89B</t>
  </si>
  <si>
    <t>C$159.73</t>
  </si>
  <si>
    <t>DigitalOcean Holdings Inc</t>
  </si>
  <si>
    <t>DOCN</t>
  </si>
  <si>
    <t>$18.08B</t>
  </si>
  <si>
    <t>$173.27</t>
  </si>
  <si>
    <t>National Grid PLC</t>
  </si>
  <si>
    <t>NG.L</t>
  </si>
  <si>
    <t>£60.31B</t>
  </si>
  <si>
    <t>£1212.00</t>
  </si>
  <si>
    <t>ServiceNow Inc</t>
  </si>
  <si>
    <t>NOW</t>
  </si>
  <si>
    <t>$98.02B</t>
  </si>
  <si>
    <t>$95.04</t>
  </si>
  <si>
    <t>AppLovin Corp Ordinary Shares - Class A</t>
  </si>
  <si>
    <t>APP</t>
  </si>
  <si>
    <t>$157.79B</t>
  </si>
  <si>
    <t>$469.71</t>
  </si>
  <si>
    <t>SBA Communications Corp Class A</t>
  </si>
  <si>
    <t>SBAC</t>
  </si>
  <si>
    <t>SanDisk Corp Ordinary Shares</t>
  </si>
  <si>
    <t>SNDK</t>
  </si>
  <si>
    <t>MDA Space Ltd</t>
  </si>
  <si>
    <t>MDA.TO</t>
  </si>
  <si>
    <t>C$8.20B</t>
  </si>
  <si>
    <t>C$59.11</t>
  </si>
  <si>
    <t>CSX Corp</t>
  </si>
  <si>
    <t>CSX</t>
  </si>
  <si>
    <t>$84.79B</t>
  </si>
  <si>
    <t>$45.63</t>
  </si>
  <si>
    <t>Credo Technology Group Holding Ltd</t>
  </si>
  <si>
    <t>CRDO</t>
  </si>
  <si>
    <t>Cayman Islands (NMS)</t>
  </si>
  <si>
    <t>$50.69B</t>
  </si>
  <si>
    <t>$271.83</t>
  </si>
  <si>
    <t>Western Digital Corp</t>
  </si>
  <si>
    <t>WDC</t>
  </si>
  <si>
    <t>Vistra Corp</t>
  </si>
  <si>
    <t>VST</t>
  </si>
  <si>
    <t>SentinelOne Inc Class A</t>
  </si>
  <si>
    <t>S</t>
  </si>
  <si>
    <t>Valero Energy Corp</t>
  </si>
  <si>
    <t>VLO</t>
  </si>
  <si>
    <t>Corteva Inc</t>
  </si>
  <si>
    <t>CTVA</t>
  </si>
  <si>
    <t>$52.56B</t>
  </si>
  <si>
    <t>$78.59</t>
  </si>
  <si>
    <t>Baker Hughes Co Class A</t>
  </si>
  <si>
    <t>BKR</t>
  </si>
  <si>
    <t>$57.95B</t>
  </si>
  <si>
    <t>$58.41</t>
  </si>
  <si>
    <t>Salesforce Inc</t>
  </si>
  <si>
    <t>CRM</t>
  </si>
  <si>
    <t>$124.31B</t>
  </si>
  <si>
    <t>$151.78</t>
  </si>
  <si>
    <t>Booking Holdings Inc</t>
  </si>
  <si>
    <t>BKNG</t>
  </si>
  <si>
    <t>$133.11B</t>
  </si>
  <si>
    <t>$171.78</t>
  </si>
  <si>
    <t>Vicor Corp</t>
  </si>
  <si>
    <t>VICR</t>
  </si>
  <si>
    <t>Uber Technologies Inc</t>
  </si>
  <si>
    <t>UBER</t>
  </si>
  <si>
    <t>MYR Group Inc</t>
  </si>
  <si>
    <t>MYRG</t>
  </si>
  <si>
    <t>$7.18B</t>
  </si>
  <si>
    <t>$461.10</t>
  </si>
  <si>
    <t>Coherent Corp</t>
  </si>
  <si>
    <t>COHR</t>
  </si>
  <si>
    <t>$76.22B</t>
  </si>
  <si>
    <t>$389.57</t>
  </si>
  <si>
    <t>Hanwha Aerospace Co Ltd</t>
  </si>
  <si>
    <t>012450.KS</t>
  </si>
  <si>
    <t>₩57.73T</t>
  </si>
  <si>
    <t>₩1122000.00</t>
  </si>
  <si>
    <t>Reliance Industries Ltd</t>
  </si>
  <si>
    <t>RELIANCE.NS</t>
  </si>
  <si>
    <t>India (NSI)</t>
  </si>
  <si>
    <t>₹17.72T</t>
  </si>
  <si>
    <t>₹1309.50</t>
  </si>
  <si>
    <t>Crown Castle Inc</t>
  </si>
  <si>
    <t>CCI</t>
  </si>
  <si>
    <t>$35.81B</t>
  </si>
  <si>
    <t>$82.05</t>
  </si>
  <si>
    <t>Enlight Renewable Energy Ltd</t>
  </si>
  <si>
    <t>ENLT.TA</t>
  </si>
  <si>
    <t>Israel (TLV)</t>
  </si>
  <si>
    <t>ILA 35.80B</t>
  </si>
  <si>
    <t>ILA 25620.00</t>
  </si>
  <si>
    <t>Energy Fuels Inc</t>
  </si>
  <si>
    <t>EFR.TO</t>
  </si>
  <si>
    <t>United States (TOR)</t>
  </si>
  <si>
    <t>C$5.85B</t>
  </si>
  <si>
    <t>C$23.42</t>
  </si>
  <si>
    <t>MercadoLibre Inc</t>
  </si>
  <si>
    <t>MELI</t>
  </si>
  <si>
    <t>Uruguay (NMS)</t>
  </si>
  <si>
    <t>$82.90B</t>
  </si>
  <si>
    <t>$1635.15</t>
  </si>
  <si>
    <t>Eastman Chemical Co</t>
  </si>
  <si>
    <t>EMN</t>
  </si>
  <si>
    <t>$8.29B</t>
  </si>
  <si>
    <t>$72.49</t>
  </si>
  <si>
    <t>ConocoPhillips</t>
  </si>
  <si>
    <t>COP</t>
  </si>
  <si>
    <t>$131.26B</t>
  </si>
  <si>
    <t>$107.74</t>
  </si>
  <si>
    <t>Shopify Inc Registered Shs -A- Subord Vtg</t>
  </si>
  <si>
    <t>SHOP</t>
  </si>
  <si>
    <t>Rheinmetall AG</t>
  </si>
  <si>
    <t>RHM.DE</t>
  </si>
  <si>
    <t>€55.97B</t>
  </si>
  <si>
    <t>€1202.60</t>
  </si>
  <si>
    <t>Grupo Aeroportuario del Pacifico SAB de CV ADR</t>
  </si>
  <si>
    <t>PAC</t>
  </si>
  <si>
    <t>Mexico (NYQ)</t>
  </si>
  <si>
    <t>$15.13B</t>
  </si>
  <si>
    <t>$254.31</t>
  </si>
  <si>
    <t>Sterling Infrastructure Inc</t>
  </si>
  <si>
    <t>STRL</t>
  </si>
  <si>
    <t>FuelCell Energy Inc</t>
  </si>
  <si>
    <t>FCEL</t>
  </si>
  <si>
    <t>$1.63B</t>
  </si>
  <si>
    <t>$24.04</t>
  </si>
  <si>
    <t>PDD Holdings Inc ADR</t>
  </si>
  <si>
    <t>PDD</t>
  </si>
  <si>
    <t>Ireland (NMS)</t>
  </si>
  <si>
    <t>$113.25B</t>
  </si>
  <si>
    <t>$79.56</t>
  </si>
  <si>
    <t>Transurban Group</t>
  </si>
  <si>
    <t>TCL.AX</t>
  </si>
  <si>
    <t>Monolithic Power Systems Inc</t>
  </si>
  <si>
    <t>MPWR</t>
  </si>
  <si>
    <t>$76.82B</t>
  </si>
  <si>
    <t>$1563.70</t>
  </si>
  <si>
    <t>ONEOK Inc</t>
  </si>
  <si>
    <t>OKE</t>
  </si>
  <si>
    <t>$53.57B</t>
  </si>
  <si>
    <t>$85.03</t>
  </si>
  <si>
    <t>Curtiss-Wright Corp</t>
  </si>
  <si>
    <t>CW</t>
  </si>
  <si>
    <t>$28.52B</t>
  </si>
  <si>
    <t>$771.93</t>
  </si>
  <si>
    <t>Meituan Class B</t>
  </si>
  <si>
    <t>3690.HK</t>
  </si>
  <si>
    <t>HK$443.32B</t>
  </si>
  <si>
    <t>HK$71.80</t>
  </si>
  <si>
    <t>Talen Energy Corp Ordinary Shares New</t>
  </si>
  <si>
    <t>TLN</t>
  </si>
  <si>
    <t>China Yangtze Power Co Ltd Class A</t>
  </si>
  <si>
    <t>600900.SS</t>
  </si>
  <si>
    <t>China (SHH)</t>
  </si>
  <si>
    <t>¥652.32B</t>
  </si>
  <si>
    <t>¥26.66</t>
  </si>
  <si>
    <t>NetEase Inc Ordinary Shares</t>
  </si>
  <si>
    <t>9999.HK</t>
  </si>
  <si>
    <t>HK$610.28B</t>
  </si>
  <si>
    <t>HK$190.50</t>
  </si>
  <si>
    <t>MPLX LP Partnership Units</t>
  </si>
  <si>
    <t>MPLX</t>
  </si>
  <si>
    <t>$57.68B</t>
  </si>
  <si>
    <t>$56.84</t>
  </si>
  <si>
    <t>STMicroelectronics NV</t>
  </si>
  <si>
    <t>STMPA.PA</t>
  </si>
  <si>
    <t>Kratos Defense &amp; Security Solutions Inc</t>
  </si>
  <si>
    <t>KTOS</t>
  </si>
  <si>
    <t>$10.17B</t>
  </si>
  <si>
    <t>$54.21</t>
  </si>
  <si>
    <t>Aena SME SA</t>
  </si>
  <si>
    <t>AENA.MC</t>
  </si>
  <si>
    <t>€40.05B</t>
  </si>
  <si>
    <t>€26.70</t>
  </si>
  <si>
    <t>Public Service Enterprise Group Inc</t>
  </si>
  <si>
    <t>PEG</t>
  </si>
  <si>
    <t>$39.81B</t>
  </si>
  <si>
    <t>$79.89</t>
  </si>
  <si>
    <t>Fanuc Corp</t>
  </si>
  <si>
    <t>6954.T</t>
  </si>
  <si>
    <t>Japan (JPX)</t>
  </si>
  <si>
    <t>¥6.97T</t>
  </si>
  <si>
    <t>¥7473.00</t>
  </si>
  <si>
    <t>Ecolab Inc</t>
  </si>
  <si>
    <t>ECL</t>
  </si>
  <si>
    <t>$75.74B</t>
  </si>
  <si>
    <t>$269.12</t>
  </si>
  <si>
    <t>ATI Inc</t>
  </si>
  <si>
    <t>ATI</t>
  </si>
  <si>
    <t>$27.48B</t>
  </si>
  <si>
    <t>$201.34</t>
  </si>
  <si>
    <t>Ballard Power Systems Inc</t>
  </si>
  <si>
    <t>BLDP.TO</t>
  </si>
  <si>
    <t>C$1.88B</t>
  </si>
  <si>
    <t>C$6.23</t>
  </si>
  <si>
    <t>Vestas Wind Systems AS</t>
  </si>
  <si>
    <t>VWS.CO</t>
  </si>
  <si>
    <t>Baidu Inc ADR</t>
  </si>
  <si>
    <t>BIDU</t>
  </si>
  <si>
    <t>China (NMS)</t>
  </si>
  <si>
    <t>$38.03B</t>
  </si>
  <si>
    <t>$111.76</t>
  </si>
  <si>
    <t>Howmet Aerospace Inc</t>
  </si>
  <si>
    <t>HWM</t>
  </si>
  <si>
    <t>$111.09B</t>
  </si>
  <si>
    <t>$277.66</t>
  </si>
  <si>
    <t>Pembina Pipeline Corp</t>
  </si>
  <si>
    <t>PPL.TO</t>
  </si>
  <si>
    <t>C$38.08B</t>
  </si>
  <si>
    <t>C$65.50</t>
  </si>
  <si>
    <t>Clearway Energy Inc Class C</t>
  </si>
  <si>
    <t>CWEN</t>
  </si>
  <si>
    <t>$8.98B</t>
  </si>
  <si>
    <t>$37.42</t>
  </si>
  <si>
    <t>National Atomic Co Kazatomprom JSC ADR</t>
  </si>
  <si>
    <t>KAP</t>
  </si>
  <si>
    <t>YHD</t>
  </si>
  <si>
    <t>Sherwin-Williams Co</t>
  </si>
  <si>
    <t>SHW</t>
  </si>
  <si>
    <t>Tenable Holdings Inc</t>
  </si>
  <si>
    <t>TENB</t>
  </si>
  <si>
    <t>Plains GP Holdings LP Class A</t>
  </si>
  <si>
    <t>PAGP</t>
  </si>
  <si>
    <t>$5.42B</t>
  </si>
  <si>
    <t>$23.25</t>
  </si>
  <si>
    <t>Carpenter Technology Corp</t>
  </si>
  <si>
    <t>CRS</t>
  </si>
  <si>
    <t>$29.14B</t>
  </si>
  <si>
    <t>$586.47</t>
  </si>
  <si>
    <t>Albemarle Corp</t>
  </si>
  <si>
    <t>ALB</t>
  </si>
  <si>
    <t>$18.91B</t>
  </si>
  <si>
    <t>$160.35</t>
  </si>
  <si>
    <t>Entergy Corp</t>
  </si>
  <si>
    <t>ETR</t>
  </si>
  <si>
    <t>$50.88B</t>
  </si>
  <si>
    <t>$111.11</t>
  </si>
  <si>
    <t>Anglogold Ashanti PLC</t>
  </si>
  <si>
    <t>AU</t>
  </si>
  <si>
    <t>$45.95B</t>
  </si>
  <si>
    <t>$90.87</t>
  </si>
  <si>
    <t>Thales</t>
  </si>
  <si>
    <t>HO.PA</t>
  </si>
  <si>
    <t>France (PAR)</t>
  </si>
  <si>
    <t>€47.75B</t>
  </si>
  <si>
    <t>€232.40</t>
  </si>
  <si>
    <t>SLB Ltd</t>
  </si>
  <si>
    <t>SLB</t>
  </si>
  <si>
    <t>Leader Harmonious Drive Systems Co Ltd Class A</t>
  </si>
  <si>
    <t>688017.SS</t>
  </si>
  <si>
    <t>¥74.80B</t>
  </si>
  <si>
    <t>¥408.01</t>
  </si>
  <si>
    <t>Varonis Systems Inc</t>
  </si>
  <si>
    <t>VRNS</t>
  </si>
  <si>
    <t>Globalstar Inc</t>
  </si>
  <si>
    <t>GSAT</t>
  </si>
  <si>
    <t>$10.36B</t>
  </si>
  <si>
    <t>$80.41</t>
  </si>
  <si>
    <t>Powell Industries Inc</t>
  </si>
  <si>
    <t>POWL</t>
  </si>
  <si>
    <t>$10.83B</t>
  </si>
  <si>
    <t>$297.20</t>
  </si>
  <si>
    <t>EOG Resources Inc</t>
  </si>
  <si>
    <t>EOG</t>
  </si>
  <si>
    <t>$69.23B</t>
  </si>
  <si>
    <t>$129.98</t>
  </si>
  <si>
    <t>Rainbow Robotics Ordinary Shares</t>
  </si>
  <si>
    <t>277810.KS</t>
  </si>
  <si>
    <t>KOE</t>
  </si>
  <si>
    <t>₩156000.00</t>
  </si>
  <si>
    <t>International Business Machines Corp</t>
  </si>
  <si>
    <t>IBM</t>
  </si>
  <si>
    <t>$234.13B</t>
  </si>
  <si>
    <t>$249.10</t>
  </si>
  <si>
    <t>Moog Inc Class A</t>
  </si>
  <si>
    <t>MOG-A</t>
  </si>
  <si>
    <t>$12.96B</t>
  </si>
  <si>
    <t>$409.15</t>
  </si>
  <si>
    <t>Argan Inc</t>
  </si>
  <si>
    <t>AGX</t>
  </si>
  <si>
    <t>$738.85</t>
  </si>
  <si>
    <t>Ceres Power Holdings PLC</t>
  </si>
  <si>
    <t>CWR.L</t>
  </si>
  <si>
    <t>£1.40B</t>
  </si>
  <si>
    <t>£654.50</t>
  </si>
  <si>
    <t>Norfolk Southern Corp</t>
  </si>
  <si>
    <t>NSC</t>
  </si>
  <si>
    <t>$67.40B</t>
  </si>
  <si>
    <t>$300.08</t>
  </si>
  <si>
    <t>Phillips 66</t>
  </si>
  <si>
    <t>PSX</t>
  </si>
  <si>
    <t>$66.61B</t>
  </si>
  <si>
    <t>$166.14</t>
  </si>
  <si>
    <t>SolarEdge Technologies Inc</t>
  </si>
  <si>
    <t>SEDG</t>
  </si>
  <si>
    <t>Harmonic Drive Systems Inc</t>
  </si>
  <si>
    <t>6324.T</t>
  </si>
  <si>
    <t>¥735.56B</t>
  </si>
  <si>
    <t>¥7770.00</t>
  </si>
  <si>
    <t>APA Corp</t>
  </si>
  <si>
    <t>APA</t>
  </si>
  <si>
    <t>$11.68B</t>
  </si>
  <si>
    <t>$33.03</t>
  </si>
  <si>
    <t>Archer Aviation Inc Class A</t>
  </si>
  <si>
    <t>ACHR</t>
  </si>
  <si>
    <t>$4.25B</t>
  </si>
  <si>
    <t>$5.57</t>
  </si>
  <si>
    <t>Navitas Semiconductor Corp Class A</t>
  </si>
  <si>
    <t>NVTS</t>
  </si>
  <si>
    <t>$5.85B</t>
  </si>
  <si>
    <t>$24.02</t>
  </si>
  <si>
    <t>eBay Inc</t>
  </si>
  <si>
    <t>EBAY</t>
  </si>
  <si>
    <t>$48.06B</t>
  </si>
  <si>
    <t>$108.24</t>
  </si>
  <si>
    <t>Auckland International Airport Ltd</t>
  </si>
  <si>
    <t>AIA.NZ</t>
  </si>
  <si>
    <t>New Zealand (NZE)</t>
  </si>
  <si>
    <t>NZD 14.41B</t>
  </si>
  <si>
    <t>NZD 8.50</t>
  </si>
  <si>
    <t>Bank of America Corp</t>
  </si>
  <si>
    <t>BAC</t>
  </si>
  <si>
    <t>$398.83B</t>
  </si>
  <si>
    <t>$56.20</t>
  </si>
  <si>
    <t>NXP Semiconductors NV</t>
  </si>
  <si>
    <t>NXPI</t>
  </si>
  <si>
    <t>$79.09B</t>
  </si>
  <si>
    <t>$313.27</t>
  </si>
  <si>
    <t>IonQ Inc Class A</t>
  </si>
  <si>
    <t>IONQ</t>
  </si>
  <si>
    <t>$21.11B</t>
  </si>
  <si>
    <t>$56.55</t>
  </si>
  <si>
    <t>Shoals Technologies Group Inc Ordinary Shares - Class A</t>
  </si>
  <si>
    <t>SHLS</t>
  </si>
  <si>
    <t>MasTec Inc</t>
  </si>
  <si>
    <t>MTZ</t>
  </si>
  <si>
    <t>$30.00B</t>
  </si>
  <si>
    <t>$379.66</t>
  </si>
  <si>
    <t>Eli Lilly and Co</t>
  </si>
  <si>
    <t>LLY</t>
  </si>
  <si>
    <t>$979.64B</t>
  </si>
  <si>
    <t>$1098.57</t>
  </si>
  <si>
    <t>Southern Co</t>
  </si>
  <si>
    <t>SO</t>
  </si>
  <si>
    <t>Twilio Inc Class A</t>
  </si>
  <si>
    <t>TWLO</t>
  </si>
  <si>
    <t>Elbit Systems Ltd</t>
  </si>
  <si>
    <t>ESLT.TA</t>
  </si>
  <si>
    <t>ILA 109.96B</t>
  </si>
  <si>
    <t>ILA 234770.00</t>
  </si>
  <si>
    <t>Siemens AG</t>
  </si>
  <si>
    <t>SIE.DE</t>
  </si>
  <si>
    <t>nVent Electric PLC</t>
  </si>
  <si>
    <t>NVT</t>
  </si>
  <si>
    <t>United Kingdom (NYQ)</t>
  </si>
  <si>
    <t>$28.63B</t>
  </si>
  <si>
    <t>$177.02</t>
  </si>
  <si>
    <t>Delta Electronics Inc</t>
  </si>
  <si>
    <t>2308.TW</t>
  </si>
  <si>
    <t>NT$5.58T</t>
  </si>
  <si>
    <t>NT$2150.00</t>
  </si>
  <si>
    <t>Hyundai Rotem Co</t>
  </si>
  <si>
    <t>064350.KS</t>
  </si>
  <si>
    <t>₩22.59T</t>
  </si>
  <si>
    <t>₩207000.00</t>
  </si>
  <si>
    <t>NexGen Energy Ltd</t>
  </si>
  <si>
    <t>NXE.TO</t>
  </si>
  <si>
    <t>C$9.88B</t>
  </si>
  <si>
    <t>C$14.92</t>
  </si>
  <si>
    <t>Denison Mines Corp</t>
  </si>
  <si>
    <t>DML.TO</t>
  </si>
  <si>
    <t>C$4.29B</t>
  </si>
  <si>
    <t>C$4.74</t>
  </si>
  <si>
    <t>Doosan Fuel Cell Ordinary Shares</t>
  </si>
  <si>
    <t>336260.KS</t>
  </si>
  <si>
    <t>₩5.13T</t>
  </si>
  <si>
    <t>₩65000.00</t>
  </si>
  <si>
    <t>Bajaj Finance Ltd</t>
  </si>
  <si>
    <t>500034</t>
  </si>
  <si>
    <t>MaxLinear Inc</t>
  </si>
  <si>
    <t>MXL</t>
  </si>
  <si>
    <t>$7.95B</t>
  </si>
  <si>
    <t>$88.76</t>
  </si>
  <si>
    <t>Keyence Corp</t>
  </si>
  <si>
    <t>6861.T</t>
  </si>
  <si>
    <t>¥18.84T</t>
  </si>
  <si>
    <t>¥77700.00</t>
  </si>
  <si>
    <t>Orsted AS</t>
  </si>
  <si>
    <t>ORSTED.CO</t>
  </si>
  <si>
    <t>Denmark (CPH)</t>
  </si>
  <si>
    <t>DKK 195.78B</t>
  </si>
  <si>
    <t>DKK 148.20</t>
  </si>
  <si>
    <t>Eternal Ltd</t>
  </si>
  <si>
    <t>ETERNAL.BO</t>
  </si>
  <si>
    <t>India (BSE)</t>
  </si>
  <si>
    <t>₹2.43T</t>
  </si>
  <si>
    <t>₹264.20</t>
  </si>
  <si>
    <t>The Home Depot Inc</t>
  </si>
  <si>
    <t>HD</t>
  </si>
  <si>
    <t>$333.32B</t>
  </si>
  <si>
    <t>$334.28</t>
  </si>
  <si>
    <t>Airbus SE</t>
  </si>
  <si>
    <t>AIR.PA</t>
  </si>
  <si>
    <t>Netherlands (PAR)</t>
  </si>
  <si>
    <t>€149.12B</t>
  </si>
  <si>
    <t>€189.42</t>
  </si>
  <si>
    <t>Nu Holdings Ltd Ordinary Shares Class A</t>
  </si>
  <si>
    <t>NU</t>
  </si>
  <si>
    <t>Brazil (NYQ)</t>
  </si>
  <si>
    <t>$61.79B</t>
  </si>
  <si>
    <t>$12.71</t>
  </si>
  <si>
    <t>BWX Technologies Inc</t>
  </si>
  <si>
    <t>BWXT</t>
  </si>
  <si>
    <t>$18.82B</t>
  </si>
  <si>
    <t>$205.40</t>
  </si>
  <si>
    <t>BHP Group Ltd</t>
  </si>
  <si>
    <t>BHP.AX</t>
  </si>
  <si>
    <t>A$311.95B</t>
  </si>
  <si>
    <t>A$61.40</t>
  </si>
  <si>
    <t>The Timken Co</t>
  </si>
  <si>
    <t>TKR</t>
  </si>
  <si>
    <t>Cambricon Technologies Corp Ltd Class A</t>
  </si>
  <si>
    <t>688256.SS</t>
  </si>
  <si>
    <t>¥947.13B</t>
  </si>
  <si>
    <t>¥1507.46</t>
  </si>
  <si>
    <t>Safran SA</t>
  </si>
  <si>
    <t>SAF.PA</t>
  </si>
  <si>
    <t>EDP Renewables SA</t>
  </si>
  <si>
    <t>EDPR.LS</t>
  </si>
  <si>
    <t>Spain (LIS)</t>
  </si>
  <si>
    <t>€14.49B</t>
  </si>
  <si>
    <t>€13.67</t>
  </si>
  <si>
    <t>Sea Ltd ADR</t>
  </si>
  <si>
    <t>SE</t>
  </si>
  <si>
    <t>Oklo Inc Class A Shares</t>
  </si>
  <si>
    <t>OKLO</t>
  </si>
  <si>
    <t>$10.64B</t>
  </si>
  <si>
    <t>$61.17</t>
  </si>
  <si>
    <t>Walmart Inc</t>
  </si>
  <si>
    <t>WMT</t>
  </si>
  <si>
    <t>Firefly Aerospace Inc</t>
  </si>
  <si>
    <t>FLY</t>
  </si>
  <si>
    <t>$5.08B</t>
  </si>
  <si>
    <t>$30.95</t>
  </si>
  <si>
    <t>Doosan Enerbility Co Ltd</t>
  </si>
  <si>
    <t>034020.KS</t>
  </si>
  <si>
    <t>₩62.57T</t>
  </si>
  <si>
    <t>₩97900.00</t>
  </si>
  <si>
    <t>Korea Aerospace Industries Ltd</t>
  </si>
  <si>
    <t>047810.KS</t>
  </si>
  <si>
    <t>₩14.28T</t>
  </si>
  <si>
    <t>₩146500.00</t>
  </si>
  <si>
    <t>Contemporary Amperex Technology Co Ltd Class A</t>
  </si>
  <si>
    <t>300750.SZ</t>
  </si>
  <si>
    <t>China (SHZ)</t>
  </si>
  <si>
    <t>¥1.81T</t>
  </si>
  <si>
    <t>¥391.55</t>
  </si>
  <si>
    <t>Samsung SDI Co Ltd</t>
  </si>
  <si>
    <t>006400.KS</t>
  </si>
  <si>
    <t>₩43.67T</t>
  </si>
  <si>
    <t>₩555000.00</t>
  </si>
  <si>
    <t>SAP SE</t>
  </si>
  <si>
    <t>SAP.DE</t>
  </si>
  <si>
    <t>Spotify Technology SA</t>
  </si>
  <si>
    <t>SPOT</t>
  </si>
  <si>
    <t>PLS Group Ltd</t>
  </si>
  <si>
    <t>PLS.AX</t>
  </si>
  <si>
    <t>A$18.94B</t>
  </si>
  <si>
    <t>A$5.88</t>
  </si>
  <si>
    <t>LIG Defense&amp;Aerospace Co Ltd</t>
  </si>
  <si>
    <t>079550.KS</t>
  </si>
  <si>
    <t>₩18.61T</t>
  </si>
  <si>
    <t>₩852000.00</t>
  </si>
  <si>
    <t>BlackBerry Ltd</t>
  </si>
  <si>
    <t>BB.TO</t>
  </si>
  <si>
    <t>C$7.06B</t>
  </si>
  <si>
    <t>C$12.05</t>
  </si>
  <si>
    <t>Lattice Semiconductor Corp</t>
  </si>
  <si>
    <t>LSCC</t>
  </si>
  <si>
    <t>$21.06B</t>
  </si>
  <si>
    <t>$153.72</t>
  </si>
  <si>
    <t>Netflix Inc</t>
  </si>
  <si>
    <t>NFLX</t>
  </si>
  <si>
    <t>$325.83B</t>
  </si>
  <si>
    <t>$77.38</t>
  </si>
  <si>
    <t>American Water Works Co Inc</t>
  </si>
  <si>
    <t>AWK</t>
  </si>
  <si>
    <t>$24.42B</t>
  </si>
  <si>
    <t>$125.07</t>
  </si>
  <si>
    <t>JD.com Inc Ordinary Shares - Class A</t>
  </si>
  <si>
    <t>9618.HK</t>
  </si>
  <si>
    <t>HK$297.48B</t>
  </si>
  <si>
    <t>HK$108.90</t>
  </si>
  <si>
    <t>Kioxia Holdings Corp Ordinary Shares</t>
  </si>
  <si>
    <t>285A.T</t>
  </si>
  <si>
    <t>¥59.30T</t>
  </si>
  <si>
    <t>¥108600.00</t>
  </si>
  <si>
    <t>Westinghouse Air Brake Technologies Corp</t>
  </si>
  <si>
    <t>WAB</t>
  </si>
  <si>
    <t>Jio Financial Services Ltd</t>
  </si>
  <si>
    <t>JIOFIN.BO</t>
  </si>
  <si>
    <t>₹1.62T</t>
  </si>
  <si>
    <t>₹244.60</t>
  </si>
  <si>
    <t>DexCom Inc</t>
  </si>
  <si>
    <t>DXCM</t>
  </si>
  <si>
    <t>$27.96B</t>
  </si>
  <si>
    <t>$72.47</t>
  </si>
  <si>
    <t>Baidu Inc</t>
  </si>
  <si>
    <t>9888.HK</t>
  </si>
  <si>
    <t>HK$304.05B</t>
  </si>
  <si>
    <t>HK$111.70</t>
  </si>
  <si>
    <t>Hanwha Systems Co Ltd Ordinary Shares</t>
  </si>
  <si>
    <t>272210.KS</t>
  </si>
  <si>
    <t>₩17.04T</t>
  </si>
  <si>
    <t>₩91100.00</t>
  </si>
  <si>
    <t>Zscaler Inc</t>
  </si>
  <si>
    <t>ZS</t>
  </si>
  <si>
    <t>SoftBank Group Corp</t>
  </si>
  <si>
    <t>9984.T</t>
  </si>
  <si>
    <t>¥40.53T</t>
  </si>
  <si>
    <t>¥7111.00</t>
  </si>
  <si>
    <t>AeroVironment Inc</t>
  </si>
  <si>
    <t>AVAV</t>
  </si>
  <si>
    <t>$8.58B</t>
  </si>
  <si>
    <t>$169.61</t>
  </si>
  <si>
    <t>NewMarket Corp</t>
  </si>
  <si>
    <t>NEU</t>
  </si>
  <si>
    <t>$780.18</t>
  </si>
  <si>
    <t>ITM Power PLC</t>
  </si>
  <si>
    <t>ITM.L</t>
  </si>
  <si>
    <t>£906.23M</t>
  </si>
  <si>
    <t>£131.30</t>
  </si>
  <si>
    <t>Rambus Inc</t>
  </si>
  <si>
    <t>RMBS</t>
  </si>
  <si>
    <t>$15.27B</t>
  </si>
  <si>
    <t>$141.17</t>
  </si>
  <si>
    <t>Lowe's Companies Inc</t>
  </si>
  <si>
    <t>LOW</t>
  </si>
  <si>
    <t>$124.59B</t>
  </si>
  <si>
    <t>$222.20</t>
  </si>
  <si>
    <t>CF Industries Holdings Inc</t>
  </si>
  <si>
    <t>CF</t>
  </si>
  <si>
    <t>$15.81B</t>
  </si>
  <si>
    <t>$102.93</t>
  </si>
  <si>
    <t>Emerson Electric Co</t>
  </si>
  <si>
    <t>EMR</t>
  </si>
  <si>
    <t>$84.38B</t>
  </si>
  <si>
    <t>$150.66</t>
  </si>
  <si>
    <t>Alcoa Corp</t>
  </si>
  <si>
    <t>AA</t>
  </si>
  <si>
    <t>$15.67B</t>
  </si>
  <si>
    <t>$59.37</t>
  </si>
  <si>
    <t>United Utilities Group PLC Class A</t>
  </si>
  <si>
    <t>UU.L</t>
  </si>
  <si>
    <t>Brookfield Renewable Partners LP</t>
  </si>
  <si>
    <t>BEP-UN.TO</t>
  </si>
  <si>
    <t>C$31.76B</t>
  </si>
  <si>
    <t>C$49.37</t>
  </si>
  <si>
    <t>Air Liquide SA</t>
  </si>
  <si>
    <t>AI.PA</t>
  </si>
  <si>
    <t>€104.38B</t>
  </si>
  <si>
    <t>€164.16</t>
  </si>
  <si>
    <t>Leonardo SpA Az nom Post raggruppamento</t>
  </si>
  <si>
    <t>LDO.MI</t>
  </si>
  <si>
    <t>Italy (MIL)</t>
  </si>
  <si>
    <t>€30.38B</t>
  </si>
  <si>
    <t>€52.66</t>
  </si>
  <si>
    <t>Amphenol Corp Class A</t>
  </si>
  <si>
    <t>APH</t>
  </si>
  <si>
    <t>$201.71B</t>
  </si>
  <si>
    <t>$163.96</t>
  </si>
  <si>
    <t>Rio Tinto PLC Ordinary Shares</t>
  </si>
  <si>
    <t>RIO.L</t>
  </si>
  <si>
    <t>£120.25B</t>
  </si>
  <si>
    <t>£7394.00</t>
  </si>
  <si>
    <t>Lumen Technologies Inc Ordinary Shares</t>
  </si>
  <si>
    <t>LUMN</t>
  </si>
  <si>
    <t>$8.45B</t>
  </si>
  <si>
    <t>$8.20</t>
  </si>
  <si>
    <t>Deep Yellow Ltd</t>
  </si>
  <si>
    <t>DYL.AX</t>
  </si>
  <si>
    <t>A$1.51B</t>
  </si>
  <si>
    <t>A$1.55</t>
  </si>
  <si>
    <t>Canadian Pacific Kansas City Ltd</t>
  </si>
  <si>
    <t>CP.TO</t>
  </si>
  <si>
    <t>C$107.25B</t>
  </si>
  <si>
    <t>C$120.81</t>
  </si>
  <si>
    <t>SES SA DR</t>
  </si>
  <si>
    <t>SESGL</t>
  </si>
  <si>
    <t>CoreWeave Inc Ordinary Shares - Class A</t>
  </si>
  <si>
    <t>CRWV</t>
  </si>
  <si>
    <t>$64.35B</t>
  </si>
  <si>
    <t>$117.95</t>
  </si>
  <si>
    <t>Naspers Ltd Class N</t>
  </si>
  <si>
    <t>NPN.JO</t>
  </si>
  <si>
    <t>South Africa (JNB)</t>
  </si>
  <si>
    <t>ZAc 626.66B</t>
  </si>
  <si>
    <t>ZAc 82884.00</t>
  </si>
  <si>
    <t>Nokia Oyj ADR</t>
  </si>
  <si>
    <t>NOK</t>
  </si>
  <si>
    <t>Finland (NYQ)</t>
  </si>
  <si>
    <t>$75.31B</t>
  </si>
  <si>
    <t>$13.49</t>
  </si>
  <si>
    <t>Heico Corp</t>
  </si>
  <si>
    <t>HEI</t>
  </si>
  <si>
    <t>$47.08B</t>
  </si>
  <si>
    <t>$337.10</t>
  </si>
  <si>
    <t>CEZ AS</t>
  </si>
  <si>
    <t>CEZ.PR</t>
  </si>
  <si>
    <t>Czech Republic (PRA)</t>
  </si>
  <si>
    <t>CZK 637.73B</t>
  </si>
  <si>
    <t>CZK 1188.00</t>
  </si>
  <si>
    <t>Hexcel Corp</t>
  </si>
  <si>
    <t>HXL</t>
  </si>
  <si>
    <t>$7.36B</t>
  </si>
  <si>
    <t>$97.63</t>
  </si>
  <si>
    <t>Autodesk Inc</t>
  </si>
  <si>
    <t>ADSK</t>
  </si>
  <si>
    <t>$40.92B</t>
  </si>
  <si>
    <t>$193.82</t>
  </si>
  <si>
    <t>Tower Semiconductor Ltd</t>
  </si>
  <si>
    <t>TSEM.TA</t>
  </si>
  <si>
    <t>Keppel DC REIT</t>
  </si>
  <si>
    <t>AJBU.SI</t>
  </si>
  <si>
    <t>Singapore (SES)</t>
  </si>
  <si>
    <t>SGD 5.50B</t>
  </si>
  <si>
    <t>SGD 2.25</t>
  </si>
  <si>
    <t>Energix-Renewable Energies Ltd</t>
  </si>
  <si>
    <t>ENRG.TA</t>
  </si>
  <si>
    <t>ILA 13.63B</t>
  </si>
  <si>
    <t>ILA 2356.00</t>
  </si>
  <si>
    <t>3D Systems Corp</t>
  </si>
  <si>
    <t>DDD</t>
  </si>
  <si>
    <t>$583.13M</t>
  </si>
  <si>
    <t>$3.57</t>
  </si>
  <si>
    <t>Etsy Inc</t>
  </si>
  <si>
    <t>ETSY</t>
  </si>
  <si>
    <t>$7.02B</t>
  </si>
  <si>
    <t>$73.95</t>
  </si>
  <si>
    <t>HD Hyundai Heavy Industries</t>
  </si>
  <si>
    <t>329180.KS</t>
  </si>
  <si>
    <t>₩69.99T</t>
  </si>
  <si>
    <t>₩667000.00</t>
  </si>
  <si>
    <t>Cellnex Telecom SA</t>
  </si>
  <si>
    <t>CLNX.MC</t>
  </si>
  <si>
    <t>€18.94B</t>
  </si>
  <si>
    <t>€28.45</t>
  </si>
  <si>
    <t>General Motors Co</t>
  </si>
  <si>
    <t>GM</t>
  </si>
  <si>
    <t>$79.29</t>
  </si>
  <si>
    <t>DuPont de Nemours Inc</t>
  </si>
  <si>
    <t>DD</t>
  </si>
  <si>
    <t>$19.33B</t>
  </si>
  <si>
    <t>$47.71</t>
  </si>
  <si>
    <t>Ducommun Inc</t>
  </si>
  <si>
    <t>DCO</t>
  </si>
  <si>
    <t>$2.48B</t>
  </si>
  <si>
    <t>$164.12</t>
  </si>
  <si>
    <t>China Tower Corp Ltd Ordinary Shares - Class H</t>
  </si>
  <si>
    <t>0788.HK</t>
  </si>
  <si>
    <t>HK$162.75B</t>
  </si>
  <si>
    <t>HK$9.31</t>
  </si>
  <si>
    <t>Daifuku Co Ltd</t>
  </si>
  <si>
    <t>6383.T</t>
  </si>
  <si>
    <t>¥2.65T</t>
  </si>
  <si>
    <t>¥7197.00</t>
  </si>
  <si>
    <t>MP Materials Corp Ordinary Shares - Class A</t>
  </si>
  <si>
    <t>MP</t>
  </si>
  <si>
    <t>$10.84B</t>
  </si>
  <si>
    <t>$60.88</t>
  </si>
  <si>
    <t>Nutanix Inc Class A</t>
  </si>
  <si>
    <t>NTNX</t>
  </si>
  <si>
    <t>$12.68B</t>
  </si>
  <si>
    <t>$46.90</t>
  </si>
  <si>
    <t>Corning Inc</t>
  </si>
  <si>
    <t>GLW</t>
  </si>
  <si>
    <t>$167.76B</t>
  </si>
  <si>
    <t>$194.92</t>
  </si>
  <si>
    <t>Samsung C&amp;T Corp</t>
  </si>
  <si>
    <t>028260.KS</t>
  </si>
  <si>
    <t>₩80.43T</t>
  </si>
  <si>
    <t>₩491500.00</t>
  </si>
  <si>
    <t>Allegro.EU SA Ordinary Shares</t>
  </si>
  <si>
    <t>ALE.WA</t>
  </si>
  <si>
    <t>Luxembourg (WSE)</t>
  </si>
  <si>
    <t>PLN 39.95B</t>
  </si>
  <si>
    <t>PLN 39.43</t>
  </si>
  <si>
    <t>NetEase Inc ADR</t>
  </si>
  <si>
    <t>NTES</t>
  </si>
  <si>
    <t>$77.74B</t>
  </si>
  <si>
    <t>$121.33</t>
  </si>
  <si>
    <t>Deutsche Post AG</t>
  </si>
  <si>
    <t>DHL.DE</t>
  </si>
  <si>
    <t>€57.42B</t>
  </si>
  <si>
    <t>€51.30</t>
  </si>
  <si>
    <t>Paycom Software Inc</t>
  </si>
  <si>
    <t>PAYC</t>
  </si>
  <si>
    <t>$5.82B</t>
  </si>
  <si>
    <t>$124.85</t>
  </si>
  <si>
    <t>THK Co Ltd</t>
  </si>
  <si>
    <t>6481.T</t>
  </si>
  <si>
    <t>¥863.42B</t>
  </si>
  <si>
    <t>¥7704.00</t>
  </si>
  <si>
    <t>STMicroelectronics NV ADR</t>
  </si>
  <si>
    <t>STM</t>
  </si>
  <si>
    <t>Reddit Inc Class A Shares</t>
  </si>
  <si>
    <t>RDDT</t>
  </si>
  <si>
    <t>$33.68B</t>
  </si>
  <si>
    <t>$174.96</t>
  </si>
  <si>
    <t>BigBear.ai Holdings Inc</t>
  </si>
  <si>
    <t>BBAI</t>
  </si>
  <si>
    <t>$1.88B</t>
  </si>
  <si>
    <t>$3.92</t>
  </si>
  <si>
    <t>ESCO Technologies Inc</t>
  </si>
  <si>
    <t>ESE</t>
  </si>
  <si>
    <t>$8.90B</t>
  </si>
  <si>
    <t>$343.50</t>
  </si>
  <si>
    <t>Hyundai Motor Co</t>
  </si>
  <si>
    <t>005380.KS</t>
  </si>
  <si>
    <t>₩160.50T</t>
  </si>
  <si>
    <t>₩613000.00</t>
  </si>
  <si>
    <t>Ford Motor Co</t>
  </si>
  <si>
    <t>F</t>
  </si>
  <si>
    <t>$56.02B</t>
  </si>
  <si>
    <t>$14.06</t>
  </si>
  <si>
    <t>Verizon Communications Inc</t>
  </si>
  <si>
    <t>VZ</t>
  </si>
  <si>
    <t>OY Nofar Energy Ltd Ordinary Shares</t>
  </si>
  <si>
    <t>NOFR.TA</t>
  </si>
  <si>
    <t>ILA 7.90B</t>
  </si>
  <si>
    <t>ILA 20630.00</t>
  </si>
  <si>
    <t>Cadence Design Systems Inc</t>
  </si>
  <si>
    <t>CDNS</t>
  </si>
  <si>
    <t>$106.85B</t>
  </si>
  <si>
    <t>$387.39</t>
  </si>
  <si>
    <t>Altria Group Inc</t>
  </si>
  <si>
    <t>MO</t>
  </si>
  <si>
    <t>$115.42B</t>
  </si>
  <si>
    <t>$69.12</t>
  </si>
  <si>
    <t>Getlink SE Act. Provenant Regroupement</t>
  </si>
  <si>
    <t>GET.PA</t>
  </si>
  <si>
    <t>€10.05B</t>
  </si>
  <si>
    <t>€18.52</t>
  </si>
  <si>
    <t>EMCOR Group Inc</t>
  </si>
  <si>
    <t>EME</t>
  </si>
  <si>
    <t>$37.26B</t>
  </si>
  <si>
    <t>$836.59</t>
  </si>
  <si>
    <t>AT&amp;T Inc</t>
  </si>
  <si>
    <t>T</t>
  </si>
  <si>
    <t>Hiwin Technologies Corp</t>
  </si>
  <si>
    <t>2049.TW</t>
  </si>
  <si>
    <t>NT$118.52B</t>
  </si>
  <si>
    <t>NT$335.00</t>
  </si>
  <si>
    <t>Ondas Inc</t>
  </si>
  <si>
    <t>ONDS</t>
  </si>
  <si>
    <t>$4.82B</t>
  </si>
  <si>
    <t>$9.27</t>
  </si>
  <si>
    <t>YASKAWA Electric Corp</t>
  </si>
  <si>
    <t>6506.T</t>
  </si>
  <si>
    <t>¥1.85T</t>
  </si>
  <si>
    <t>¥7128.00</t>
  </si>
  <si>
    <t>Teledyne Technologies Inc</t>
  </si>
  <si>
    <t>TDY</t>
  </si>
  <si>
    <t>C3.ai Inc Ordinary Shares - Class A</t>
  </si>
  <si>
    <t>AI</t>
  </si>
  <si>
    <t>$1.50B</t>
  </si>
  <si>
    <t>$10.30</t>
  </si>
  <si>
    <t>ProShares UltraPro QQQ</t>
  </si>
  <si>
    <t>TQQQ</t>
  </si>
  <si>
    <t>Direxion Daily S&amp;P500® Bull 3X ETF</t>
  </si>
  <si>
    <t>SPXL</t>
  </si>
  <si>
    <t>Samsung Electro-Mechanics Co Ltd</t>
  </si>
  <si>
    <t>009150.KS</t>
  </si>
  <si>
    <t>₩171.49T</t>
  </si>
  <si>
    <t>₩2270000.00</t>
  </si>
  <si>
    <t>iShares 7-10 Year Treasury Bond ETF</t>
  </si>
  <si>
    <t>IEF</t>
  </si>
  <si>
    <t>NGM</t>
  </si>
  <si>
    <t>$94.36</t>
  </si>
  <si>
    <t>Vanguard Total Bond Market ETF</t>
  </si>
  <si>
    <t>BND</t>
  </si>
  <si>
    <t>$73.34</t>
  </si>
  <si>
    <t>iShares iBoxx $ High Yield Corp Bd ETF</t>
  </si>
  <si>
    <t>HYG</t>
  </si>
  <si>
    <t>PCX</t>
  </si>
  <si>
    <t>$80.01</t>
  </si>
  <si>
    <t>NexGen Energy Ltd Chess Depository Interest</t>
  </si>
  <si>
    <t>NXG</t>
  </si>
  <si>
    <t>$333.47M</t>
  </si>
  <si>
    <t>$58.68</t>
  </si>
  <si>
    <t>Element Solutions Inc</t>
  </si>
  <si>
    <t>ESI</t>
  </si>
  <si>
    <t>$11.20B</t>
  </si>
  <si>
    <t>$45.97</t>
  </si>
  <si>
    <t>Murata Manufacturing Co Ltd</t>
  </si>
  <si>
    <t>6981.T</t>
  </si>
  <si>
    <t>¥21.39T</t>
  </si>
  <si>
    <t>¥11750.00</t>
  </si>
  <si>
    <t>Solaris Energy Infrastructure Inc Class A</t>
  </si>
  <si>
    <t>SEI</t>
  </si>
  <si>
    <t>Montage Technology Co Ltd Class A</t>
  </si>
  <si>
    <t>688008.SS</t>
  </si>
  <si>
    <t>¥329.87B</t>
  </si>
  <si>
    <t>¥269.90</t>
  </si>
  <si>
    <t>Samsung Electronics Co Ltd DR</t>
  </si>
  <si>
    <t>SMSN</t>
  </si>
  <si>
    <t>Proto Labs Inc</t>
  </si>
  <si>
    <t>PRLB</t>
  </si>
  <si>
    <t>$1.93B</t>
  </si>
  <si>
    <t>$81.06</t>
  </si>
  <si>
    <t>Yuanjie Semiconductor Technology Co Ltd Class A</t>
  </si>
  <si>
    <t>688498.SS</t>
  </si>
  <si>
    <t>¥208.33B</t>
  </si>
  <si>
    <t>¥1673.36</t>
  </si>
  <si>
    <t>Accton Technology Corp</t>
  </si>
  <si>
    <t>2345.TW</t>
  </si>
  <si>
    <t>NT$1.36T</t>
  </si>
  <si>
    <t>NT$2435.00</t>
  </si>
  <si>
    <t>XPeng Inc Class A</t>
  </si>
  <si>
    <t>9868.HK</t>
  </si>
  <si>
    <t>HK$98.44B</t>
  </si>
  <si>
    <t>HK$51.50</t>
  </si>
  <si>
    <t>Costco Wholesale Corp</t>
  </si>
  <si>
    <t>COST</t>
  </si>
  <si>
    <t>$421.95B</t>
  </si>
  <si>
    <t>$951.45</t>
  </si>
  <si>
    <t>Airports Of Thailand PLC Units Non-voting depository receipts</t>
  </si>
  <si>
    <t>AOT-R</t>
  </si>
  <si>
    <t>Companhia De Saneamento Basico Do Estado De Sao Paulo ADR</t>
  </si>
  <si>
    <t>SBS</t>
  </si>
  <si>
    <t>Foxconn Industrial Internet Co Ltd Class A</t>
  </si>
  <si>
    <t>601138.SS</t>
  </si>
  <si>
    <t>¥1.55T</t>
  </si>
  <si>
    <t>¥78.08</t>
  </si>
  <si>
    <t>BYD Co Ltd Class H</t>
  </si>
  <si>
    <t>01211</t>
  </si>
  <si>
    <t>Cognex Corp</t>
  </si>
  <si>
    <t>CGNX</t>
  </si>
  <si>
    <t>$11.00B</t>
  </si>
  <si>
    <t>$66.10</t>
  </si>
  <si>
    <t>Ouster Inc Ordinary Shares - Class A</t>
  </si>
  <si>
    <t>OUST</t>
  </si>
  <si>
    <t>$2.97B</t>
  </si>
  <si>
    <t>$46.57</t>
  </si>
  <si>
    <t>Billionbrains Garage Ventures Ltd</t>
  </si>
  <si>
    <t>GROWW.NS</t>
  </si>
  <si>
    <t>₹1.24T</t>
  </si>
  <si>
    <t>₹199.87</t>
  </si>
  <si>
    <t>Atlas Energy Solutions Inc Class A</t>
  </si>
  <si>
    <t>AESI</t>
  </si>
  <si>
    <t>$2.02B</t>
  </si>
  <si>
    <t>$16.20</t>
  </si>
  <si>
    <t>Celanese Corp Class A</t>
  </si>
  <si>
    <t>CE</t>
  </si>
  <si>
    <t>$5.61B</t>
  </si>
  <si>
    <t>$51.16</t>
  </si>
  <si>
    <t>Li Auto Inc Ordinary Shares - Class A</t>
  </si>
  <si>
    <t>2015.HK</t>
  </si>
  <si>
    <t>HK$104.46B</t>
  </si>
  <si>
    <t>HK$52.00</t>
  </si>
  <si>
    <t>Nordex SE Akt. nach Kapitalherabsetzung</t>
  </si>
  <si>
    <t>NDX1.DE</t>
  </si>
  <si>
    <t>€11.30B</t>
  </si>
  <si>
    <t>€47.72</t>
  </si>
  <si>
    <t>Contemporary Amperex Technology Co Ltd Ordinary Shares - Class H</t>
  </si>
  <si>
    <t>03750</t>
  </si>
  <si>
    <t>Hygon Information Technology Co Ltd Class A</t>
  </si>
  <si>
    <t>688041.SS</t>
  </si>
  <si>
    <t>¥762.38B</t>
  </si>
  <si>
    <t>¥328.00</t>
  </si>
  <si>
    <t>Bharat Electronics Ltd</t>
  </si>
  <si>
    <t>BEL.NS</t>
  </si>
  <si>
    <t>₹3.12T</t>
  </si>
  <si>
    <t>₹426.90</t>
  </si>
  <si>
    <t>Hindustan Aeronautics Ltd Ordinary Shares</t>
  </si>
  <si>
    <t>HAL.BO</t>
  </si>
  <si>
    <t>₹2.95T</t>
  </si>
  <si>
    <t>₹4408.05</t>
  </si>
  <si>
    <t>Aeva Technologies Inc Ordinary Shares</t>
  </si>
  <si>
    <t>AEVA</t>
  </si>
  <si>
    <t>$1.65B</t>
  </si>
  <si>
    <t>$24.39</t>
  </si>
  <si>
    <t>QuickLogic Corp</t>
  </si>
  <si>
    <t>QUIK</t>
  </si>
  <si>
    <t>$388.16M</t>
  </si>
  <si>
    <t>$21.90</t>
  </si>
  <si>
    <t>Lenskart Solutions Ltd</t>
  </si>
  <si>
    <t>LENSKART.NS</t>
  </si>
  <si>
    <t>₹886.41B</t>
  </si>
  <si>
    <t>₹511.95</t>
  </si>
  <si>
    <t>PB Fintech Ltd</t>
  </si>
  <si>
    <t>POLICYBZR.BO</t>
  </si>
  <si>
    <t>₹755.65B</t>
  </si>
  <si>
    <t>₹1635.45</t>
  </si>
  <si>
    <t>Daeduck Electronics Ordinary Shares</t>
  </si>
  <si>
    <t>353200.KS</t>
  </si>
  <si>
    <t>₩8.05T</t>
  </si>
  <si>
    <t>₩156300.00</t>
  </si>
  <si>
    <t>Vinci SA</t>
  </si>
  <si>
    <t>DG.PA</t>
  </si>
  <si>
    <t>€71.74B</t>
  </si>
  <si>
    <t>€129.65</t>
  </si>
  <si>
    <t>Ubtech Robotics Corp Ltd Ordinary Shares - Class H</t>
  </si>
  <si>
    <t>9880.HK</t>
  </si>
  <si>
    <t>HK$54.52B</t>
  </si>
  <si>
    <t>HK$108.30</t>
  </si>
  <si>
    <t>TJX Companies Inc</t>
  </si>
  <si>
    <t>TJX</t>
  </si>
  <si>
    <t>Kaspi.kz JSC ADS</t>
  </si>
  <si>
    <t>KSPI</t>
  </si>
  <si>
    <t>Kazakhstan (NMS)</t>
  </si>
  <si>
    <t>$15.62B</t>
  </si>
  <si>
    <t>$82.20</t>
  </si>
  <si>
    <t>Prosus NV Ordinary Shares - Class N</t>
  </si>
  <si>
    <t>PRX.AS</t>
  </si>
  <si>
    <t>Netherlands (AMS)</t>
  </si>
  <si>
    <t>€81.47B</t>
  </si>
  <si>
    <t>€38.22</t>
  </si>
  <si>
    <t>Balchem Corp</t>
  </si>
  <si>
    <t>BCPC</t>
  </si>
  <si>
    <t>$5.33B</t>
  </si>
  <si>
    <t>$165.92</t>
  </si>
  <si>
    <t>Veolia Environnement SA</t>
  </si>
  <si>
    <t>VIE.PA</t>
  </si>
  <si>
    <t>Amprius Technologies Inc</t>
  </si>
  <si>
    <t>AMPX</t>
  </si>
  <si>
    <t>$2.29B</t>
  </si>
  <si>
    <t>$16.17</t>
  </si>
  <si>
    <t>Stratasys Ltd</t>
  </si>
  <si>
    <t>SSYS</t>
  </si>
  <si>
    <t>Mirion Technologies Inc Ordinary Shares Class A</t>
  </si>
  <si>
    <t>MIR</t>
  </si>
  <si>
    <t>$4.55B</t>
  </si>
  <si>
    <t>$18.61</t>
  </si>
  <si>
    <t>Mildef Group AB Ordinary Shares</t>
  </si>
  <si>
    <t>MILDEF.ST</t>
  </si>
  <si>
    <t>Sweden (STO)</t>
  </si>
  <si>
    <t>SEK 8.29B</t>
  </si>
  <si>
    <t>SEK 175.95</t>
  </si>
  <si>
    <t>Intuitive Surgical Inc</t>
  </si>
  <si>
    <t>ISRG</t>
  </si>
  <si>
    <t>$144.07B</t>
  </si>
  <si>
    <t>$406.78</t>
  </si>
  <si>
    <t>Materion Corp</t>
  </si>
  <si>
    <t>MTRN</t>
  </si>
  <si>
    <t>$5.72B</t>
  </si>
  <si>
    <t>$274.98</t>
  </si>
  <si>
    <t>ADNOC Drilling Company PJSC</t>
  </si>
  <si>
    <t>ADNOCDRILL.AB</t>
  </si>
  <si>
    <t>Richtech Robotics Inc Class B Common Stock</t>
  </si>
  <si>
    <t>RR</t>
  </si>
  <si>
    <t>$478.50M</t>
  </si>
  <si>
    <t>$2.14</t>
  </si>
  <si>
    <t>Albany International Corp</t>
  </si>
  <si>
    <t>AIN</t>
  </si>
  <si>
    <t>$71.08</t>
  </si>
  <si>
    <t>Smurfit WestRock PLC</t>
  </si>
  <si>
    <t>SW</t>
  </si>
  <si>
    <t>Northland Power Inc</t>
  </si>
  <si>
    <t>NPI.TO</t>
  </si>
  <si>
    <t>C$5.94B</t>
  </si>
  <si>
    <t>C$22.70</t>
  </si>
  <si>
    <t>Jabil Inc</t>
  </si>
  <si>
    <t>JBL</t>
  </si>
  <si>
    <t>$39.23B</t>
  </si>
  <si>
    <t>$371.88</t>
  </si>
  <si>
    <t>Lumentum Holdings Inc</t>
  </si>
  <si>
    <t>LITE</t>
  </si>
  <si>
    <t>$66.13B</t>
  </si>
  <si>
    <t>$850.00</t>
  </si>
  <si>
    <t>Occidental Petroleum Corp</t>
  </si>
  <si>
    <t>OXY</t>
  </si>
  <si>
    <t>$51.54B</t>
  </si>
  <si>
    <t>$51.82</t>
  </si>
  <si>
    <t>Axia Energia ADR</t>
  </si>
  <si>
    <t>AXIA</t>
  </si>
  <si>
    <t>$22.45B</t>
  </si>
  <si>
    <t>$9.98</t>
  </si>
  <si>
    <t>Furukawa Electric Co Ltd</t>
  </si>
  <si>
    <t>5801.T</t>
  </si>
  <si>
    <t>¥3.75T</t>
  </si>
  <si>
    <t>¥53360.00</t>
  </si>
  <si>
    <t>Meridian Energy Ltd</t>
  </si>
  <si>
    <t>MEL.NZ</t>
  </si>
  <si>
    <t>NZD 15.91B</t>
  </si>
  <si>
    <t>NZD 6.03</t>
  </si>
  <si>
    <t>Clear Secure Inc Ordinary Shares Class A</t>
  </si>
  <si>
    <t>YOU</t>
  </si>
  <si>
    <t>Astroscale Holdings Inc</t>
  </si>
  <si>
    <t>186A.T</t>
  </si>
  <si>
    <t>¥165.79B</t>
  </si>
  <si>
    <t>¥1198.00</t>
  </si>
  <si>
    <t>Grupo Aeroportuario del Sureste SAB de CV ADR</t>
  </si>
  <si>
    <t>ASR</t>
  </si>
  <si>
    <t>$9.26B</t>
  </si>
  <si>
    <t>$308.21</t>
  </si>
  <si>
    <t>NetApp Inc</t>
  </si>
  <si>
    <t>NTAP</t>
  </si>
  <si>
    <t>$31.29B</t>
  </si>
  <si>
    <t>$159.71</t>
  </si>
  <si>
    <t>Gates Industrial Corp PLC</t>
  </si>
  <si>
    <t>GTES</t>
  </si>
  <si>
    <t>$7.13B</t>
  </si>
  <si>
    <t>$28.09</t>
  </si>
  <si>
    <t>SailPoint Inc</t>
  </si>
  <si>
    <t>SAIL</t>
  </si>
  <si>
    <t>Aurora Innovation Inc Class A</t>
  </si>
  <si>
    <t>AUR</t>
  </si>
  <si>
    <t>$12.32B</t>
  </si>
  <si>
    <t>$6.28</t>
  </si>
  <si>
    <t>Axia Energia</t>
  </si>
  <si>
    <t>AXIA3.SA</t>
  </si>
  <si>
    <t>Brazil (SAO)</t>
  </si>
  <si>
    <t>BRL 116.52B</t>
  </si>
  <si>
    <t>BRL 51.81</t>
  </si>
  <si>
    <t>Xylem Inc</t>
  </si>
  <si>
    <t>XYL</t>
  </si>
  <si>
    <t>Sensient Technologies Corp</t>
  </si>
  <si>
    <t>SXT</t>
  </si>
  <si>
    <t>Veralto Corp</t>
  </si>
  <si>
    <t>VLTO</t>
  </si>
  <si>
    <t>Robinhood Markets Inc Class A</t>
  </si>
  <si>
    <t>HOOD</t>
  </si>
  <si>
    <t>$97.39B</t>
  </si>
  <si>
    <t>$108.15</t>
  </si>
  <si>
    <t>KE Holdings Inc Class A</t>
  </si>
  <si>
    <t>2423.HK</t>
  </si>
  <si>
    <t>HK$132.51B</t>
  </si>
  <si>
    <t>HK$39.72</t>
  </si>
  <si>
    <t>PG&amp;E Corp</t>
  </si>
  <si>
    <t>PCG</t>
  </si>
  <si>
    <t>$36.29B</t>
  </si>
  <si>
    <t>$16.48</t>
  </si>
  <si>
    <t>Palladyne AI Corp Class A</t>
  </si>
  <si>
    <t>PDYN</t>
  </si>
  <si>
    <t>$330.71M</t>
  </si>
  <si>
    <t>$7.00</t>
  </si>
  <si>
    <t>FedEx Corp</t>
  </si>
  <si>
    <t>FDX</t>
  </si>
  <si>
    <t>$77.83B</t>
  </si>
  <si>
    <t>$326.20</t>
  </si>
  <si>
    <t>Verbund AG Class A</t>
  </si>
  <si>
    <t>VER.VI</t>
  </si>
  <si>
    <t>Flex LNG Ltd</t>
  </si>
  <si>
    <t>FLNG</t>
  </si>
  <si>
    <t>Bermuda (NYQ)</t>
  </si>
  <si>
    <t>$1.61B</t>
  </si>
  <si>
    <t>$29.74</t>
  </si>
  <si>
    <t>Doral Group Renewable Eneryy Resources Ltd Ordinary Shares</t>
  </si>
  <si>
    <t>DORL.TA</t>
  </si>
  <si>
    <t>ILA 15.49B</t>
  </si>
  <si>
    <t>ILA 7183.00</t>
  </si>
  <si>
    <t>Lynas Rare Earths Ltd</t>
  </si>
  <si>
    <t>LYC.AX</t>
  </si>
  <si>
    <t>A$18.30B</t>
  </si>
  <si>
    <t>A$18.18</t>
  </si>
  <si>
    <t>Applied Industrial Technologies Inc</t>
  </si>
  <si>
    <t>AIT</t>
  </si>
  <si>
    <t>$12.49B</t>
  </si>
  <si>
    <t>$337.96</t>
  </si>
  <si>
    <t>Rolls-Royce Holdings PLC ADR</t>
  </si>
  <si>
    <t>RYCEY</t>
  </si>
  <si>
    <t>United Kingdom (PNK)</t>
  </si>
  <si>
    <t>$155.48B</t>
  </si>
  <si>
    <t>$18.76</t>
  </si>
  <si>
    <t>Iron Mountain Inc</t>
  </si>
  <si>
    <t>IRM</t>
  </si>
  <si>
    <t>$127.83</t>
  </si>
  <si>
    <t>FSN E-Commerce Ventures Ltd</t>
  </si>
  <si>
    <t>NYKAA.BO</t>
  </si>
  <si>
    <t>₹866.45B</t>
  </si>
  <si>
    <t>₹302.55</t>
  </si>
  <si>
    <t>Gorilla Technology Group Inc</t>
  </si>
  <si>
    <t>GRRR</t>
  </si>
  <si>
    <t>United Kingdom (NCM)</t>
  </si>
  <si>
    <t>$459.11M</t>
  </si>
  <si>
    <t>$16.54</t>
  </si>
  <si>
    <t>Droneshield Ltd</t>
  </si>
  <si>
    <t>DRO.AX</t>
  </si>
  <si>
    <t>A$2.53B</t>
  </si>
  <si>
    <t>A$2.74</t>
  </si>
  <si>
    <t>IEIT Systems Co Ltd Class A</t>
  </si>
  <si>
    <t>000977.SZ</t>
  </si>
  <si>
    <t>¥96.42B</t>
  </si>
  <si>
    <t>¥65.66</t>
  </si>
  <si>
    <t>Johnson Controls International PLC Registered Shares</t>
  </si>
  <si>
    <t>JCI</t>
  </si>
  <si>
    <t>$88.36B</t>
  </si>
  <si>
    <t>$144.82</t>
  </si>
  <si>
    <t>Forgent Power Solutions Inc Ordinary Shares - Class A</t>
  </si>
  <si>
    <t>FPS</t>
  </si>
  <si>
    <t>$19.30B</t>
  </si>
  <si>
    <t>$63.41</t>
  </si>
  <si>
    <t>Barrick Mining Corp</t>
  </si>
  <si>
    <t>ABX.TO</t>
  </si>
  <si>
    <t>C$94.15B</t>
  </si>
  <si>
    <t>C$56.19</t>
  </si>
  <si>
    <t>Halliburton Co</t>
  </si>
  <si>
    <t>HAL</t>
  </si>
  <si>
    <t>$29.18B</t>
  </si>
  <si>
    <t>$34.93</t>
  </si>
  <si>
    <t>Anglo American PLC</t>
  </si>
  <si>
    <t>AAL.L</t>
  </si>
  <si>
    <t>£41.68B</t>
  </si>
  <si>
    <t>£3890.00</t>
  </si>
  <si>
    <t>VINATech Co Ltd</t>
  </si>
  <si>
    <t>126340.KQ</t>
  </si>
  <si>
    <t>₩846.15B</t>
  </si>
  <si>
    <t>₩121800.00</t>
  </si>
  <si>
    <t>Datasection Inc</t>
  </si>
  <si>
    <t>3905.T</t>
  </si>
  <si>
    <t>¥156.40B</t>
  </si>
  <si>
    <t>¥5270.00</t>
  </si>
  <si>
    <t>Sunrun Inc</t>
  </si>
  <si>
    <t>RUN</t>
  </si>
  <si>
    <t>$3.23B</t>
  </si>
  <si>
    <t>$13.52</t>
  </si>
  <si>
    <t>Xiaomi Corp Class B</t>
  </si>
  <si>
    <t>1810.HK</t>
  </si>
  <si>
    <t>HK$632.82B</t>
  </si>
  <si>
    <t>HK$24.58</t>
  </si>
  <si>
    <t>Fortum Oyj</t>
  </si>
  <si>
    <t>FORTUM.HE</t>
  </si>
  <si>
    <t>Finland (HEL)</t>
  </si>
  <si>
    <t>€17.42B</t>
  </si>
  <si>
    <t>€19.41</t>
  </si>
  <si>
    <t>Zhejiang He Chuan Technology Corp Ltd Class A</t>
  </si>
  <si>
    <t>688320.SS</t>
  </si>
  <si>
    <t>¥5.84B</t>
  </si>
  <si>
    <t>¥38.65</t>
  </si>
  <si>
    <t>Morgan Stanley Instl Lqudty Trs Instl</t>
  </si>
  <si>
    <t>MISXX</t>
  </si>
  <si>
    <t>Extreme Networks Inc</t>
  </si>
  <si>
    <t>EXTR</t>
  </si>
  <si>
    <t>$4.10B</t>
  </si>
  <si>
    <t>$31.38</t>
  </si>
  <si>
    <t>Hitachi Ltd</t>
  </si>
  <si>
    <t>6501.T</t>
  </si>
  <si>
    <t>¥21.42T</t>
  </si>
  <si>
    <t>¥4764.00</t>
  </si>
  <si>
    <t>Williams-Sonoma Inc</t>
  </si>
  <si>
    <t>WSM</t>
  </si>
  <si>
    <t>IQVIA Holdings Inc</t>
  </si>
  <si>
    <t>IQV</t>
  </si>
  <si>
    <t>$28.00B</t>
  </si>
  <si>
    <t>$167.77</t>
  </si>
  <si>
    <t>NIO Inc Class A</t>
  </si>
  <si>
    <t>9866.HK</t>
  </si>
  <si>
    <t>HK$102.83B</t>
  </si>
  <si>
    <t>HK$40.82</t>
  </si>
  <si>
    <t>DSV AS</t>
  </si>
  <si>
    <t>DSV.CO</t>
  </si>
  <si>
    <t>DKK 364.29B</t>
  </si>
  <si>
    <t>DKK 1527.00</t>
  </si>
  <si>
    <t>Ur-Energy Inc</t>
  </si>
  <si>
    <t>URE.TO</t>
  </si>
  <si>
    <t>JD.com Inc ADR</t>
  </si>
  <si>
    <t>JD</t>
  </si>
  <si>
    <t>$37.23B</t>
  </si>
  <si>
    <t>$27.57</t>
  </si>
  <si>
    <t>Qatar Gas Transport Co Ltd (Nakilat) QSC</t>
  </si>
  <si>
    <t>QGTS.QA</t>
  </si>
  <si>
    <t>Qatar (DOH)</t>
  </si>
  <si>
    <t>QAR 24.82B</t>
  </si>
  <si>
    <t>QAR 4.48</t>
  </si>
  <si>
    <t>Sylvamo Corp Ordinary Shares When Issued</t>
  </si>
  <si>
    <t>SLVM</t>
  </si>
  <si>
    <t>Singapore Technologies Engineering Ltd</t>
  </si>
  <si>
    <t>S63.SI</t>
  </si>
  <si>
    <t>Warrior Met Coal Inc</t>
  </si>
  <si>
    <t>HCC</t>
  </si>
  <si>
    <t>$4.78B</t>
  </si>
  <si>
    <t>$90.58</t>
  </si>
  <si>
    <t>RB Global Inc</t>
  </si>
  <si>
    <t>RBA.TO</t>
  </si>
  <si>
    <t>C$29.16B</t>
  </si>
  <si>
    <t>C$156.51</t>
  </si>
  <si>
    <t>RBC Bearings Inc</t>
  </si>
  <si>
    <t>RBC</t>
  </si>
  <si>
    <t>$20.22B</t>
  </si>
  <si>
    <t>$639.18</t>
  </si>
  <si>
    <t>Oscar Health Inc Class A</t>
  </si>
  <si>
    <t>OSCR</t>
  </si>
  <si>
    <t>$8.56B</t>
  </si>
  <si>
    <t>$28.40</t>
  </si>
  <si>
    <t>Yijiahe Technology Co Ltd Class A</t>
  </si>
  <si>
    <t>603666.SS</t>
  </si>
  <si>
    <t>¥5.72B</t>
  </si>
  <si>
    <t>¥27.83</t>
  </si>
  <si>
    <t>Century Aluminum Co</t>
  </si>
  <si>
    <t>CENX</t>
  </si>
  <si>
    <t>$5.12B</t>
  </si>
  <si>
    <t>$51.71</t>
  </si>
  <si>
    <t>Insulet Corp</t>
  </si>
  <si>
    <t>PODD</t>
  </si>
  <si>
    <t>$10.10B</t>
  </si>
  <si>
    <t>$145.76</t>
  </si>
  <si>
    <t>Icon PLC</t>
  </si>
  <si>
    <t>ICLR</t>
  </si>
  <si>
    <t>$11.18B</t>
  </si>
  <si>
    <t>$146.00</t>
  </si>
  <si>
    <t>DoorDash Inc Ordinary Shares - Class A</t>
  </si>
  <si>
    <t>DASH</t>
  </si>
  <si>
    <t>$75.58B</t>
  </si>
  <si>
    <t>$173.46</t>
  </si>
  <si>
    <t>Textron Inc</t>
  </si>
  <si>
    <t>TXT</t>
  </si>
  <si>
    <t>Mastercard Inc Class A</t>
  </si>
  <si>
    <t>MA</t>
  </si>
  <si>
    <t>$432.77B</t>
  </si>
  <si>
    <t>$489.79</t>
  </si>
  <si>
    <t>H.B. Fuller Co</t>
  </si>
  <si>
    <t>FUL</t>
  </si>
  <si>
    <t>$3.53B</t>
  </si>
  <si>
    <t>$64.86</t>
  </si>
  <si>
    <t>Ormat Technologies Inc</t>
  </si>
  <si>
    <t>ORA</t>
  </si>
  <si>
    <t>$7.85B</t>
  </si>
  <si>
    <t>$127.68</t>
  </si>
  <si>
    <t>Basf SE</t>
  </si>
  <si>
    <t>BAS.DE</t>
  </si>
  <si>
    <t>€43.34B</t>
  </si>
  <si>
    <t>€49.01</t>
  </si>
  <si>
    <t>DigitalBridge Group Inc Class A</t>
  </si>
  <si>
    <t>DBRG</t>
  </si>
  <si>
    <t>$2.92B</t>
  </si>
  <si>
    <t>$15.77</t>
  </si>
  <si>
    <t>Mobileye Global Inc Ordinary Shares - Class A</t>
  </si>
  <si>
    <t>MBLY</t>
  </si>
  <si>
    <t>Israel (NMS)</t>
  </si>
  <si>
    <t>$7.12B</t>
  </si>
  <si>
    <t>$8.46</t>
  </si>
  <si>
    <t>Modine Manufacturing Co</t>
  </si>
  <si>
    <t>MOD</t>
  </si>
  <si>
    <t>$15.71B</t>
  </si>
  <si>
    <t>$297.37</t>
  </si>
  <si>
    <t>OGE Energy Corp</t>
  </si>
  <si>
    <t>OGE</t>
  </si>
  <si>
    <t>$9.76B</t>
  </si>
  <si>
    <t>$47.30</t>
  </si>
  <si>
    <t>Applied Digital Corp</t>
  </si>
  <si>
    <t>APLD</t>
  </si>
  <si>
    <t>$13.31B</t>
  </si>
  <si>
    <t>$46.59</t>
  </si>
  <si>
    <t>EFORT Intelligent Robot Co Ltd Class A</t>
  </si>
  <si>
    <t>688165.SS</t>
  </si>
  <si>
    <t>¥10.97B</t>
  </si>
  <si>
    <t>¥21.03</t>
  </si>
  <si>
    <t>Firstec Co Ltd</t>
  </si>
  <si>
    <t>010820.KS</t>
  </si>
  <si>
    <t>₩348.23B</t>
  </si>
  <si>
    <t>₩7140.00</t>
  </si>
  <si>
    <t>Gen Digital Inc</t>
  </si>
  <si>
    <t>GEN</t>
  </si>
  <si>
    <t>$14.57B</t>
  </si>
  <si>
    <t>$24.18</t>
  </si>
  <si>
    <t>Netskope Inc Ordinary Shares - Class A</t>
  </si>
  <si>
    <t>NTSK</t>
  </si>
  <si>
    <t>$3.66B</t>
  </si>
  <si>
    <t>$9.05</t>
  </si>
  <si>
    <t>Antofagasta PLC</t>
  </si>
  <si>
    <t>ANTO.L</t>
  </si>
  <si>
    <t>£38.57B</t>
  </si>
  <si>
    <t>£3912.00</t>
  </si>
  <si>
    <t>Suzhou TFC Optical Communications Co Ltd Class A</t>
  </si>
  <si>
    <t>300394.SZ</t>
  </si>
  <si>
    <t>¥367.17B</t>
  </si>
  <si>
    <t>¥336.60</t>
  </si>
  <si>
    <t>Pinnacle West Capital Corp</t>
  </si>
  <si>
    <t>PNW</t>
  </si>
  <si>
    <t>$12.40B</t>
  </si>
  <si>
    <t>$102.32</t>
  </si>
  <si>
    <t>Garmin Ltd</t>
  </si>
  <si>
    <t>GRMN</t>
  </si>
  <si>
    <t>Switzerland (NYQ)</t>
  </si>
  <si>
    <t>$45.17B</t>
  </si>
  <si>
    <t>$234.20</t>
  </si>
  <si>
    <t>Knowledge Atlas Technology Joint Stock Co Ltd Ordinary Shares - Class H</t>
  </si>
  <si>
    <t>2513.HK</t>
  </si>
  <si>
    <t>HK$933.60B</t>
  </si>
  <si>
    <t>HK$2094.00</t>
  </si>
  <si>
    <t>Circle Internet Group Inc Ordinary Shares - Class A</t>
  </si>
  <si>
    <t>CRCL</t>
  </si>
  <si>
    <t>$21.44B</t>
  </si>
  <si>
    <t>$80.23</t>
  </si>
  <si>
    <t>Martin Marietta Materials Inc</t>
  </si>
  <si>
    <t>MLM</t>
  </si>
  <si>
    <t>$36.58B</t>
  </si>
  <si>
    <t>$609.12</t>
  </si>
  <si>
    <t>One97 Communications Ltd</t>
  </si>
  <si>
    <t>PAYTM.BO</t>
  </si>
  <si>
    <t>₹698.26B</t>
  </si>
  <si>
    <t>₹1090.45</t>
  </si>
  <si>
    <t>Amrize Ltd Registered Share</t>
  </si>
  <si>
    <t>AMRZ.SW</t>
  </si>
  <si>
    <t>CHF 24.14B</t>
  </si>
  <si>
    <t>CHF 43.61</t>
  </si>
  <si>
    <t>Grupo Mexico SAB de CV Class B</t>
  </si>
  <si>
    <t>GMEXICOB.MX</t>
  </si>
  <si>
    <t>Mexico (MEX)</t>
  </si>
  <si>
    <t>MXN 1.62T</t>
  </si>
  <si>
    <t>MXN 207.87</t>
  </si>
  <si>
    <t>Sirius XM Holdings Inc</t>
  </si>
  <si>
    <t>SIRI</t>
  </si>
  <si>
    <t>Pony AI Inc ADR</t>
  </si>
  <si>
    <t>PONY</t>
  </si>
  <si>
    <t>$3.62B</t>
  </si>
  <si>
    <t>$8.34</t>
  </si>
  <si>
    <t>The Chemours Co</t>
  </si>
  <si>
    <t>CC</t>
  </si>
  <si>
    <t>$3.27B</t>
  </si>
  <si>
    <t>$21.77</t>
  </si>
  <si>
    <t>Terex Corp</t>
  </si>
  <si>
    <t>TEX</t>
  </si>
  <si>
    <t>CenterPoint Energy Inc</t>
  </si>
  <si>
    <t>CNP</t>
  </si>
  <si>
    <t>$28.01B</t>
  </si>
  <si>
    <t>$42.82</t>
  </si>
  <si>
    <t>CGN Mining Co Ltd</t>
  </si>
  <si>
    <t>1164.HK</t>
  </si>
  <si>
    <t>Hong Kong (HKG)</t>
  </si>
  <si>
    <t>HK$22.04B</t>
  </si>
  <si>
    <t>HK$2.90</t>
  </si>
  <si>
    <t>Viavi Solutions Inc</t>
  </si>
  <si>
    <t>VIAV</t>
  </si>
  <si>
    <t>Southern Copper Corp</t>
  </si>
  <si>
    <t>SCCO</t>
  </si>
  <si>
    <t>Shenzhen Inovance Technology Co Ltd Class A</t>
  </si>
  <si>
    <t>300124.SZ</t>
  </si>
  <si>
    <t>¥192.73B</t>
  </si>
  <si>
    <t>¥71.18</t>
  </si>
  <si>
    <t>Kingsoft Cloud Holdings Ltd</t>
  </si>
  <si>
    <t>3896.HK</t>
  </si>
  <si>
    <t>HK$23.58B</t>
  </si>
  <si>
    <t>HK$5.25</t>
  </si>
  <si>
    <t>Venture Global Inc Ordinary Shares - Class A</t>
  </si>
  <si>
    <t>VG</t>
  </si>
  <si>
    <t>Mitsubishi Heavy Industries Ltd</t>
  </si>
  <si>
    <t>7011.T</t>
  </si>
  <si>
    <t>¥13.16T</t>
  </si>
  <si>
    <t>¥3917.00</t>
  </si>
  <si>
    <t>CGN Power Co Ltd Shs -H- Unitary 144A/Reg S</t>
  </si>
  <si>
    <t>1816.HK</t>
  </si>
  <si>
    <t>HK$144.93B</t>
  </si>
  <si>
    <t>HK$2.87</t>
  </si>
  <si>
    <t>PureCycle Technologies Inc Ordinary Shares</t>
  </si>
  <si>
    <t>PCT</t>
  </si>
  <si>
    <t>$1.75B</t>
  </si>
  <si>
    <t>$8.70</t>
  </si>
  <si>
    <t>MTU Aero Engines AG</t>
  </si>
  <si>
    <t>MTX.DE</t>
  </si>
  <si>
    <t>€17.92B</t>
  </si>
  <si>
    <t>€332.80</t>
  </si>
  <si>
    <t>Melrose Industries PLC</t>
  </si>
  <si>
    <t>MRO.L</t>
  </si>
  <si>
    <t>£5.87B</t>
  </si>
  <si>
    <t>£471.00</t>
  </si>
  <si>
    <t>Advantech Co Ltd</t>
  </si>
  <si>
    <t>2395.TW</t>
  </si>
  <si>
    <t>NT$428.92B</t>
  </si>
  <si>
    <t>NT$494.00</t>
  </si>
  <si>
    <t>Kuaishou Technology Ordinary Shares - Class B</t>
  </si>
  <si>
    <t>1024.HK</t>
  </si>
  <si>
    <t>HK$204.29B</t>
  </si>
  <si>
    <t>HK$47.24</t>
  </si>
  <si>
    <t>ENGIE Brasil Energia SA</t>
  </si>
  <si>
    <t>EGIE3.SA</t>
  </si>
  <si>
    <t>BRL 38.70B</t>
  </si>
  <si>
    <t>BRL 33.88</t>
  </si>
  <si>
    <t>Qualys Inc</t>
  </si>
  <si>
    <t>QLYS</t>
  </si>
  <si>
    <t>$3.92B</t>
  </si>
  <si>
    <t>$111.30</t>
  </si>
  <si>
    <t>Zhongji Innolight Co Ltd Class A</t>
  </si>
  <si>
    <t>300308.SZ</t>
  </si>
  <si>
    <t>¥1.53T</t>
  </si>
  <si>
    <t>¥1367.88</t>
  </si>
  <si>
    <t>United Microelectronics Corp ADR</t>
  </si>
  <si>
    <t>UMC</t>
  </si>
  <si>
    <t>Flex Ltd</t>
  </si>
  <si>
    <t>FLEX</t>
  </si>
  <si>
    <t>$54.08B</t>
  </si>
  <si>
    <t>$147.61</t>
  </si>
  <si>
    <t>Kawasaki Heavy Industries Ltd</t>
  </si>
  <si>
    <t>7012.T</t>
  </si>
  <si>
    <t>¥2.67T</t>
  </si>
  <si>
    <t>¥3191.00</t>
  </si>
  <si>
    <t>Generac Holdings Inc</t>
  </si>
  <si>
    <t>GNRC</t>
  </si>
  <si>
    <t>$16.43B</t>
  </si>
  <si>
    <t>$279.15</t>
  </si>
  <si>
    <t>OHB SE</t>
  </si>
  <si>
    <t>OHB.DE</t>
  </si>
  <si>
    <t>€7.77B</t>
  </si>
  <si>
    <t>€405.50</t>
  </si>
  <si>
    <t>International Flavors &amp; Fragrances Inc</t>
  </si>
  <si>
    <t>IFF</t>
  </si>
  <si>
    <t>$19.59B</t>
  </si>
  <si>
    <t>$76.72</t>
  </si>
  <si>
    <t>Kinetik Holdings Inc</t>
  </si>
  <si>
    <t>KNTK</t>
  </si>
  <si>
    <t>$7.78B</t>
  </si>
  <si>
    <t>$46.53</t>
  </si>
  <si>
    <t>GE HealthCare Technologies Inc Common Stock</t>
  </si>
  <si>
    <t>GEHC</t>
  </si>
  <si>
    <t>$28.02B</t>
  </si>
  <si>
    <t>$61.59</t>
  </si>
  <si>
    <t>WeRide Inc ADR</t>
  </si>
  <si>
    <t>WRD</t>
  </si>
  <si>
    <t>Western Midstream Partners LP</t>
  </si>
  <si>
    <t>WES</t>
  </si>
  <si>
    <t>United Parcel Service Inc Class B</t>
  </si>
  <si>
    <t>UPS</t>
  </si>
  <si>
    <t>Cummins Inc</t>
  </si>
  <si>
    <t>CMI</t>
  </si>
  <si>
    <t>$98.92B</t>
  </si>
  <si>
    <t>$716.86</t>
  </si>
  <si>
    <t>Veeva Systems Inc Class A</t>
  </si>
  <si>
    <t>VEEV</t>
  </si>
  <si>
    <t>Diamondback Energy Inc</t>
  </si>
  <si>
    <t>FANG</t>
  </si>
  <si>
    <t>$51.62B</t>
  </si>
  <si>
    <t>$183.50</t>
  </si>
  <si>
    <t>SFC Energy AG</t>
  </si>
  <si>
    <t>F3C.DE</t>
  </si>
  <si>
    <t>€412.33M</t>
  </si>
  <si>
    <t>€23.70</t>
  </si>
  <si>
    <t>Koninklijke Philips NV</t>
  </si>
  <si>
    <t>PHIA.AS</t>
  </si>
  <si>
    <t>€22.84B</t>
  </si>
  <si>
    <t>€23.50</t>
  </si>
  <si>
    <t>Eoptolink Technology Inc Ltd Class A</t>
  </si>
  <si>
    <t>300502.SZ</t>
  </si>
  <si>
    <t>¥810.73B</t>
  </si>
  <si>
    <t>¥581.48</t>
  </si>
  <si>
    <t>Korea Electric Power Corp ADR</t>
  </si>
  <si>
    <t>KEP</t>
  </si>
  <si>
    <t>South Korea (NYQ)</t>
  </si>
  <si>
    <t>$16.69B</t>
  </si>
  <si>
    <t>$13.00</t>
  </si>
  <si>
    <t>The Mosaic Co</t>
  </si>
  <si>
    <t>MOS</t>
  </si>
  <si>
    <t>$7.28B</t>
  </si>
  <si>
    <t>$22.90</t>
  </si>
  <si>
    <t>PPG Industries Inc</t>
  </si>
  <si>
    <t>PPG</t>
  </si>
  <si>
    <t>$26.36B</t>
  </si>
  <si>
    <t>$118.25</t>
  </si>
  <si>
    <t>Poongsan Corp</t>
  </si>
  <si>
    <t>103140.KS</t>
  </si>
  <si>
    <t>₩1.94T</t>
  </si>
  <si>
    <t>₩71000.00</t>
  </si>
  <si>
    <t>Saia Inc</t>
  </si>
  <si>
    <t>SAIA</t>
  </si>
  <si>
    <t>SoundHound AI Inc Ordinary Shares - Class A</t>
  </si>
  <si>
    <t>SOUN</t>
  </si>
  <si>
    <t>Xcel Energy Inc</t>
  </si>
  <si>
    <t>XEL</t>
  </si>
  <si>
    <t>Masimo Corp</t>
  </si>
  <si>
    <t>MASI</t>
  </si>
  <si>
    <t>$9.42B</t>
  </si>
  <si>
    <t>$179.95</t>
  </si>
  <si>
    <t>South Bow Corp</t>
  </si>
  <si>
    <t>SOBO.TO</t>
  </si>
  <si>
    <t>Atmos Energy Corp</t>
  </si>
  <si>
    <t>ATO</t>
  </si>
  <si>
    <t>$28.39B</t>
  </si>
  <si>
    <t>$170.11</t>
  </si>
  <si>
    <t>USA Rare Earth Inc</t>
  </si>
  <si>
    <t>USAR</t>
  </si>
  <si>
    <t>Roku Inc Class A</t>
  </si>
  <si>
    <t>ROKU</t>
  </si>
  <si>
    <t>$138.07</t>
  </si>
  <si>
    <t>Workday Inc Class A</t>
  </si>
  <si>
    <t>WDAY</t>
  </si>
  <si>
    <t>Mercury Systems Inc</t>
  </si>
  <si>
    <t>MRCY</t>
  </si>
  <si>
    <t>$6.84B</t>
  </si>
  <si>
    <t>$113.91</t>
  </si>
  <si>
    <t>MakeMyTrip Ltd</t>
  </si>
  <si>
    <t>MMYT</t>
  </si>
  <si>
    <t>India (NMS)</t>
  </si>
  <si>
    <t>$4.43B</t>
  </si>
  <si>
    <t>$46.72</t>
  </si>
  <si>
    <t>Schneider Electric SE ADR</t>
  </si>
  <si>
    <t>SBGSY</t>
  </si>
  <si>
    <t>SMC Corp</t>
  </si>
  <si>
    <t>6273.T</t>
  </si>
  <si>
    <t>¥4.59T</t>
  </si>
  <si>
    <t>¥72840.00</t>
  </si>
  <si>
    <t>NEL ASA</t>
  </si>
  <si>
    <t>NEL.OL</t>
  </si>
  <si>
    <t>Norway (OSL)</t>
  </si>
  <si>
    <t>NOK 4.53B</t>
  </si>
  <si>
    <t>NOK 2.46</t>
  </si>
  <si>
    <t>C.H. Robinson Worldwide Inc</t>
  </si>
  <si>
    <t>CHRW</t>
  </si>
  <si>
    <t>$21.81B</t>
  </si>
  <si>
    <t>$185.04</t>
  </si>
  <si>
    <t>Full Truck Alliance Co Ltd ADR</t>
  </si>
  <si>
    <t>YMM</t>
  </si>
  <si>
    <t>Grab Holdings Ltd Class A</t>
  </si>
  <si>
    <t>GRAB</t>
  </si>
  <si>
    <t>Singapore (NMS)</t>
  </si>
  <si>
    <t>$14.60B</t>
  </si>
  <si>
    <t>Pro Medicus Ltd</t>
  </si>
  <si>
    <t>PME.AX</t>
  </si>
  <si>
    <t>A$18.05B</t>
  </si>
  <si>
    <t>A$172.80</t>
  </si>
  <si>
    <t>SNT Dynamics Co Ltd</t>
  </si>
  <si>
    <t>003570.KS</t>
  </si>
  <si>
    <t>₩1.01T</t>
  </si>
  <si>
    <t>₩40450.00</t>
  </si>
  <si>
    <t>Yellow Cake PLC Ordinary Shares</t>
  </si>
  <si>
    <t>YCA.L</t>
  </si>
  <si>
    <t>Elia Group SA/NV</t>
  </si>
  <si>
    <t>ELI.BR</t>
  </si>
  <si>
    <t>Belgium (BRU)</t>
  </si>
  <si>
    <t>€14.44B</t>
  </si>
  <si>
    <t>€132.30</t>
  </si>
  <si>
    <t>Clean Harbors Inc</t>
  </si>
  <si>
    <t>CLH</t>
  </si>
  <si>
    <t>$15.25B</t>
  </si>
  <si>
    <t>$288.60</t>
  </si>
  <si>
    <t>TransDigm Group Inc</t>
  </si>
  <si>
    <t>TDG</t>
  </si>
  <si>
    <t>Dycom Industries Inc</t>
  </si>
  <si>
    <t>DY</t>
  </si>
  <si>
    <t>$13.71B</t>
  </si>
  <si>
    <t>$456.65</t>
  </si>
  <si>
    <t>Hims &amp; Hers Health Inc Ordinary Shares - Class A</t>
  </si>
  <si>
    <t>HIMS</t>
  </si>
  <si>
    <t>$8.21B</t>
  </si>
  <si>
    <t>$35.47</t>
  </si>
  <si>
    <t>Samsara Inc Ordinary Shares - Class A</t>
  </si>
  <si>
    <t>IOT</t>
  </si>
  <si>
    <t>$18.47B</t>
  </si>
  <si>
    <t>$31.69</t>
  </si>
  <si>
    <t>The Magnum Ice Cream Co NV</t>
  </si>
  <si>
    <t>MICC.AS</t>
  </si>
  <si>
    <t>€8.73B</t>
  </si>
  <si>
    <t>€14.25</t>
  </si>
  <si>
    <t>Krystal Biotech Inc</t>
  </si>
  <si>
    <t>KRYS</t>
  </si>
  <si>
    <t>$10.26B</t>
  </si>
  <si>
    <t>$348.06</t>
  </si>
  <si>
    <t>Reliance Inc</t>
  </si>
  <si>
    <t>RS</t>
  </si>
  <si>
    <t>$20.23B</t>
  </si>
  <si>
    <t>$396.34</t>
  </si>
  <si>
    <t>SKY Perfect JSAT Corp</t>
  </si>
  <si>
    <t>9412.T</t>
  </si>
  <si>
    <t>¥907.01B</t>
  </si>
  <si>
    <t>¥3200.00</t>
  </si>
  <si>
    <t>Hyliion Holdings Corp Ordinary Shares - Class A</t>
  </si>
  <si>
    <t>HYLN</t>
  </si>
  <si>
    <t>United States (ASE)</t>
  </si>
  <si>
    <t>$1.44B</t>
  </si>
  <si>
    <t>$8.10</t>
  </si>
  <si>
    <t>Antero Midstream Corp</t>
  </si>
  <si>
    <t>AM</t>
  </si>
  <si>
    <t>$10.31B</t>
  </si>
  <si>
    <t>$21.71</t>
  </si>
  <si>
    <t>Permian Resources Corp Class A</t>
  </si>
  <si>
    <t>PR</t>
  </si>
  <si>
    <t>$15.88B</t>
  </si>
  <si>
    <t>$18.43</t>
  </si>
  <si>
    <t>Voyager Technologies Inc Class A</t>
  </si>
  <si>
    <t>VOYG</t>
  </si>
  <si>
    <t>Diversified Energy Co</t>
  </si>
  <si>
    <t>DEC</t>
  </si>
  <si>
    <t>$940.21M</t>
  </si>
  <si>
    <t>COSCO SHIPPING Energy Transportation Co Ltd Class H</t>
  </si>
  <si>
    <t>1138.HK</t>
  </si>
  <si>
    <t>HK$87.06B</t>
  </si>
  <si>
    <t>HK$15.93</t>
  </si>
  <si>
    <t>ResMed Inc</t>
  </si>
  <si>
    <t>RMD</t>
  </si>
  <si>
    <t>$27.36B</t>
  </si>
  <si>
    <t>$188.63</t>
  </si>
  <si>
    <t>LG Energy Solution Ltd</t>
  </si>
  <si>
    <t>373220.KS</t>
  </si>
  <si>
    <t>₩94.65T</t>
  </si>
  <si>
    <t>₩404500.00</t>
  </si>
  <si>
    <t>China Northern Rare Earth (Group) High-Tech Co Ltd Class A</t>
  </si>
  <si>
    <t>600111.SS</t>
  </si>
  <si>
    <t>¥185.81B</t>
  </si>
  <si>
    <t>¥51.40</t>
  </si>
  <si>
    <t>Silicon Motion Technology Corp ADR</t>
  </si>
  <si>
    <t>SIMO</t>
  </si>
  <si>
    <t>Viper Energy Inc Ordinary Shares - Class A</t>
  </si>
  <si>
    <t>VNOM</t>
  </si>
  <si>
    <t>Fastenal Co</t>
  </si>
  <si>
    <t>FAST</t>
  </si>
  <si>
    <t>$52.68B</t>
  </si>
  <si>
    <t>$45.89</t>
  </si>
  <si>
    <t>Siemens Energy AG ADR - Sponsored</t>
  </si>
  <si>
    <t>SMERY</t>
  </si>
  <si>
    <t>Liberty Energy Inc Class A</t>
  </si>
  <si>
    <t>LBRT</t>
  </si>
  <si>
    <t>$4.44B</t>
  </si>
  <si>
    <t>$27.18</t>
  </si>
  <si>
    <t>Isupetasys Co Ltd</t>
  </si>
  <si>
    <t>007660.KS</t>
  </si>
  <si>
    <t>₩8.45T</t>
  </si>
  <si>
    <t>₩115100.00</t>
  </si>
  <si>
    <t>Grupo Aeroportuario del Centro Norte SAB de CV ADR</t>
  </si>
  <si>
    <t>OMAB</t>
  </si>
  <si>
    <t>Mexico (NMS)</t>
  </si>
  <si>
    <t>$5.50B</t>
  </si>
  <si>
    <t>$114.00</t>
  </si>
  <si>
    <t>Parker Hannifin Corp</t>
  </si>
  <si>
    <t>PH</t>
  </si>
  <si>
    <t>$120.19B</t>
  </si>
  <si>
    <t>$953.27</t>
  </si>
  <si>
    <t>IsoEnergy Ltd</t>
  </si>
  <si>
    <t>ISO.TO</t>
  </si>
  <si>
    <t>C$1.03B</t>
  </si>
  <si>
    <t>C$16.92</t>
  </si>
  <si>
    <t>Rockwell Automation Inc</t>
  </si>
  <si>
    <t>ROK</t>
  </si>
  <si>
    <t>$52.72B</t>
  </si>
  <si>
    <t>$473.79</t>
  </si>
  <si>
    <t>The Walt Disney Co</t>
  </si>
  <si>
    <t>DIS</t>
  </si>
  <si>
    <t>$180.41B</t>
  </si>
  <si>
    <t>$103.89</t>
  </si>
  <si>
    <t>Hon Hai Precision Industry Co Ltd DR</t>
  </si>
  <si>
    <t>HHPD</t>
  </si>
  <si>
    <t>Skyworks Solutions Inc</t>
  </si>
  <si>
    <t>SWKS</t>
  </si>
  <si>
    <t>Impala Platinum Holdings Ltd</t>
  </si>
  <si>
    <t>IMP.JO</t>
  </si>
  <si>
    <t>ZAc 161.66B</t>
  </si>
  <si>
    <t>ZAc 17999.00</t>
  </si>
  <si>
    <t>Ross Stores Inc</t>
  </si>
  <si>
    <t>ROST</t>
  </si>
  <si>
    <t>$74.68B</t>
  </si>
  <si>
    <t>$232.80</t>
  </si>
  <si>
    <t>Companhia De Saneamento Basico Do Estado De Sao Paulo</t>
  </si>
  <si>
    <t>SBSP3.SA</t>
  </si>
  <si>
    <t>ASE Technology Holding Co Ltd ADR</t>
  </si>
  <si>
    <t>ASX</t>
  </si>
  <si>
    <t>Taiwan (NYQ)</t>
  </si>
  <si>
    <t>$88.99B</t>
  </si>
  <si>
    <t>$40.56</t>
  </si>
  <si>
    <t>Samhyun Co Ltd</t>
  </si>
  <si>
    <t>437730.KS</t>
  </si>
  <si>
    <t>₩25050.00</t>
  </si>
  <si>
    <t>First Majestic Silver Corp</t>
  </si>
  <si>
    <t>AG.TO</t>
  </si>
  <si>
    <t>C$12.47B</t>
  </si>
  <si>
    <t>C$25.26</t>
  </si>
  <si>
    <t>Trip.com Group Ltd</t>
  </si>
  <si>
    <t>9961.HK</t>
  </si>
  <si>
    <t>Singapore (HKG)</t>
  </si>
  <si>
    <t>HK$226.06B</t>
  </si>
  <si>
    <t>HK$359.00</t>
  </si>
  <si>
    <t>Devon Energy Corp</t>
  </si>
  <si>
    <t>DVN</t>
  </si>
  <si>
    <t>$48.58B</t>
  </si>
  <si>
    <t>$42.12</t>
  </si>
  <si>
    <t>Keysight Technologies Inc</t>
  </si>
  <si>
    <t>KEYS</t>
  </si>
  <si>
    <t>$62.15B</t>
  </si>
  <si>
    <t>$363.67</t>
  </si>
  <si>
    <t>SoftBank Group Corp ADR</t>
  </si>
  <si>
    <t>SFTBY</t>
  </si>
  <si>
    <t>NAVER Corp</t>
  </si>
  <si>
    <t>035420.KS</t>
  </si>
  <si>
    <t>₩34.33T</t>
  </si>
  <si>
    <t>₩229500.00</t>
  </si>
  <si>
    <t>Sempra</t>
  </si>
  <si>
    <t>SRE</t>
  </si>
  <si>
    <t>Asahi Kasei Corp</t>
  </si>
  <si>
    <t>3407.T</t>
  </si>
  <si>
    <t>¥2.42T</t>
  </si>
  <si>
    <t>¥1792.50</t>
  </si>
  <si>
    <t>Everpure Inc Class A</t>
  </si>
  <si>
    <t>P</t>
  </si>
  <si>
    <t>$24.80B</t>
  </si>
  <si>
    <t>$74.61</t>
  </si>
  <si>
    <t>FormFactor Inc</t>
  </si>
  <si>
    <t>FORM</t>
  </si>
  <si>
    <t>$11.66B</t>
  </si>
  <si>
    <t>$149.55</t>
  </si>
  <si>
    <t>National Fuel Gas Co</t>
  </si>
  <si>
    <t>NFG</t>
  </si>
  <si>
    <t>$7.21B</t>
  </si>
  <si>
    <t>$75.89</t>
  </si>
  <si>
    <t>Block Inc Class A</t>
  </si>
  <si>
    <t>XYZ</t>
  </si>
  <si>
    <t>Core &amp; Main Inc Class A</t>
  </si>
  <si>
    <t>CNM</t>
  </si>
  <si>
    <t>$9.40B</t>
  </si>
  <si>
    <t>$48.58</t>
  </si>
  <si>
    <t>Nano Dimension Ltd ADR</t>
  </si>
  <si>
    <t>NNDM</t>
  </si>
  <si>
    <t>$282.43M</t>
  </si>
  <si>
    <t>$1.35</t>
  </si>
  <si>
    <t>AbbVie Inc</t>
  </si>
  <si>
    <t>ABBV</t>
  </si>
  <si>
    <t>$382.49B</t>
  </si>
  <si>
    <t>$216.49</t>
  </si>
  <si>
    <t>Antero Resources Corp</t>
  </si>
  <si>
    <t>AR</t>
  </si>
  <si>
    <t>$10.29B</t>
  </si>
  <si>
    <t>$33.22</t>
  </si>
  <si>
    <t>HA Sustainable Infrastructure Capital Inc</t>
  </si>
  <si>
    <t>HASI</t>
  </si>
  <si>
    <t>$4.99B</t>
  </si>
  <si>
    <t>$39.06</t>
  </si>
  <si>
    <t>Aeroports de Paris SA</t>
  </si>
  <si>
    <t>ADP.PA</t>
  </si>
  <si>
    <t>€10.90B</t>
  </si>
  <si>
    <t>€110.20</t>
  </si>
  <si>
    <t>Bannerman Energy Ltd</t>
  </si>
  <si>
    <t>BMN.AX</t>
  </si>
  <si>
    <t>A$706.29M</t>
  </si>
  <si>
    <t>A$3.40</t>
  </si>
  <si>
    <t>Uranium Royalty Corp Ordinary Shares</t>
  </si>
  <si>
    <t>URC.TO</t>
  </si>
  <si>
    <t>Transocean Ltd</t>
  </si>
  <si>
    <t>RIG</t>
  </si>
  <si>
    <t>$5.88B</t>
  </si>
  <si>
    <t>$5.31</t>
  </si>
  <si>
    <t>China Construction Bank Corp ADR</t>
  </si>
  <si>
    <t>CICHY</t>
  </si>
  <si>
    <t>China (PNK)</t>
  </si>
  <si>
    <t>$286.71B</t>
  </si>
  <si>
    <t>$21.92</t>
  </si>
  <si>
    <t>Axon Enterprise Inc</t>
  </si>
  <si>
    <t>AXON</t>
  </si>
  <si>
    <t>$34.13B</t>
  </si>
  <si>
    <t>$423.40</t>
  </si>
  <si>
    <t>Northern Oil &amp; Gas Inc</t>
  </si>
  <si>
    <t>NOG</t>
  </si>
  <si>
    <t>$2.11B</t>
  </si>
  <si>
    <t>$19.44</t>
  </si>
  <si>
    <t>Deutsche Telekom AG</t>
  </si>
  <si>
    <t>DTE.DE</t>
  </si>
  <si>
    <t>€128.69B</t>
  </si>
  <si>
    <t>€26.60</t>
  </si>
  <si>
    <t>Sungrow Power Supply Co Ltd Class A</t>
  </si>
  <si>
    <t>300274.SZ</t>
  </si>
  <si>
    <t>¥304.72B</t>
  </si>
  <si>
    <t>¥146.98</t>
  </si>
  <si>
    <t>PBF Energy Inc Class A</t>
  </si>
  <si>
    <t>PBF</t>
  </si>
  <si>
    <t>$4.41B</t>
  </si>
  <si>
    <t>$37.29</t>
  </si>
  <si>
    <t>Oversea-Chinese Banking Corp Ltd</t>
  </si>
  <si>
    <t>O39.SI</t>
  </si>
  <si>
    <t>SGD 110.58B</t>
  </si>
  <si>
    <t>SGD 24.63</t>
  </si>
  <si>
    <t>Brenntag SE</t>
  </si>
  <si>
    <t>BNR.DE</t>
  </si>
  <si>
    <t>€7.78B</t>
  </si>
  <si>
    <t>€53.90</t>
  </si>
  <si>
    <t>Gold Fields Ltd ADR</t>
  </si>
  <si>
    <t>GFI</t>
  </si>
  <si>
    <t>South Africa (NYQ)</t>
  </si>
  <si>
    <t>$34.52B</t>
  </si>
  <si>
    <t>$38.60</t>
  </si>
  <si>
    <t>Tokyo Electron Ltd</t>
  </si>
  <si>
    <t>8035.T</t>
  </si>
  <si>
    <t>¥34.28T</t>
  </si>
  <si>
    <t>¥75360.00</t>
  </si>
  <si>
    <t>Daewoo Engineering &amp; Construction Co Ltd</t>
  </si>
  <si>
    <t>047040.KS</t>
  </si>
  <si>
    <t>₩8.73T</t>
  </si>
  <si>
    <t>₩21250.00</t>
  </si>
  <si>
    <t>Sociedad Quimica Y Minera De Chile SA ADR</t>
  </si>
  <si>
    <t>SQM</t>
  </si>
  <si>
    <t>GDS Holdings Ltd Class A</t>
  </si>
  <si>
    <t>9698.HK</t>
  </si>
  <si>
    <t>HK$50.62B</t>
  </si>
  <si>
    <t>HK$31.58</t>
  </si>
  <si>
    <t>U.S. Bancorp</t>
  </si>
  <si>
    <t>USB</t>
  </si>
  <si>
    <t>Boralex Inc Class A</t>
  </si>
  <si>
    <t>BLX.TO</t>
  </si>
  <si>
    <t>C$3.76B</t>
  </si>
  <si>
    <t>C$36.57</t>
  </si>
  <si>
    <t>Pentair PLC</t>
  </si>
  <si>
    <t>PNR</t>
  </si>
  <si>
    <t>$12.01B</t>
  </si>
  <si>
    <t>$74.32</t>
  </si>
  <si>
    <t>HANMI Semiconductor Co Ltd</t>
  </si>
  <si>
    <t>042700.KS</t>
  </si>
  <si>
    <t>₩27.98T</t>
  </si>
  <si>
    <t>₩295000.00</t>
  </si>
  <si>
    <t>Owens-Corning Inc</t>
  </si>
  <si>
    <t>OC</t>
  </si>
  <si>
    <t>$10.32B</t>
  </si>
  <si>
    <t>$128.14</t>
  </si>
  <si>
    <t>Welltower Inc</t>
  </si>
  <si>
    <t>WELL</t>
  </si>
  <si>
    <t>SoFi Technologies Inc Ordinary Shares</t>
  </si>
  <si>
    <t>SOFI</t>
  </si>
  <si>
    <t>TTM Technologies Inc</t>
  </si>
  <si>
    <t>TTMI</t>
  </si>
  <si>
    <t>Sieyuan Electric Co Ltd Class A</t>
  </si>
  <si>
    <t>002028.SZ</t>
  </si>
  <si>
    <t>¥148.82B</t>
  </si>
  <si>
    <t>¥190.20</t>
  </si>
  <si>
    <t>Shanghai International Port (Group) Co Ltd Class A</t>
  </si>
  <si>
    <t>600018.SS</t>
  </si>
  <si>
    <t>¥113.84B</t>
  </si>
  <si>
    <t>¥4.89</t>
  </si>
  <si>
    <t>ASML Holding NV</t>
  </si>
  <si>
    <t>ASML.AS</t>
  </si>
  <si>
    <t>€638.95B</t>
  </si>
  <si>
    <t>€1657.80</t>
  </si>
  <si>
    <t>Teck Resources Ltd Class B (Sub Voting)</t>
  </si>
  <si>
    <t>TECK-B.TO</t>
  </si>
  <si>
    <t>Coeur Mining Inc</t>
  </si>
  <si>
    <t>CDE</t>
  </si>
  <si>
    <t>$18.04B</t>
  </si>
  <si>
    <t>$17.51</t>
  </si>
  <si>
    <t>Shin-Etsu Chemical Co Ltd</t>
  </si>
  <si>
    <t>4063.T</t>
  </si>
  <si>
    <t>¥13.59T</t>
  </si>
  <si>
    <t>¥7310.00</t>
  </si>
  <si>
    <t>Bank Of China Ltd Class A</t>
  </si>
  <si>
    <t>601988.SS</t>
  </si>
  <si>
    <t>¥1.86T</t>
  </si>
  <si>
    <t>¥5.78</t>
  </si>
  <si>
    <t>Rivian Automotive Inc Class A</t>
  </si>
  <si>
    <t>RIVN</t>
  </si>
  <si>
    <t>$22.18B</t>
  </si>
  <si>
    <t>$16.52</t>
  </si>
  <si>
    <t>Robotis Co Ltd</t>
  </si>
  <si>
    <t>108490.KS</t>
  </si>
  <si>
    <t>₩22400.00</t>
  </si>
  <si>
    <t>Danaher Corp</t>
  </si>
  <si>
    <t>DHR</t>
  </si>
  <si>
    <t>$125.40B</t>
  </si>
  <si>
    <t>$177.17</t>
  </si>
  <si>
    <t>Essential Utilities Inc</t>
  </si>
  <si>
    <t>WTRG</t>
  </si>
  <si>
    <t>China Construction Bank Corp Class A</t>
  </si>
  <si>
    <t>601939.SS</t>
  </si>
  <si>
    <t>¥2.60T</t>
  </si>
  <si>
    <t>¥9.92</t>
  </si>
  <si>
    <t>COSCO SHIPPING Holdings Co Ltd Class A</t>
  </si>
  <si>
    <t>601919</t>
  </si>
  <si>
    <t>Renesas Electronics Corp</t>
  </si>
  <si>
    <t>6723.T</t>
  </si>
  <si>
    <t>¥8.59T</t>
  </si>
  <si>
    <t>¥4734.00</t>
  </si>
  <si>
    <t>Nasdaq Inc</t>
  </si>
  <si>
    <t>NDAQ</t>
  </si>
  <si>
    <t>$46.51B</t>
  </si>
  <si>
    <t>$82.24</t>
  </si>
  <si>
    <t>Bank Of Jiangsu Co Ltd Class A</t>
  </si>
  <si>
    <t>600919.SS</t>
  </si>
  <si>
    <t>¥205.90B</t>
  </si>
  <si>
    <t>¥11.22</t>
  </si>
  <si>
    <t>XPeng Inc ADR</t>
  </si>
  <si>
    <t>XPEV</t>
  </si>
  <si>
    <t>SiTime Corp Ordinary Shares</t>
  </si>
  <si>
    <t>SITM</t>
  </si>
  <si>
    <t>IREN Ltd</t>
  </si>
  <si>
    <t>IREN</t>
  </si>
  <si>
    <t>Australia (NMS)</t>
  </si>
  <si>
    <t>$21.43B</t>
  </si>
  <si>
    <t>$59.96</t>
  </si>
  <si>
    <t>Procter &amp; Gamble Co</t>
  </si>
  <si>
    <t>PG</t>
  </si>
  <si>
    <t>$350.17B</t>
  </si>
  <si>
    <t>$150.38</t>
  </si>
  <si>
    <t>Peloton Interactive Inc</t>
  </si>
  <si>
    <t>PTON</t>
  </si>
  <si>
    <t>$2.50B</t>
  </si>
  <si>
    <t>$5.77</t>
  </si>
  <si>
    <t>Daqin Railway Co Ltd Class A</t>
  </si>
  <si>
    <t>601006.SS</t>
  </si>
  <si>
    <t>¥98.12B</t>
  </si>
  <si>
    <t>¥4.94</t>
  </si>
  <si>
    <t>TotalEnergies SE</t>
  </si>
  <si>
    <t>TTE.PA</t>
  </si>
  <si>
    <t>NiSource Inc</t>
  </si>
  <si>
    <t>NI</t>
  </si>
  <si>
    <t>$22.66B</t>
  </si>
  <si>
    <t>$47.26</t>
  </si>
  <si>
    <t>O'Reilly Automotive Inc</t>
  </si>
  <si>
    <t>ORLY</t>
  </si>
  <si>
    <t>$71.97B</t>
  </si>
  <si>
    <t>$86.84</t>
  </si>
  <si>
    <t>Agnico Eagle Mines Ltd</t>
  </si>
  <si>
    <t>AEM.TO</t>
  </si>
  <si>
    <t>C$115.65B</t>
  </si>
  <si>
    <t>C$231.28</t>
  </si>
  <si>
    <t>Dominion Energy Inc</t>
  </si>
  <si>
    <t>D</t>
  </si>
  <si>
    <t>$60.17B</t>
  </si>
  <si>
    <t>$68.41</t>
  </si>
  <si>
    <t>BlackRock Cash Funds Treasury SL Agency</t>
  </si>
  <si>
    <t>XTSLA</t>
  </si>
  <si>
    <t>The Goldman Sachs Group Inc</t>
  </si>
  <si>
    <t>GS</t>
  </si>
  <si>
    <t>$323.49B</t>
  </si>
  <si>
    <t>$1096.56</t>
  </si>
  <si>
    <t>Energy Vault Holdings Inc</t>
  </si>
  <si>
    <t>NRGV</t>
  </si>
  <si>
    <t>$730.81M</t>
  </si>
  <si>
    <t>$4.10</t>
  </si>
  <si>
    <t>Endesa SA</t>
  </si>
  <si>
    <t>ELE.MC</t>
  </si>
  <si>
    <t>€38.96B</t>
  </si>
  <si>
    <t>€38.03</t>
  </si>
  <si>
    <t>Mueller Industries Inc</t>
  </si>
  <si>
    <t>MLI</t>
  </si>
  <si>
    <t>$15.19B</t>
  </si>
  <si>
    <t>$137.39</t>
  </si>
  <si>
    <t>United Overseas Bank Ltd</t>
  </si>
  <si>
    <t>U11.SI</t>
  </si>
  <si>
    <t>Guardant Health Inc</t>
  </si>
  <si>
    <t>GH</t>
  </si>
  <si>
    <t>$17.47B</t>
  </si>
  <si>
    <t>$131.78</t>
  </si>
  <si>
    <t>Bed Bath &amp; Beyond Inc</t>
  </si>
  <si>
    <t>BBBY</t>
  </si>
  <si>
    <t>NYQ</t>
  </si>
  <si>
    <t>$441.75M</t>
  </si>
  <si>
    <t>$5.93</t>
  </si>
  <si>
    <t>Axogen Inc</t>
  </si>
  <si>
    <t>AXGN</t>
  </si>
  <si>
    <t>$2.38B</t>
  </si>
  <si>
    <t>$44.84</t>
  </si>
  <si>
    <t>QuantumScape Corp Ordinary Shares - Class A</t>
  </si>
  <si>
    <t>QS</t>
  </si>
  <si>
    <t>$4.95B</t>
  </si>
  <si>
    <t>$8.04</t>
  </si>
  <si>
    <t>Sanofi SA ADR</t>
  </si>
  <si>
    <t>SNY</t>
  </si>
  <si>
    <t>RoboTechnik Intelligent Technology Co Ltd Class A</t>
  </si>
  <si>
    <t>300757.SZ</t>
  </si>
  <si>
    <t>¥111.63B</t>
  </si>
  <si>
    <t>¥666.00</t>
  </si>
  <si>
    <t>Affirm Holdings Inc Ordinary Shares - Class A</t>
  </si>
  <si>
    <t>AFRM</t>
  </si>
  <si>
    <t>$24.76B</t>
  </si>
  <si>
    <t>$73.92</t>
  </si>
  <si>
    <t>JFrog Ltd Ordinary Shares</t>
  </si>
  <si>
    <t>FROG</t>
  </si>
  <si>
    <t>$10.02B</t>
  </si>
  <si>
    <t>$82.72</t>
  </si>
  <si>
    <t>Edenred SE</t>
  </si>
  <si>
    <t>EDEN.PA</t>
  </si>
  <si>
    <t>€5.55B</t>
  </si>
  <si>
    <t>€23.91</t>
  </si>
  <si>
    <t>British American Tobacco PLC ADR</t>
  </si>
  <si>
    <t>BTI</t>
  </si>
  <si>
    <t>$127.26B</t>
  </si>
  <si>
    <t>$58.91</t>
  </si>
  <si>
    <t>Solstice Advanced Materials Inc</t>
  </si>
  <si>
    <t>SOLS</t>
  </si>
  <si>
    <t>China Longyuan Power Group Corp Ltd Class H</t>
  </si>
  <si>
    <t>00916</t>
  </si>
  <si>
    <t>Swedbank AB Class A</t>
  </si>
  <si>
    <t>SWED-A.ST</t>
  </si>
  <si>
    <t>Prysmian SpA</t>
  </si>
  <si>
    <t>PRY.MI</t>
  </si>
  <si>
    <t>€44.77B</t>
  </si>
  <si>
    <t>€153.20</t>
  </si>
  <si>
    <t>Doosan Corp Ordinary Shares</t>
  </si>
  <si>
    <t>000150.KS</t>
  </si>
  <si>
    <t>₩29.17T</t>
  </si>
  <si>
    <t>₩1631000.00</t>
  </si>
  <si>
    <t>Eos Energy Enterprises Inc Ordinary Shares Class A</t>
  </si>
  <si>
    <t>EOSE</t>
  </si>
  <si>
    <t>$2.60B</t>
  </si>
  <si>
    <t>$7.65</t>
  </si>
  <si>
    <t>Wayfair Inc Class A</t>
  </si>
  <si>
    <t>W</t>
  </si>
  <si>
    <t>Fluence Energy Inc Class A</t>
  </si>
  <si>
    <t>FLNC</t>
  </si>
  <si>
    <t>$4.57B</t>
  </si>
  <si>
    <t>$24.80</t>
  </si>
  <si>
    <t>Everus Construction Group Inc</t>
  </si>
  <si>
    <t>ECG</t>
  </si>
  <si>
    <t>$8.05B</t>
  </si>
  <si>
    <t>$157.71</t>
  </si>
  <si>
    <t>Arrowhead Pharmaceuticals Inc</t>
  </si>
  <si>
    <t>ARWR</t>
  </si>
  <si>
    <t>$11.52B</t>
  </si>
  <si>
    <t>$81.82</t>
  </si>
  <si>
    <t>Global Unichip Corp</t>
  </si>
  <si>
    <t>3443.TW</t>
  </si>
  <si>
    <t>NT$651.29B</t>
  </si>
  <si>
    <t>NT$4860.00</t>
  </si>
  <si>
    <t>Twist Bioscience Corp</t>
  </si>
  <si>
    <t>TWST</t>
  </si>
  <si>
    <t>AIB Group PLC</t>
  </si>
  <si>
    <t>A5G.IR</t>
  </si>
  <si>
    <t>Ireland (ISE)</t>
  </si>
  <si>
    <t>€22.64B</t>
  </si>
  <si>
    <t>€10.66</t>
  </si>
  <si>
    <t>MSC Industrial Direct Co Inc Class A</t>
  </si>
  <si>
    <t>MSM</t>
  </si>
  <si>
    <t>$6.62B</t>
  </si>
  <si>
    <t>$118.51</t>
  </si>
  <si>
    <t>WNC Corp</t>
  </si>
  <si>
    <t>6285.TW</t>
  </si>
  <si>
    <t>NT$132.52B</t>
  </si>
  <si>
    <t>NT$274.00</t>
  </si>
  <si>
    <t>PPL Corp</t>
  </si>
  <si>
    <t>PPL</t>
  </si>
  <si>
    <t>$26.62B</t>
  </si>
  <si>
    <t>$35.38</t>
  </si>
  <si>
    <t>Ping An Insurance (Group) Co. of China Ltd ADR</t>
  </si>
  <si>
    <t>PNGAY</t>
  </si>
  <si>
    <t>$13.85</t>
  </si>
  <si>
    <t>Tripadvisor Inc</t>
  </si>
  <si>
    <t>TRIP</t>
  </si>
  <si>
    <t>JBT Marel Corp</t>
  </si>
  <si>
    <t>JBTM</t>
  </si>
  <si>
    <t>$6.90B</t>
  </si>
  <si>
    <t>$132.58</t>
  </si>
  <si>
    <t>Zurn Elkay Water Solutions Corp</t>
  </si>
  <si>
    <t>ZWS</t>
  </si>
  <si>
    <t>Illumina Inc</t>
  </si>
  <si>
    <t>ILMN</t>
  </si>
  <si>
    <t>$24.50B</t>
  </si>
  <si>
    <t>$161.93</t>
  </si>
  <si>
    <t>GRAIL Inc</t>
  </si>
  <si>
    <t>GRAL</t>
  </si>
  <si>
    <t>$2.74B</t>
  </si>
  <si>
    <t>$63.74</t>
  </si>
  <si>
    <t>Meituan ADR</t>
  </si>
  <si>
    <t>MPNGY</t>
  </si>
  <si>
    <t>$56.13B</t>
  </si>
  <si>
    <t>$18.18</t>
  </si>
  <si>
    <t>BorgWarner Inc</t>
  </si>
  <si>
    <t>BWA</t>
  </si>
  <si>
    <t>$14.74B</t>
  </si>
  <si>
    <t>$71.84</t>
  </si>
  <si>
    <t>Suzuki Motor Corp ADR</t>
  </si>
  <si>
    <t>SZKMY</t>
  </si>
  <si>
    <t>Armstrong World Industries Inc</t>
  </si>
  <si>
    <t>AWI</t>
  </si>
  <si>
    <t>$6.74B</t>
  </si>
  <si>
    <t>$157.88</t>
  </si>
  <si>
    <t>Hubbell Inc</t>
  </si>
  <si>
    <t>HUBB</t>
  </si>
  <si>
    <t>$27.67B</t>
  </si>
  <si>
    <t>$523.69</t>
  </si>
  <si>
    <t>Primoris Services Corp</t>
  </si>
  <si>
    <t>PRIM</t>
  </si>
  <si>
    <t>$101.30</t>
  </si>
  <si>
    <t>Matson Inc</t>
  </si>
  <si>
    <t>MATX</t>
  </si>
  <si>
    <t>$5.79B</t>
  </si>
  <si>
    <t>$191.24</t>
  </si>
  <si>
    <t>Glencore PLC</t>
  </si>
  <si>
    <t>GLEN.L</t>
  </si>
  <si>
    <t>Switzerland (LSE)</t>
  </si>
  <si>
    <t>£65.25B</t>
  </si>
  <si>
    <t>£557.00</t>
  </si>
  <si>
    <t>TechnipFMC PLC</t>
  </si>
  <si>
    <t>FTI</t>
  </si>
  <si>
    <t>$25.98B</t>
  </si>
  <si>
    <t>$65.17</t>
  </si>
  <si>
    <t>Humana Inc</t>
  </si>
  <si>
    <t>HUM</t>
  </si>
  <si>
    <t>$43.30B</t>
  </si>
  <si>
    <t>$360.65</t>
  </si>
  <si>
    <t>Honda Motor Co Ltd ADR</t>
  </si>
  <si>
    <t>HMC</t>
  </si>
  <si>
    <t>Japan (NYQ)</t>
  </si>
  <si>
    <t>$34.07B</t>
  </si>
  <si>
    <t>$26.26</t>
  </si>
  <si>
    <t>KB Financial Group Inc ADR</t>
  </si>
  <si>
    <t>KB</t>
  </si>
  <si>
    <t>$37.87B</t>
  </si>
  <si>
    <t>$106.77</t>
  </si>
  <si>
    <t>JPMorgan Chase &amp; Co</t>
  </si>
  <si>
    <t>JPM</t>
  </si>
  <si>
    <t>$871.43B</t>
  </si>
  <si>
    <t>$325.22</t>
  </si>
  <si>
    <t>Barclays PLC</t>
  </si>
  <si>
    <t>BARC.L</t>
  </si>
  <si>
    <t>£67.06B</t>
  </si>
  <si>
    <t>£496.45</t>
  </si>
  <si>
    <t>DCC PLC</t>
  </si>
  <si>
    <t>DCC.L</t>
  </si>
  <si>
    <t>Ireland (LSE)</t>
  </si>
  <si>
    <t>£5.30B</t>
  </si>
  <si>
    <t>£6200.00</t>
  </si>
  <si>
    <t>Fox Corp Class A</t>
  </si>
  <si>
    <t>FOXA</t>
  </si>
  <si>
    <t>$21.93B</t>
  </si>
  <si>
    <t>$52.23</t>
  </si>
  <si>
    <t>Crocs Inc</t>
  </si>
  <si>
    <t>CROX</t>
  </si>
  <si>
    <t>$6.21B</t>
  </si>
  <si>
    <t>$125.05</t>
  </si>
  <si>
    <t>Equatorial SA</t>
  </si>
  <si>
    <t>EQTL3.SA</t>
  </si>
  <si>
    <t>BRL 46.49B</t>
  </si>
  <si>
    <t>BRL 37.05</t>
  </si>
  <si>
    <t>Chemical Works of Gedeon Richter PLC</t>
  </si>
  <si>
    <t>RICHTER.BD</t>
  </si>
  <si>
    <t>BUD</t>
  </si>
  <si>
    <t>HUF 1.78T</t>
  </si>
  <si>
    <t>HUF 9765.00</t>
  </si>
  <si>
    <t>British American Tobacco PLC</t>
  </si>
  <si>
    <t>BATS.L</t>
  </si>
  <si>
    <t>£93.69B</t>
  </si>
  <si>
    <t>£4337.00</t>
  </si>
  <si>
    <t>Natera Inc</t>
  </si>
  <si>
    <t>NTRA</t>
  </si>
  <si>
    <t>$33.14B</t>
  </si>
  <si>
    <t>$231.41</t>
  </si>
  <si>
    <t>Citigroup Inc</t>
  </si>
  <si>
    <t>C</t>
  </si>
  <si>
    <t>$244.00B</t>
  </si>
  <si>
    <t>$143.06</t>
  </si>
  <si>
    <t>Naspers Ltd ADR</t>
  </si>
  <si>
    <t>NPSNY</t>
  </si>
  <si>
    <t>South Africa (PNK)</t>
  </si>
  <si>
    <t>$38.94B</t>
  </si>
  <si>
    <t>Veracyte Inc</t>
  </si>
  <si>
    <t>VCYT</t>
  </si>
  <si>
    <t>Reliance Industries Ltd GDR - 144A</t>
  </si>
  <si>
    <t>RIGD</t>
  </si>
  <si>
    <t>National Australia Bank Ltd</t>
  </si>
  <si>
    <t>NAB.AX</t>
  </si>
  <si>
    <t>A$115.53B</t>
  </si>
  <si>
    <t>A$37.74</t>
  </si>
  <si>
    <t>NovoCure Ltd</t>
  </si>
  <si>
    <t>NVCR</t>
  </si>
  <si>
    <t>Switzerland (NMS)</t>
  </si>
  <si>
    <t>$14.28</t>
  </si>
  <si>
    <t>Denso Corp</t>
  </si>
  <si>
    <t>6902.T</t>
  </si>
  <si>
    <t>¥5.12T</t>
  </si>
  <si>
    <t>¥1900.50</t>
  </si>
  <si>
    <t>LivaNova PLC</t>
  </si>
  <si>
    <t>LIVN</t>
  </si>
  <si>
    <t>$4.31B</t>
  </si>
  <si>
    <t>$78.50</t>
  </si>
  <si>
    <t>DNB Bank ASA</t>
  </si>
  <si>
    <t>DNB.OL</t>
  </si>
  <si>
    <t>NOK 423.69B</t>
  </si>
  <si>
    <t>NOK 295.00</t>
  </si>
  <si>
    <t>Suzlon Energy Ltd</t>
  </si>
  <si>
    <t>SUZLON.BO</t>
  </si>
  <si>
    <t>Visteon Corp</t>
  </si>
  <si>
    <t>VC</t>
  </si>
  <si>
    <t>Mitsubishi Chemical Group Corp</t>
  </si>
  <si>
    <t>4188.T</t>
  </si>
  <si>
    <t>¥1.48T</t>
  </si>
  <si>
    <t>¥1092.50</t>
  </si>
  <si>
    <t>Aspen Aerogels Inc</t>
  </si>
  <si>
    <t>ASPN</t>
  </si>
  <si>
    <t>$523.79M</t>
  </si>
  <si>
    <t>$6.32</t>
  </si>
  <si>
    <t>Shell PLC</t>
  </si>
  <si>
    <t>SHEL.L</t>
  </si>
  <si>
    <t>Best Buy Co Inc</t>
  </si>
  <si>
    <t>BBY</t>
  </si>
  <si>
    <t>$15.75B</t>
  </si>
  <si>
    <t>$74.73</t>
  </si>
  <si>
    <t>PagerDuty Inc</t>
  </si>
  <si>
    <t>PD</t>
  </si>
  <si>
    <t>$654.00M</t>
  </si>
  <si>
    <t>$8.48</t>
  </si>
  <si>
    <t>Corpay Inc</t>
  </si>
  <si>
    <t>CPAY</t>
  </si>
  <si>
    <t>$22.57B</t>
  </si>
  <si>
    <t>$345.28</t>
  </si>
  <si>
    <t>Braze Inc Class A</t>
  </si>
  <si>
    <t>BRZE</t>
  </si>
  <si>
    <t>$2.26B</t>
  </si>
  <si>
    <t>$20.06</t>
  </si>
  <si>
    <t>Celtic Investment Inc</t>
  </si>
  <si>
    <t>CELT</t>
  </si>
  <si>
    <t>BTS</t>
  </si>
  <si>
    <t>$9.28</t>
  </si>
  <si>
    <t>Jenoptik AG</t>
  </si>
  <si>
    <t>JEN.DE</t>
  </si>
  <si>
    <t>€2.69B</t>
  </si>
  <si>
    <t>€46.96</t>
  </si>
  <si>
    <t>Snap Inc Class A</t>
  </si>
  <si>
    <t>SNAP</t>
  </si>
  <si>
    <t>Global Payments Inc</t>
  </si>
  <si>
    <t>GPN</t>
  </si>
  <si>
    <t>$18.29B</t>
  </si>
  <si>
    <t>$66.88</t>
  </si>
  <si>
    <t>D-Wave Quantum Inc</t>
  </si>
  <si>
    <t>QBTS</t>
  </si>
  <si>
    <t>$9.15B</t>
  </si>
  <si>
    <t>$24.69</t>
  </si>
  <si>
    <t>ProShares UltraPro Dow30</t>
  </si>
  <si>
    <t>UDOW</t>
  </si>
  <si>
    <t>Skandinaviska Enskilda Banken AB Class A</t>
  </si>
  <si>
    <t>SEB-A.ST</t>
  </si>
  <si>
    <t>Starbucks Corp</t>
  </si>
  <si>
    <t>SBUX</t>
  </si>
  <si>
    <t>Direxion Daily Small Cap Bull 3X ETF</t>
  </si>
  <si>
    <t>TNA</t>
  </si>
  <si>
    <t>Direxion Daily Semicondct Bull 3X ETF</t>
  </si>
  <si>
    <t>SOXL</t>
  </si>
  <si>
    <t>Comcast Corp Class A</t>
  </si>
  <si>
    <t>CMCSA</t>
  </si>
  <si>
    <t>$80.13B</t>
  </si>
  <si>
    <t>$22.43</t>
  </si>
  <si>
    <t>Schneider Electric SE</t>
  </si>
  <si>
    <t>SU.PA</t>
  </si>
  <si>
    <t>Marriott International Inc Class A</t>
  </si>
  <si>
    <t>MAR</t>
  </si>
  <si>
    <t>$104.47B</t>
  </si>
  <si>
    <t>$396.20</t>
  </si>
  <si>
    <t>HSBC Holdings PLC</t>
  </si>
  <si>
    <t>HSBA.L</t>
  </si>
  <si>
    <t>£245.49B</t>
  </si>
  <si>
    <t>£1431.60</t>
  </si>
  <si>
    <t>AutoStore Holdings Ltd Ordinary Shares</t>
  </si>
  <si>
    <t>AUTO.OL</t>
  </si>
  <si>
    <t>NOK 42.71B</t>
  </si>
  <si>
    <t>NOK 12.70</t>
  </si>
  <si>
    <t>Roche Holding AG Ordinary Shares new</t>
  </si>
  <si>
    <t>ROP.SW</t>
  </si>
  <si>
    <t>CHF 254.44B</t>
  </si>
  <si>
    <t>CHF 319.80</t>
  </si>
  <si>
    <t>SMA Solar Technology AG</t>
  </si>
  <si>
    <t>S92.DE</t>
  </si>
  <si>
    <t>AstraZeneca PLC</t>
  </si>
  <si>
    <t>AZN.L</t>
  </si>
  <si>
    <t>£205.24B</t>
  </si>
  <si>
    <t>£13234.00</t>
  </si>
  <si>
    <t>MongoDB Inc Class A</t>
  </si>
  <si>
    <t>MDB</t>
  </si>
  <si>
    <t>$26.76B</t>
  </si>
  <si>
    <t>$332.75</t>
  </si>
  <si>
    <t>Novartis AG Registered Shares</t>
  </si>
  <si>
    <t>NOVN.SW</t>
  </si>
  <si>
    <t>CHF 225.73B</t>
  </si>
  <si>
    <t>CHF 118.30</t>
  </si>
  <si>
    <t>Nestle SA</t>
  </si>
  <si>
    <t>NESN.SW</t>
  </si>
  <si>
    <t>CHF 202.64B</t>
  </si>
  <si>
    <t>CHF 78.78</t>
  </si>
  <si>
    <t>IES Holdings Inc</t>
  </si>
  <si>
    <t>IESC</t>
  </si>
  <si>
    <t>$14.19B</t>
  </si>
  <si>
    <t>$712.39</t>
  </si>
  <si>
    <t>Eagle Materials Inc</t>
  </si>
  <si>
    <t>EXP</t>
  </si>
  <si>
    <t>$6.94B</t>
  </si>
  <si>
    <t>$224.58</t>
  </si>
  <si>
    <t>Graphic Packaging Holding Co</t>
  </si>
  <si>
    <t>GPK</t>
  </si>
  <si>
    <t>$3.17B</t>
  </si>
  <si>
    <t>$10.71</t>
  </si>
  <si>
    <t>Applied Optoelectronics Inc</t>
  </si>
  <si>
    <t>AAOI</t>
  </si>
  <si>
    <t>$12.99B</t>
  </si>
  <si>
    <t>$161.85</t>
  </si>
  <si>
    <t>XPO Inc</t>
  </si>
  <si>
    <t>XPO</t>
  </si>
  <si>
    <t>Mitsubishi UFJ Financial Group Inc</t>
  </si>
  <si>
    <t>8306.T</t>
  </si>
  <si>
    <t>¥36.97T</t>
  </si>
  <si>
    <t>¥3278.00</t>
  </si>
  <si>
    <t>Global X MLP &amp; Energy Infrastructure ETF</t>
  </si>
  <si>
    <t>$72.25</t>
  </si>
  <si>
    <t>Bruker Corp</t>
  </si>
  <si>
    <t>BRKR</t>
  </si>
  <si>
    <t>$8.71B</t>
  </si>
  <si>
    <t>$57.23</t>
  </si>
  <si>
    <t>Commonwealth Bank of Australia</t>
  </si>
  <si>
    <t>CBA.AX</t>
  </si>
  <si>
    <t>A$271.55B</t>
  </si>
  <si>
    <t>A$162.40</t>
  </si>
  <si>
    <t>Hon Hai Precision Industry Co Ltd</t>
  </si>
  <si>
    <t>2317.TW</t>
  </si>
  <si>
    <t>NT$3.76T</t>
  </si>
  <si>
    <t>NT$268.50</t>
  </si>
  <si>
    <t>Himax Technologies Inc ADR</t>
  </si>
  <si>
    <t>HIMX</t>
  </si>
  <si>
    <t>Taiwan (NMS)</t>
  </si>
  <si>
    <t>$3.16B</t>
  </si>
  <si>
    <t>$18.11</t>
  </si>
  <si>
    <t>Samsung Electronics Co Ltd Participating Preferred</t>
  </si>
  <si>
    <t>005935</t>
  </si>
  <si>
    <t>Unusual Machines Inc</t>
  </si>
  <si>
    <t>UMAC</t>
  </si>
  <si>
    <t>China Construction Bank Corp Class H</t>
  </si>
  <si>
    <t>00939</t>
  </si>
  <si>
    <t>ETF_Code</t>
  </si>
  <si>
    <t>Holding_Count</t>
  </si>
  <si>
    <t>Total_Holding_Weight</t>
  </si>
  <si>
    <t>Avg_Holding_Weight</t>
  </si>
  <si>
    <t>Max_Holding_Weight</t>
  </si>
  <si>
    <t>ETF_Price</t>
  </si>
  <si>
    <t>Company Ticker</t>
  </si>
  <si>
    <t>Avg_Weight_When_Present</t>
  </si>
  <si>
    <t>Max_Weight_In_One_ETF</t>
  </si>
  <si>
    <t>Weight</t>
  </si>
  <si>
    <t>Listed Exchange</t>
  </si>
  <si>
    <t>Company Market Cap</t>
  </si>
  <si>
    <t>Company LTP</t>
  </si>
  <si>
    <t>AGIQ: No Fund data found.</t>
  </si>
  <si>
    <t>AINT: No Fund data found.</t>
  </si>
  <si>
    <t>AIQU: No Fund data found.</t>
  </si>
  <si>
    <t>CSIO: No Fund data found.</t>
  </si>
  <si>
    <t>EXEQ: No Fund data found.</t>
  </si>
  <si>
    <t>NASA: No Fund data found.</t>
  </si>
  <si>
    <t>NGIF: No Fund data found.</t>
  </si>
  <si>
    <t>NUIF: No Fund data found.</t>
  </si>
  <si>
    <t>PBOT: No Fund data found.</t>
  </si>
  <si>
    <t>POWR: No Fund data found.</t>
  </si>
  <si>
    <t>PQNT: No Fund data found.</t>
  </si>
  <si>
    <t>PQUS: No Fund data found.</t>
  </si>
  <si>
    <t>RWEM: No Fund data found.</t>
  </si>
  <si>
    <t>RWLC: No Fund data found.</t>
  </si>
  <si>
    <t>SMRF: No Fund data found.</t>
  </si>
  <si>
    <t>TSSD: No Fund data found.</t>
  </si>
  <si>
    <t>VEM: No Fund data found.</t>
  </si>
  <si>
    <t>WDEF: No Fund data found.</t>
  </si>
  <si>
    <t>WEPN: No Fund data found.</t>
  </si>
  <si>
    <t>highest</t>
  </si>
  <si>
    <t>median</t>
  </si>
  <si>
    <t>small</t>
  </si>
  <si>
    <t>higesht Stake%</t>
  </si>
  <si>
    <t>Second 
higesht Stake%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</si>
</sst>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0" fillId="0" borderId="2" xfId="0" applyBorder="1"/>
    <xf numFmtId="0" fontId="3" fillId="2" borderId="0" xfId="0" applyFont="1" applyFill="1" applyBorder="1"/>
    <xf numFmtId="0" fontId="0" fillId="0" borderId="2" xfId="0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3"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J748"/>
  <sheetViews>
    <sheetView tabSelected="1" zoomScale="85" zoomScaleNormal="85" workbookViewId="0">
      <pane xSplit="9" ySplit="5" topLeftCell="DA6" activePane="bottomRight" state="frozen"/>
      <selection pane="topRight" activeCell="H1" sqref="H1"/>
      <selection pane="bottomLeft" activeCell="A2" sqref="A2"/>
      <selection pane="bottomRight" activeCell="GQ5" sqref="GQ5"/>
    </sheetView>
  </sheetViews>
  <sheetFormatPr defaultRowHeight="15"/>
  <cols>
    <col min="1" max="1" width="29.7109375" customWidth="1"/>
    <col min="6" max="9" width="9.140625" style="3"/>
    <col min="11" max="218" width="9.140625" style="3"/>
  </cols>
  <sheetData>
    <row r="1" spans="1:218">
      <c r="A1" s="8" t="s">
        <v>3200</v>
      </c>
      <c r="B1" s="8"/>
      <c r="C1" s="8"/>
      <c r="D1" s="8"/>
      <c r="E1" s="8"/>
      <c r="F1" s="18">
        <f>LARGE(F$7:F$748,1)</f>
        <v>46</v>
      </c>
      <c r="G1" s="18"/>
      <c r="H1" s="18"/>
      <c r="I1" s="18"/>
      <c r="J1" s="8"/>
      <c r="K1" s="18">
        <f>LARGE(K$7:K$748,1)</f>
        <v>3.77</v>
      </c>
      <c r="L1" s="18">
        <f>LARGE(L$7:L$748,1)</f>
        <v>5.44</v>
      </c>
      <c r="M1" s="18">
        <f>LARGE(M$7:M$748,1)</f>
        <v>6.7</v>
      </c>
      <c r="N1" s="18">
        <f>LARGE(N$7:N$748,1)</f>
        <v>13.59</v>
      </c>
      <c r="O1" s="18">
        <f>LARGE(O$7:O$748,1)</f>
        <v>7.91</v>
      </c>
      <c r="P1" s="18">
        <f>LARGE(P$7:P$748,1)</f>
        <v>7.11</v>
      </c>
      <c r="Q1" s="18">
        <f>LARGE(Q$7:Q$748,1)</f>
        <v>6.35</v>
      </c>
      <c r="R1" s="18">
        <f>LARGE(R$7:R$748,1)</f>
        <v>12.27</v>
      </c>
      <c r="S1" s="18">
        <f>LARGE(S$7:S$748,1)</f>
        <v>14.86</v>
      </c>
      <c r="T1" s="18">
        <f>LARGE(T$7:T$748,1)</f>
        <v>4.08</v>
      </c>
      <c r="U1" s="18">
        <f>LARGE(U$7:U$748,1)</f>
        <v>3.35</v>
      </c>
      <c r="V1" s="18">
        <f>LARGE(V$7:V$748,1)</f>
        <v>4.93</v>
      </c>
      <c r="W1" s="18">
        <f>LARGE(W$7:W$748,1)</f>
        <v>7.34</v>
      </c>
      <c r="X1" s="18">
        <f>LARGE(X$7:X$748,1)</f>
        <v>6.19</v>
      </c>
      <c r="Y1" s="18">
        <f>LARGE(Y$7:Y$748,1)</f>
        <v>7.35</v>
      </c>
      <c r="Z1" s="18">
        <f>LARGE(Z$7:Z$748,1)</f>
        <v>10.15</v>
      </c>
      <c r="AA1" s="18">
        <f>LARGE(AA$7:AA$748,1)</f>
        <v>9.43</v>
      </c>
      <c r="AB1" s="18">
        <f>LARGE(AB$7:AB$748,1)</f>
        <v>8.74</v>
      </c>
      <c r="AC1" s="18">
        <f>LARGE(AC$7:AC$748,1)</f>
        <v>7.48</v>
      </c>
      <c r="AD1" s="18">
        <f>LARGE(AD$7:AD$748,1)</f>
        <v>7.3</v>
      </c>
      <c r="AE1" s="18">
        <f>LARGE(AE$7:AE$748,1)</f>
        <v>4.5999999999999996</v>
      </c>
      <c r="AF1" s="18">
        <f>LARGE(AF$7:AF$748,1)</f>
        <v>6.01</v>
      </c>
      <c r="AG1" s="18">
        <f>LARGE(AG$7:AG$748,1)</f>
        <v>5.34</v>
      </c>
      <c r="AH1" s="18">
        <f>LARGE(AH$7:AH$748,1)</f>
        <v>6.1</v>
      </c>
      <c r="AI1" s="18">
        <f>LARGE(AI$7:AI$748,1)</f>
        <v>9.2799999999999994</v>
      </c>
      <c r="AJ1" s="18">
        <f>LARGE(AJ$7:AJ$748,1)</f>
        <v>7.45</v>
      </c>
      <c r="AK1" s="18">
        <f>LARGE(AK$7:AK$748,1)</f>
        <v>9.3800000000000008</v>
      </c>
      <c r="AL1" s="18">
        <f>LARGE(AL$7:AL$748,1)</f>
        <v>3.86</v>
      </c>
      <c r="AM1" s="18">
        <f>LARGE(AM$7:AM$748,1)</f>
        <v>8.31</v>
      </c>
      <c r="AN1" s="18">
        <f>LARGE(AN$7:AN$748,1)</f>
        <v>6.15</v>
      </c>
      <c r="AO1" s="18">
        <f>LARGE(AO$7:AO$748,1)</f>
        <v>6.82</v>
      </c>
      <c r="AP1" s="18">
        <f>LARGE(AP$7:AP$748,1)</f>
        <v>9.92</v>
      </c>
      <c r="AQ1" s="18">
        <f>LARGE(AQ$7:AQ$748,1)</f>
        <v>6.45</v>
      </c>
      <c r="AR1" s="18">
        <f>LARGE(AR$7:AR$748,1)</f>
        <v>10.93</v>
      </c>
      <c r="AS1" s="18">
        <f>LARGE(AS$7:AS$748,1)</f>
        <v>6.29</v>
      </c>
      <c r="AT1" s="18">
        <f>LARGE(AT$7:AT$748,1)</f>
        <v>6.34</v>
      </c>
      <c r="AU1" s="18">
        <f>LARGE(AU$7:AU$748,1)</f>
        <v>6.77</v>
      </c>
      <c r="AV1" s="18">
        <f>LARGE(AV$7:AV$748,1)</f>
        <v>10.09</v>
      </c>
      <c r="AW1" s="18">
        <f>LARGE(AW$7:AW$748,1)</f>
        <v>19.739999999999998</v>
      </c>
      <c r="AX1" s="18">
        <f>LARGE(AX$7:AX$748,1)</f>
        <v>24.75</v>
      </c>
      <c r="AY1" s="18">
        <f>LARGE(AY$7:AY$748,1)</f>
        <v>9.8800000000000008</v>
      </c>
      <c r="AZ1" s="18">
        <f>LARGE(AZ$7:AZ$748,1)</f>
        <v>5</v>
      </c>
      <c r="BA1" s="18">
        <f>LARGE(BA$7:BA$748,1)</f>
        <v>12.22</v>
      </c>
      <c r="BB1" s="18">
        <f>LARGE(BB$7:BB$748,1)</f>
        <v>7.48</v>
      </c>
      <c r="BC1" s="18">
        <f>LARGE(BC$7:BC$748,1)</f>
        <v>4.8499999999999996</v>
      </c>
      <c r="BD1" s="18">
        <f>LARGE(BD$7:BD$748,1)</f>
        <v>5.58</v>
      </c>
      <c r="BE1" s="18">
        <f>LARGE(BE$7:BE$748,1)</f>
        <v>2.85</v>
      </c>
      <c r="BF1" s="18">
        <f>LARGE(BF$7:BF$748,1)</f>
        <v>15.16</v>
      </c>
      <c r="BG1" s="18">
        <f>LARGE(BG$7:BG$748,1)</f>
        <v>3.1</v>
      </c>
      <c r="BH1" s="18">
        <f>LARGE(BH$7:BH$748,1)</f>
        <v>6.55</v>
      </c>
      <c r="BI1" s="18">
        <f>LARGE(BI$7:BI$748,1)</f>
        <v>1.74</v>
      </c>
      <c r="BJ1" s="18">
        <f>LARGE(BJ$7:BJ$748,1)</f>
        <v>10.24</v>
      </c>
      <c r="BK1" s="18">
        <f>LARGE(BK$7:BK$748,1)</f>
        <v>7.38</v>
      </c>
      <c r="BL1" s="18">
        <f>LARGE(BL$7:BL$748,1)</f>
        <v>8.3699999999999992</v>
      </c>
      <c r="BM1" s="18">
        <f>LARGE(BM$7:BM$748,1)</f>
        <v>8.34</v>
      </c>
      <c r="BN1" s="18">
        <f>LARGE(BN$7:BN$748,1)</f>
        <v>6.85</v>
      </c>
      <c r="BO1" s="18">
        <f>LARGE(BO$7:BO$748,1)</f>
        <v>4.42</v>
      </c>
      <c r="BP1" s="18">
        <f>LARGE(BP$7:BP$748,1)</f>
        <v>4.1100000000000003</v>
      </c>
      <c r="BQ1" s="18">
        <f>LARGE(BQ$7:BQ$748,1)</f>
        <v>7.68</v>
      </c>
      <c r="BR1" s="18">
        <f>LARGE(BR$7:BR$748,1)</f>
        <v>8.25</v>
      </c>
      <c r="BS1" s="18">
        <f>LARGE(BS$7:BS$748,1)</f>
        <v>6.64</v>
      </c>
      <c r="BT1" s="18">
        <f>LARGE(BT$7:BT$748,1)</f>
        <v>11</v>
      </c>
      <c r="BU1" s="18">
        <f>LARGE(BU$7:BU$748,1)</f>
        <v>9.81</v>
      </c>
      <c r="BV1" s="18">
        <f>LARGE(BV$7:BV$748,1)</f>
        <v>9.36</v>
      </c>
      <c r="BW1" s="18">
        <f>LARGE(BW$7:BW$748,1)</f>
        <v>21.07</v>
      </c>
      <c r="BX1" s="18">
        <f>LARGE(BX$7:BX$748,1)</f>
        <v>14.87</v>
      </c>
      <c r="BY1" s="18">
        <f>LARGE(BY$7:BY$748,1)</f>
        <v>8.2200000000000006</v>
      </c>
      <c r="BZ1" s="18">
        <f>LARGE(BZ$7:BZ$748,1)</f>
        <v>14.49</v>
      </c>
      <c r="CA1" s="18">
        <f>LARGE(CA$7:CA$748,1)</f>
        <v>11.99</v>
      </c>
      <c r="CB1" s="18">
        <f>LARGE(CB$7:CB$748,1)</f>
        <v>7.56</v>
      </c>
      <c r="CC1" s="18">
        <f>LARGE(CC$7:CC$748,1)</f>
        <v>1.93</v>
      </c>
      <c r="CD1" s="18">
        <f>LARGE(CD$7:CD$748,1)</f>
        <v>6.34</v>
      </c>
      <c r="CE1" s="18">
        <f>LARGE(CE$7:CE$748,1)</f>
        <v>5.95</v>
      </c>
      <c r="CF1" s="18">
        <f>LARGE(CF$7:CF$748,1)</f>
        <v>5.51</v>
      </c>
      <c r="CG1" s="18">
        <f>LARGE(CG$7:CG$748,1)</f>
        <v>8.73</v>
      </c>
      <c r="CH1" s="18">
        <f>LARGE(CH$7:CH$748,1)</f>
        <v>4.62</v>
      </c>
      <c r="CI1" s="18">
        <f>LARGE(CI$7:CI$748,1)</f>
        <v>6.24</v>
      </c>
      <c r="CJ1" s="18">
        <f>LARGE(CJ$7:CJ$748,1)</f>
        <v>9.85</v>
      </c>
      <c r="CK1" s="18">
        <f>LARGE(CK$7:CK$748,1)</f>
        <v>29.34</v>
      </c>
      <c r="CL1" s="18">
        <f>LARGE(CL$7:CL$748,1)</f>
        <v>7.78</v>
      </c>
      <c r="CM1" s="18">
        <f>LARGE(CM$7:CM$748,1)</f>
        <v>8.31</v>
      </c>
      <c r="CN1" s="18">
        <f>LARGE(CN$7:CN$748,1)</f>
        <v>4.9000000000000004</v>
      </c>
      <c r="CO1" s="18">
        <f>LARGE(CO$7:CO$748,1)</f>
        <v>2.83</v>
      </c>
      <c r="CP1" s="18">
        <f>LARGE(CP$7:CP$748,1)</f>
        <v>8.5500000000000007</v>
      </c>
      <c r="CQ1" s="18">
        <f>LARGE(CQ$7:CQ$748,1)</f>
        <v>9.1</v>
      </c>
      <c r="CR1" s="18">
        <f>LARGE(CR$7:CR$748,1)</f>
        <v>5.27</v>
      </c>
      <c r="CS1" s="18">
        <f>LARGE(CS$7:CS$748,1)</f>
        <v>16.190000000000001</v>
      </c>
      <c r="CT1" s="18">
        <f>LARGE(CT$7:CT$748,1)</f>
        <v>11.11</v>
      </c>
      <c r="CU1" s="18">
        <f>LARGE(CU$7:CU$748,1)</f>
        <v>5.85</v>
      </c>
      <c r="CV1" s="18">
        <f>LARGE(CV$7:CV$748,1)</f>
        <v>2.98</v>
      </c>
      <c r="CW1" s="18">
        <f>LARGE(CW$7:CW$748,1)</f>
        <v>12.14</v>
      </c>
      <c r="CX1" s="18">
        <f>LARGE(CX$7:CX$748,1)</f>
        <v>3.82</v>
      </c>
      <c r="CY1" s="18">
        <f>LARGE(CY$7:CY$748,1)</f>
        <v>7.29</v>
      </c>
      <c r="CZ1" s="18">
        <f>LARGE(CZ$7:CZ$748,1)</f>
        <v>8.33</v>
      </c>
      <c r="DA1" s="18">
        <f>LARGE(DA$7:DA$748,1)</f>
        <v>10.16</v>
      </c>
      <c r="DB1" s="18">
        <f>LARGE(DB$7:DB$748,1)</f>
        <v>12.77</v>
      </c>
      <c r="DC1" s="18">
        <f>LARGE(DC$7:DC$748,1)</f>
        <v>5.48</v>
      </c>
      <c r="DD1" s="18">
        <f>LARGE(DD$7:DD$748,1)</f>
        <v>12.28</v>
      </c>
      <c r="DE1" s="18">
        <f>LARGE(DE$7:DE$748,1)</f>
        <v>8.64</v>
      </c>
      <c r="DF1" s="18">
        <f>LARGE(DF$7:DF$748,1)</f>
        <v>7.8</v>
      </c>
      <c r="DG1" s="18">
        <f>LARGE(DG$7:DG$748,1)</f>
        <v>2.12</v>
      </c>
      <c r="DH1" s="18">
        <f>LARGE(DH$7:DH$748,1)</f>
        <v>5.16</v>
      </c>
      <c r="DI1" s="18">
        <f>LARGE(DI$7:DI$748,1)</f>
        <v>7.56</v>
      </c>
      <c r="DJ1" s="18">
        <f>LARGE(DJ$7:DJ$748,1)</f>
        <v>19.43</v>
      </c>
      <c r="DK1" s="18">
        <f>LARGE(DK$7:DK$748,1)</f>
        <v>14.96</v>
      </c>
      <c r="DL1" s="18">
        <f>LARGE(DL$7:DL$748,1)</f>
        <v>10.9</v>
      </c>
      <c r="DM1" s="18">
        <f>LARGE(DM$7:DM$748,1)</f>
        <v>4.43</v>
      </c>
      <c r="DN1" s="18">
        <f>LARGE(DN$7:DN$748,1)</f>
        <v>18.47</v>
      </c>
      <c r="DO1" s="18">
        <f>LARGE(DO$7:DO$748,1)</f>
        <v>8.26</v>
      </c>
      <c r="DP1" s="18">
        <f>LARGE(DP$7:DP$748,1)</f>
        <v>14.88</v>
      </c>
      <c r="DQ1" s="18">
        <f>LARGE(DQ$7:DQ$748,1)</f>
        <v>1.63</v>
      </c>
      <c r="DR1" s="18">
        <f>LARGE(DR$7:DR$748,1)</f>
        <v>9.4600000000000009</v>
      </c>
      <c r="DS1" s="18">
        <f>LARGE(DS$7:DS$748,1)</f>
        <v>5.16</v>
      </c>
      <c r="DT1" s="18">
        <f>LARGE(DT$7:DT$748,1)</f>
        <v>7.85</v>
      </c>
      <c r="DU1" s="18">
        <f>LARGE(DU$7:DU$748,1)</f>
        <v>10.37</v>
      </c>
      <c r="DV1" s="18">
        <f>LARGE(DV$7:DV$748,1)</f>
        <v>4.5599999999999996</v>
      </c>
      <c r="DW1" s="18">
        <f>LARGE(DW$7:DW$748,1)</f>
        <v>14.18</v>
      </c>
      <c r="DX1" s="18">
        <f>LARGE(DX$7:DX$748,1)</f>
        <v>9.19</v>
      </c>
      <c r="DY1" s="18">
        <f>LARGE(DY$7:DY$748,1)</f>
        <v>1.01</v>
      </c>
      <c r="DZ1" s="18">
        <f>LARGE(DZ$7:DZ$748,1)</f>
        <v>9.25</v>
      </c>
      <c r="EA1" s="18">
        <f>LARGE(EA$7:EA$748,1)</f>
        <v>7.39</v>
      </c>
      <c r="EB1" s="18">
        <f>LARGE(EB$7:EB$748,1)</f>
        <v>8.3000000000000007</v>
      </c>
      <c r="EC1" s="18">
        <f>LARGE(EC$7:EC$748,1)</f>
        <v>9.41</v>
      </c>
      <c r="ED1" s="18">
        <f>LARGE(ED$7:ED$748,1)</f>
        <v>7.34</v>
      </c>
      <c r="EE1" s="18">
        <f>LARGE(EE$7:EE$748,1)</f>
        <v>3.85</v>
      </c>
      <c r="EF1" s="18">
        <f>LARGE(EF$7:EF$748,1)</f>
        <v>5.34</v>
      </c>
      <c r="EG1" s="18">
        <f>LARGE(EG$7:EG$748,1)</f>
        <v>5.16</v>
      </c>
      <c r="EH1" s="18">
        <f>LARGE(EH$7:EH$748,1)</f>
        <v>8.2200000000000006</v>
      </c>
      <c r="EI1" s="18">
        <f>LARGE(EI$7:EI$748,1)</f>
        <v>15.91</v>
      </c>
      <c r="EJ1" s="18">
        <f>LARGE(EJ$7:EJ$748,1)</f>
        <v>9.06</v>
      </c>
      <c r="EK1" s="18">
        <f>LARGE(EK$7:EK$748,1)</f>
        <v>6.93</v>
      </c>
      <c r="EL1" s="18">
        <f>LARGE(EL$7:EL$748,1)</f>
        <v>22.66</v>
      </c>
      <c r="EM1" s="18">
        <f>LARGE(EM$7:EM$748,1)</f>
        <v>2.4</v>
      </c>
      <c r="EN1" s="18">
        <f>LARGE(EN$7:EN$748,1)</f>
        <v>3.85</v>
      </c>
      <c r="EO1" s="18">
        <f>LARGE(EO$7:EO$748,1)</f>
        <v>6.21</v>
      </c>
      <c r="EP1" s="18">
        <f>LARGE(EP$7:EP$748,1)</f>
        <v>6.59</v>
      </c>
      <c r="EQ1" s="18">
        <f>LARGE(EQ$7:EQ$748,1)</f>
        <v>9.8800000000000008</v>
      </c>
      <c r="ER1" s="18">
        <f>LARGE(ER$7:ER$748,1)</f>
        <v>8.67</v>
      </c>
      <c r="ES1" s="18">
        <f>LARGE(ES$7:ES$748,1)</f>
        <v>3.18</v>
      </c>
      <c r="ET1" s="18">
        <f>LARGE(ET$7:ET$748,1)</f>
        <v>12.17</v>
      </c>
      <c r="EU1" s="18">
        <f>LARGE(EU$7:EU$748,1)</f>
        <v>9.0399999999999991</v>
      </c>
      <c r="EV1" s="18">
        <f>LARGE(EV$7:EV$748,1)</f>
        <v>6.16</v>
      </c>
      <c r="EW1" s="18">
        <f>LARGE(EW$7:EW$748,1)</f>
        <v>6.76</v>
      </c>
      <c r="EX1" s="18">
        <f>LARGE(EX$7:EX$748,1)</f>
        <v>6.93</v>
      </c>
      <c r="EY1" s="18">
        <f>LARGE(EY$7:EY$748,1)</f>
        <v>10.6</v>
      </c>
      <c r="EZ1" s="18">
        <f>LARGE(EZ$7:EZ$748,1)</f>
        <v>7.28</v>
      </c>
      <c r="FA1" s="18">
        <f>LARGE(FA$7:FA$748,1)</f>
        <v>9.33</v>
      </c>
      <c r="FB1" s="18">
        <f>LARGE(FB$7:FB$748,1)</f>
        <v>3.17</v>
      </c>
      <c r="FC1" s="18">
        <f>LARGE(FC$7:FC$748,1)</f>
        <v>1.87</v>
      </c>
      <c r="FD1" s="18">
        <f>LARGE(FD$7:FD$748,1)</f>
        <v>5.6</v>
      </c>
      <c r="FE1" s="18">
        <f>LARGE(FE$7:FE$748,1)</f>
        <v>8.2100000000000009</v>
      </c>
      <c r="FF1" s="18">
        <f>LARGE(FF$7:FF$748,1)</f>
        <v>2.4</v>
      </c>
      <c r="FG1" s="18">
        <f>LARGE(FG$7:FG$748,1)</f>
        <v>2.35</v>
      </c>
      <c r="FH1" s="18">
        <f>LARGE(FH$7:FH$748,1)</f>
        <v>8.35</v>
      </c>
      <c r="FI1" s="18">
        <f>LARGE(FI$7:FI$748,1)</f>
        <v>8.86</v>
      </c>
      <c r="FJ1" s="18">
        <f>LARGE(FJ$7:FJ$748,1)</f>
        <v>5.0599999999999996</v>
      </c>
      <c r="FK1" s="18">
        <f>LARGE(FK$7:FK$748,1)</f>
        <v>5.51</v>
      </c>
      <c r="FL1" s="18">
        <f>LARGE(FL$7:FL$748,1)</f>
        <v>5.34</v>
      </c>
      <c r="FM1" s="18">
        <f>LARGE(FM$7:FM$748,1)</f>
        <v>9.57</v>
      </c>
      <c r="FN1" s="18">
        <f>LARGE(FN$7:FN$748,1)</f>
        <v>6.11</v>
      </c>
      <c r="FO1" s="18">
        <f>LARGE(FO$7:FO$748,1)</f>
        <v>8.44</v>
      </c>
      <c r="FP1" s="18">
        <f>LARGE(FP$7:FP$748,1)</f>
        <v>13.05</v>
      </c>
      <c r="FQ1" s="18">
        <f>LARGE(FQ$7:FQ$748,1)</f>
        <v>10.26</v>
      </c>
      <c r="FR1" s="18">
        <f>LARGE(FR$7:FR$748,1)</f>
        <v>5.29</v>
      </c>
      <c r="FS1" s="18">
        <f>LARGE(FS$7:FS$748,1)</f>
        <v>9.3800000000000008</v>
      </c>
      <c r="FT1" s="18">
        <f>LARGE(FT$7:FT$748,1)</f>
        <v>12.07</v>
      </c>
      <c r="FU1" s="18">
        <f>LARGE(FU$7:FU$748,1)</f>
        <v>9.44</v>
      </c>
      <c r="FV1" s="18">
        <f>LARGE(FV$7:FV$748,1)</f>
        <v>11.84</v>
      </c>
      <c r="FW1" s="18">
        <f>LARGE(FW$7:FW$748,1)</f>
        <v>11.62</v>
      </c>
      <c r="FX1" s="18">
        <f>LARGE(FX$7:FX$748,1)</f>
        <v>6.15</v>
      </c>
      <c r="FY1" s="18">
        <f>LARGE(FY$7:FY$748,1)</f>
        <v>7.25</v>
      </c>
      <c r="FZ1" s="18">
        <f>LARGE(FZ$7:FZ$748,1)</f>
        <v>15.37</v>
      </c>
      <c r="GA1" s="18">
        <f>LARGE(GA$7:GA$748,1)</f>
        <v>11.74</v>
      </c>
      <c r="GB1" s="18">
        <f>LARGE(GB$7:GB$748,1)</f>
        <v>8.91</v>
      </c>
      <c r="GC1" s="18">
        <f>LARGE(GC$7:GC$748,1)</f>
        <v>5.64</v>
      </c>
      <c r="GD1" s="18">
        <f>LARGE(GD$7:GD$748,1)</f>
        <v>4</v>
      </c>
      <c r="GE1" s="18">
        <f>LARGE(GE$7:GE$748,1)</f>
        <v>8.11</v>
      </c>
      <c r="GF1" s="18">
        <f>LARGE(GF$7:GF$748,1)</f>
        <v>7.22</v>
      </c>
      <c r="GG1" s="18">
        <f>LARGE(GG$7:GG$748,1)</f>
        <v>6.91</v>
      </c>
      <c r="GH1" s="18">
        <f>LARGE(GH$7:GH$748,1)</f>
        <v>6.24</v>
      </c>
      <c r="GI1" s="18">
        <f>LARGE(GI$7:GI$748,1)</f>
        <v>23.18</v>
      </c>
      <c r="GJ1" s="18">
        <f>LARGE(GJ$7:GJ$748,1)</f>
        <v>15.65</v>
      </c>
      <c r="GK1" s="18">
        <f>LARGE(GK$7:GK$748,1)</f>
        <v>21.65</v>
      </c>
      <c r="GL1" s="18">
        <f>LARGE(GL$7:GL$748,1)</f>
        <v>7.9</v>
      </c>
      <c r="GM1" s="18">
        <f>LARGE(GM$7:GM$748,1)</f>
        <v>10.029999999999999</v>
      </c>
      <c r="GN1" s="18">
        <f>LARGE(GN$7:GN$748,1)</f>
        <v>14.78</v>
      </c>
      <c r="GO1" s="18">
        <f>LARGE(GO$7:GO$748,1)</f>
        <v>8.52</v>
      </c>
      <c r="GP1" s="18">
        <f>LARGE(GP$7:GP$748,1)</f>
        <v>15.26</v>
      </c>
      <c r="GQ1" s="18">
        <f>LARGE(GQ$7:GQ$748,1)</f>
        <v>5.76</v>
      </c>
      <c r="GR1" s="18">
        <f>LARGE(GR$7:GR$748,1)</f>
        <v>21.81</v>
      </c>
      <c r="GS1" s="18">
        <f>LARGE(GS$7:GS$748,1)</f>
        <v>11.56</v>
      </c>
      <c r="GT1" s="18">
        <f>LARGE(GT$7:GT$748,1)</f>
        <v>10.85</v>
      </c>
      <c r="GU1" s="18">
        <f>LARGE(GU$7:GU$748,1)</f>
        <v>9.44</v>
      </c>
      <c r="GV1" s="18">
        <f>LARGE(GV$7:GV$748,1)</f>
        <v>7.75</v>
      </c>
      <c r="GW1" s="18">
        <f>LARGE(GW$7:GW$748,1)</f>
        <v>3.17</v>
      </c>
      <c r="GX1" s="18">
        <f>LARGE(GX$7:GX$748,1)</f>
        <v>7.12</v>
      </c>
      <c r="GY1" s="18">
        <f>LARGE(GY$7:GY$748,1)</f>
        <v>5.28</v>
      </c>
      <c r="GZ1" s="18">
        <f>LARGE(GZ$7:GZ$748,1)</f>
        <v>8.91</v>
      </c>
      <c r="HA1" s="18">
        <f>LARGE(HA$7:HA$748,1)</f>
        <v>4.7</v>
      </c>
      <c r="HB1" s="18">
        <f>LARGE(HB$7:HB$748,1)</f>
        <v>7.19</v>
      </c>
      <c r="HC1" s="18">
        <f>LARGE(HC$7:HC$748,1)</f>
        <v>5.83</v>
      </c>
      <c r="HD1" s="18">
        <f>LARGE(HD$7:HD$748,1)</f>
        <v>9.83</v>
      </c>
      <c r="HE1" s="18">
        <f>LARGE(HE$7:HE$748,1)</f>
        <v>8.67</v>
      </c>
      <c r="HF1" s="18">
        <f>LARGE(HF$7:HF$748,1)</f>
        <v>14.15</v>
      </c>
      <c r="HG1" s="18">
        <f>LARGE(HG$7:HG$748,1)</f>
        <v>7.55</v>
      </c>
      <c r="HH1" s="18">
        <f>LARGE(HH$7:HH$748,1)</f>
        <v>11.67</v>
      </c>
      <c r="HI1" s="18">
        <f>LARGE(HI$7:HI$748,1)</f>
        <v>6.24</v>
      </c>
      <c r="HJ1" s="18">
        <f>LARGE(HJ$7:HJ$748,1)</f>
        <v>5.59</v>
      </c>
    </row>
    <row r="2" spans="1:218">
      <c r="A2" s="9" t="s">
        <v>3201</v>
      </c>
      <c r="B2" s="9"/>
      <c r="C2" s="9"/>
      <c r="D2" s="9"/>
      <c r="E2" s="9"/>
      <c r="F2" s="19"/>
      <c r="G2" s="19"/>
      <c r="H2" s="19"/>
      <c r="I2" s="19"/>
      <c r="J2" s="9"/>
      <c r="K2" s="19">
        <f>MEDIAN(K$7:K$748)</f>
        <v>3.09</v>
      </c>
      <c r="L2" s="19">
        <f>MEDIAN(L$7:L$748)</f>
        <v>3.12</v>
      </c>
      <c r="M2" s="19">
        <f>MEDIAN(M$7:M$748)</f>
        <v>5.26</v>
      </c>
      <c r="N2" s="19">
        <f>MEDIAN(N$7:N$748)</f>
        <v>4.7300000000000004</v>
      </c>
      <c r="O2" s="19">
        <f>MEDIAN(O$7:O$748)</f>
        <v>4.75</v>
      </c>
      <c r="P2" s="19">
        <f>MEDIAN(P$7:P$748)</f>
        <v>3.9950000000000001</v>
      </c>
      <c r="Q2" s="19">
        <f>MEDIAN(Q$7:Q$748)</f>
        <v>3.96</v>
      </c>
      <c r="R2" s="19">
        <f>MEDIAN(R$7:R$748)</f>
        <v>3.6550000000000002</v>
      </c>
      <c r="S2" s="19">
        <f>MEDIAN(S$7:S$748)</f>
        <v>4.78</v>
      </c>
      <c r="T2" s="19">
        <f>MEDIAN(T$7:T$748)</f>
        <v>3.11</v>
      </c>
      <c r="U2" s="19">
        <f>MEDIAN(U$7:U$748)</f>
        <v>2.23</v>
      </c>
      <c r="V2" s="19">
        <f>MEDIAN(V$7:V$748)</f>
        <v>3.14</v>
      </c>
      <c r="W2" s="19">
        <f>MEDIAN(W$7:W$748)</f>
        <v>4.05</v>
      </c>
      <c r="X2" s="19">
        <f>MEDIAN(X$7:X$748)</f>
        <v>4.68</v>
      </c>
      <c r="Y2" s="19">
        <f>MEDIAN(Y$7:Y$748)</f>
        <v>3.38</v>
      </c>
      <c r="Z2" s="19">
        <f>MEDIAN(Z$7:Z$748)</f>
        <v>4.7300000000000004</v>
      </c>
      <c r="AA2" s="19">
        <f>MEDIAN(AA$7:AA$748)</f>
        <v>4.3499999999999996</v>
      </c>
      <c r="AB2" s="19">
        <f>MEDIAN(AB$7:AB$748)</f>
        <v>5.5250000000000004</v>
      </c>
      <c r="AC2" s="19">
        <f>MEDIAN(AC$7:AC$748)</f>
        <v>4.37</v>
      </c>
      <c r="AD2" s="19">
        <f>MEDIAN(AD$7:AD$748)</f>
        <v>4.43</v>
      </c>
      <c r="AE2" s="19">
        <f>MEDIAN(AE$7:AE$748)</f>
        <v>2.71</v>
      </c>
      <c r="AF2" s="19">
        <f>MEDIAN(AF$7:AF$748)</f>
        <v>3.4450000000000003</v>
      </c>
      <c r="AG2" s="19">
        <f>MEDIAN(AG$7:AG$748)</f>
        <v>3.49</v>
      </c>
      <c r="AH2" s="19">
        <f>MEDIAN(AH$7:AH$748)</f>
        <v>4.87</v>
      </c>
      <c r="AI2" s="19">
        <f>MEDIAN(AI$7:AI$748)</f>
        <v>4.32</v>
      </c>
      <c r="AJ2" s="19">
        <f>MEDIAN(AJ$7:AJ$748)</f>
        <v>5.9849999999999994</v>
      </c>
      <c r="AK2" s="19">
        <f>MEDIAN(AK$7:AK$748)</f>
        <v>6.2549999999999999</v>
      </c>
      <c r="AL2" s="19">
        <f>MEDIAN(AL$7:AL$748)</f>
        <v>3.2149999999999999</v>
      </c>
      <c r="AM2" s="19">
        <f>MEDIAN(AM$7:AM$748)</f>
        <v>5.29</v>
      </c>
      <c r="AN2" s="19">
        <f>MEDIAN(AN$7:AN$748)</f>
        <v>4.43</v>
      </c>
      <c r="AO2" s="19">
        <f>MEDIAN(AO$7:AO$748)</f>
        <v>4.59</v>
      </c>
      <c r="AP2" s="19">
        <f>MEDIAN(AP$7:AP$748)</f>
        <v>7.81</v>
      </c>
      <c r="AQ2" s="19">
        <f>MEDIAN(AQ$7:AQ$748)</f>
        <v>5.19</v>
      </c>
      <c r="AR2" s="19">
        <f>MEDIAN(AR$7:AR$748)</f>
        <v>5.835</v>
      </c>
      <c r="AS2" s="19">
        <f>MEDIAN(AS$7:AS$748)</f>
        <v>4.4350000000000005</v>
      </c>
      <c r="AT2" s="19">
        <f>MEDIAN(AT$7:AT$748)</f>
        <v>4.5649999999999995</v>
      </c>
      <c r="AU2" s="19">
        <f>MEDIAN(AU$7:AU$748)</f>
        <v>6.77</v>
      </c>
      <c r="AV2" s="19">
        <f>MEDIAN(AV$7:AV$748)</f>
        <v>4.62</v>
      </c>
      <c r="AW2" s="19">
        <f>MEDIAN(AW$7:AW$748)</f>
        <v>13.68</v>
      </c>
      <c r="AX2" s="19">
        <f>MEDIAN(AX$7:AX$748)</f>
        <v>6.57</v>
      </c>
      <c r="AY2" s="19">
        <f>MEDIAN(AY$7:AY$748)</f>
        <v>6.85</v>
      </c>
      <c r="AZ2" s="19">
        <f>MEDIAN(AZ$7:AZ$748)</f>
        <v>2.3199999999999998</v>
      </c>
      <c r="BA2" s="19">
        <f>MEDIAN(BA$7:BA$748)</f>
        <v>5.01</v>
      </c>
      <c r="BB2" s="19">
        <f>MEDIAN(BB$7:BB$748)</f>
        <v>6.87</v>
      </c>
      <c r="BC2" s="19">
        <f>MEDIAN(BC$7:BC$748)</f>
        <v>4.41</v>
      </c>
      <c r="BD2" s="19">
        <f>MEDIAN(BD$7:BD$748)</f>
        <v>4.6400000000000006</v>
      </c>
      <c r="BE2" s="19">
        <f>MEDIAN(BE$7:BE$748)</f>
        <v>2.2749999999999999</v>
      </c>
      <c r="BF2" s="19">
        <f>MEDIAN(BF$7:BF$748)</f>
        <v>1.915</v>
      </c>
      <c r="BG2" s="19">
        <f>MEDIAN(BG$7:BG$748)</f>
        <v>1.355</v>
      </c>
      <c r="BH2" s="19">
        <f>MEDIAN(BH$7:BH$748)</f>
        <v>5.3150000000000004</v>
      </c>
      <c r="BI2" s="19">
        <f>MEDIAN(BI$7:BI$748)</f>
        <v>1.2949999999999999</v>
      </c>
      <c r="BJ2" s="19">
        <f>MEDIAN(BJ$7:BJ$748)</f>
        <v>5.6899999999999995</v>
      </c>
      <c r="BK2" s="19">
        <f>MEDIAN(BK$7:BK$748)</f>
        <v>3.81</v>
      </c>
      <c r="BL2" s="19">
        <f>MEDIAN(BL$7:BL$748)</f>
        <v>5.9849999999999994</v>
      </c>
      <c r="BM2" s="19">
        <f>MEDIAN(BM$7:BM$748)</f>
        <v>5.26</v>
      </c>
      <c r="BN2" s="19">
        <f>MEDIAN(BN$7:BN$748)</f>
        <v>3.11</v>
      </c>
      <c r="BO2" s="19">
        <f>MEDIAN(BO$7:BO$748)</f>
        <v>3.74</v>
      </c>
      <c r="BP2" s="19">
        <f>MEDIAN(BP$7:BP$748)</f>
        <v>2.085</v>
      </c>
      <c r="BQ2" s="19">
        <f>MEDIAN(BQ$7:BQ$748)</f>
        <v>6.52</v>
      </c>
      <c r="BR2" s="19">
        <f>MEDIAN(BR$7:BR$748)</f>
        <v>5.8249999999999993</v>
      </c>
      <c r="BS2" s="19">
        <f>MEDIAN(BS$7:BS$748)</f>
        <v>3.4</v>
      </c>
      <c r="BT2" s="19">
        <f>MEDIAN(BT$7:BT$748)</f>
        <v>5.3000000000000007</v>
      </c>
      <c r="BU2" s="19">
        <f>MEDIAN(BU$7:BU$748)</f>
        <v>5.5500000000000007</v>
      </c>
      <c r="BV2" s="19">
        <f>MEDIAN(BV$7:BV$748)</f>
        <v>4.04</v>
      </c>
      <c r="BW2" s="19">
        <f>MEDIAN(BW$7:BW$748)</f>
        <v>3.26</v>
      </c>
      <c r="BX2" s="19">
        <f>MEDIAN(BX$7:BX$748)</f>
        <v>4.38</v>
      </c>
      <c r="BY2" s="19">
        <f>MEDIAN(BY$7:BY$748)</f>
        <v>6.9950000000000001</v>
      </c>
      <c r="BZ2" s="19">
        <f>MEDIAN(BZ$7:BZ$748)</f>
        <v>3.21</v>
      </c>
      <c r="CA2" s="19">
        <f>MEDIAN(CA$7:CA$748)</f>
        <v>6.14</v>
      </c>
      <c r="CB2" s="19">
        <f>MEDIAN(CB$7:CB$748)</f>
        <v>5.0949999999999998</v>
      </c>
      <c r="CC2" s="19">
        <f>MEDIAN(CC$7:CC$748)</f>
        <v>1.2650000000000001</v>
      </c>
      <c r="CD2" s="19">
        <f>MEDIAN(CD$7:CD$748)</f>
        <v>4.3600000000000003</v>
      </c>
      <c r="CE2" s="19">
        <f>MEDIAN(CE$7:CE$748)</f>
        <v>4.9550000000000001</v>
      </c>
      <c r="CF2" s="19">
        <f>MEDIAN(CF$7:CF$748)</f>
        <v>3.7549999999999999</v>
      </c>
      <c r="CG2" s="19">
        <f>MEDIAN(CG$7:CG$748)</f>
        <v>4.5199999999999996</v>
      </c>
      <c r="CH2" s="19">
        <f>MEDIAN(CH$7:CH$748)</f>
        <v>2.4900000000000002</v>
      </c>
      <c r="CI2" s="19">
        <f>MEDIAN(CI$7:CI$748)</f>
        <v>4.96</v>
      </c>
      <c r="CJ2" s="19">
        <f>MEDIAN(CJ$7:CJ$748)</f>
        <v>5.26</v>
      </c>
      <c r="CK2" s="19">
        <f>MEDIAN(CK$7:CK$748)</f>
        <v>3.74</v>
      </c>
      <c r="CL2" s="19">
        <f>MEDIAN(CL$7:CL$748)</f>
        <v>5.88</v>
      </c>
      <c r="CM2" s="19">
        <f>MEDIAN(CM$7:CM$748)</f>
        <v>5.1150000000000002</v>
      </c>
      <c r="CN2" s="19">
        <f>MEDIAN(CN$7:CN$748)</f>
        <v>4.1349999999999998</v>
      </c>
      <c r="CO2" s="19">
        <f>MEDIAN(CO$7:CO$748)</f>
        <v>2.395</v>
      </c>
      <c r="CP2" s="19">
        <f>MEDIAN(CP$7:CP$748)</f>
        <v>3.97</v>
      </c>
      <c r="CQ2" s="19">
        <f>MEDIAN(CQ$7:CQ$748)</f>
        <v>4.4849999999999994</v>
      </c>
      <c r="CR2" s="19">
        <f>MEDIAN(CR$7:CR$748)</f>
        <v>4.0549999999999997</v>
      </c>
      <c r="CS2" s="19">
        <f>MEDIAN(CS$7:CS$748)</f>
        <v>6.8599999999999994</v>
      </c>
      <c r="CT2" s="19">
        <f>MEDIAN(CT$7:CT$748)</f>
        <v>4.5449999999999999</v>
      </c>
      <c r="CU2" s="19">
        <f>MEDIAN(CU$7:CU$748)</f>
        <v>3.68</v>
      </c>
      <c r="CV2" s="19">
        <f>MEDIAN(CV$7:CV$748)</f>
        <v>2.59</v>
      </c>
      <c r="CW2" s="19">
        <f>MEDIAN(CW$7:CW$748)</f>
        <v>4.4749999999999996</v>
      </c>
      <c r="CX2" s="19">
        <f>MEDIAN(CX$7:CX$748)</f>
        <v>3.14</v>
      </c>
      <c r="CY2" s="19">
        <f>MEDIAN(CY$7:CY$748)</f>
        <v>4.585</v>
      </c>
      <c r="CZ2" s="19">
        <f>MEDIAN(CZ$7:CZ$748)</f>
        <v>5.65</v>
      </c>
      <c r="DA2" s="19">
        <f>MEDIAN(DA$7:DA$748)</f>
        <v>5.625</v>
      </c>
      <c r="DB2" s="19">
        <f>MEDIAN(DB$7:DB$748)</f>
        <v>4.34</v>
      </c>
      <c r="DC2" s="19">
        <f>MEDIAN(DC$7:DC$748)</f>
        <v>3.74</v>
      </c>
      <c r="DD2" s="19">
        <f>MEDIAN(DD$7:DD$748)</f>
        <v>6.2</v>
      </c>
      <c r="DE2" s="19">
        <f>MEDIAN(DE$7:DE$748)</f>
        <v>5.33</v>
      </c>
      <c r="DF2" s="19">
        <f>MEDIAN(DF$7:DF$748)</f>
        <v>6.5750000000000002</v>
      </c>
      <c r="DG2" s="19">
        <f>MEDIAN(DG$7:DG$748)</f>
        <v>1.95</v>
      </c>
      <c r="DH2" s="19">
        <f>MEDIAN(DH$7:DH$748)</f>
        <v>3.895</v>
      </c>
      <c r="DI2" s="19">
        <f>MEDIAN(DI$7:DI$748)</f>
        <v>4.45</v>
      </c>
      <c r="DJ2" s="19">
        <f>MEDIAN(DJ$7:DJ$748)</f>
        <v>4.585</v>
      </c>
      <c r="DK2" s="19">
        <f>MEDIAN(DK$7:DK$748)</f>
        <v>4.32</v>
      </c>
      <c r="DL2" s="19">
        <f>MEDIAN(DL$7:DL$748)</f>
        <v>5.4849999999999994</v>
      </c>
      <c r="DM2" s="19">
        <f>MEDIAN(DM$7:DM$748)</f>
        <v>3.09</v>
      </c>
      <c r="DN2" s="19">
        <f>MEDIAN(DN$7:DN$748)</f>
        <v>4.5</v>
      </c>
      <c r="DO2" s="19">
        <f>MEDIAN(DO$7:DO$748)</f>
        <v>6.04</v>
      </c>
      <c r="DP2" s="19">
        <f>MEDIAN(DP$7:DP$748)</f>
        <v>3.69</v>
      </c>
      <c r="DQ2" s="19">
        <f>MEDIAN(DQ$7:DQ$748)</f>
        <v>0.99</v>
      </c>
      <c r="DR2" s="19">
        <f>MEDIAN(DR$7:DR$748)</f>
        <v>6.1449999999999996</v>
      </c>
      <c r="DS2" s="19">
        <f>MEDIAN(DS$7:DS$748)</f>
        <v>3.17</v>
      </c>
      <c r="DT2" s="19">
        <f>MEDIAN(DT$7:DT$748)</f>
        <v>4.57</v>
      </c>
      <c r="DU2" s="19">
        <f>MEDIAN(DU$7:DU$748)</f>
        <v>6.24</v>
      </c>
      <c r="DV2" s="19">
        <f>MEDIAN(DV$7:DV$748)</f>
        <v>3.8650000000000002</v>
      </c>
      <c r="DW2" s="19">
        <f>MEDIAN(DW$7:DW$748)</f>
        <v>4.62</v>
      </c>
      <c r="DX2" s="19">
        <f>MEDIAN(DX$7:DX$748)</f>
        <v>6.6</v>
      </c>
      <c r="DY2" s="19">
        <f>MEDIAN(DY$7:DY$748)</f>
        <v>1.01</v>
      </c>
      <c r="DZ2" s="19">
        <f>MEDIAN(DZ$7:DZ$748)</f>
        <v>6.4700000000000006</v>
      </c>
      <c r="EA2" s="19">
        <f>MEDIAN(EA$7:EA$748)</f>
        <v>3.3600000000000003</v>
      </c>
      <c r="EB2" s="19">
        <f>MEDIAN(EB$7:EB$748)</f>
        <v>5.96</v>
      </c>
      <c r="EC2" s="19">
        <f>MEDIAN(EC$7:EC$748)</f>
        <v>5.2650000000000006</v>
      </c>
      <c r="ED2" s="19">
        <f>MEDIAN(ED$7:ED$748)</f>
        <v>4.5350000000000001</v>
      </c>
      <c r="EE2" s="19">
        <f>MEDIAN(EE$7:EE$748)</f>
        <v>3.4750000000000001</v>
      </c>
      <c r="EF2" s="19">
        <f>MEDIAN(EF$7:EF$748)</f>
        <v>2.665</v>
      </c>
      <c r="EG2" s="19">
        <f>MEDIAN(EG$7:EG$748)</f>
        <v>4.08</v>
      </c>
      <c r="EH2" s="19">
        <f>MEDIAN(EH$7:EH$748)</f>
        <v>5.125</v>
      </c>
      <c r="EI2" s="19">
        <f>MEDIAN(EI$7:EI$748)</f>
        <v>2.9249999999999998</v>
      </c>
      <c r="EJ2" s="19">
        <f>MEDIAN(EJ$7:EJ$748)</f>
        <v>2.99</v>
      </c>
      <c r="EK2" s="19">
        <f>MEDIAN(EK$7:EK$748)</f>
        <v>4.4649999999999999</v>
      </c>
      <c r="EL2" s="19">
        <f>MEDIAN(EL$7:EL$748)</f>
        <v>5.7750000000000004</v>
      </c>
      <c r="EM2" s="19">
        <f>MEDIAN(EM$7:EM$748)</f>
        <v>1.63</v>
      </c>
      <c r="EN2" s="19">
        <f>MEDIAN(EN$7:EN$748)</f>
        <v>2.15</v>
      </c>
      <c r="EO2" s="19">
        <f>MEDIAN(EO$7:EO$748)</f>
        <v>3.8</v>
      </c>
      <c r="EP2" s="19">
        <f>MEDIAN(EP$7:EP$748)</f>
        <v>4.5500000000000007</v>
      </c>
      <c r="EQ2" s="19">
        <f>MEDIAN(EQ$7:EQ$748)</f>
        <v>5.625</v>
      </c>
      <c r="ER2" s="19">
        <f>MEDIAN(ER$7:ER$748)</f>
        <v>4.5649999999999995</v>
      </c>
      <c r="ES2" s="19">
        <f>MEDIAN(ES$7:ES$748)</f>
        <v>2.44</v>
      </c>
      <c r="ET2" s="19">
        <f>MEDIAN(ET$7:ET$748)</f>
        <v>5.7</v>
      </c>
      <c r="EU2" s="19">
        <f>MEDIAN(EU$7:EU$748)</f>
        <v>4.47</v>
      </c>
      <c r="EV2" s="19">
        <f>MEDIAN(EV$7:EV$748)</f>
        <v>5.1850000000000005</v>
      </c>
      <c r="EW2" s="19">
        <f>MEDIAN(EW$7:EW$748)</f>
        <v>3.59</v>
      </c>
      <c r="EX2" s="19">
        <f>MEDIAN(EX$7:EX$748)</f>
        <v>4.09</v>
      </c>
      <c r="EY2" s="19">
        <f>MEDIAN(EY$7:EY$748)</f>
        <v>5.2899999999999991</v>
      </c>
      <c r="EZ2" s="19">
        <f>MEDIAN(EZ$7:EZ$748)</f>
        <v>3.69</v>
      </c>
      <c r="FA2" s="19">
        <f>MEDIAN(FA$7:FA$748)</f>
        <v>3.34</v>
      </c>
      <c r="FB2" s="19">
        <f>MEDIAN(FB$7:FB$748)</f>
        <v>2.105</v>
      </c>
      <c r="FC2" s="19">
        <f>MEDIAN(FC$7:FC$748)</f>
        <v>1.335</v>
      </c>
      <c r="FD2" s="19">
        <f>MEDIAN(FD$7:FD$748)</f>
        <v>4.7649999999999997</v>
      </c>
      <c r="FE2" s="19">
        <f>MEDIAN(FE$7:FE$748)</f>
        <v>5.4249999999999998</v>
      </c>
      <c r="FF2" s="19">
        <f>MEDIAN(FF$7:FF$748)</f>
        <v>1.9049999999999998</v>
      </c>
      <c r="FG2" s="19">
        <f>MEDIAN(FG$7:FG$748)</f>
        <v>1.625</v>
      </c>
      <c r="FH2" s="19">
        <f>MEDIAN(FH$7:FH$748)</f>
        <v>4.55</v>
      </c>
      <c r="FI2" s="19">
        <f>MEDIAN(FI$7:FI$748)</f>
        <v>5.6150000000000002</v>
      </c>
      <c r="FJ2" s="19">
        <f>MEDIAN(FJ$7:FJ$748)</f>
        <v>4.91</v>
      </c>
      <c r="FK2" s="19">
        <f>MEDIAN(FK$7:FK$748)</f>
        <v>4.0299999999999994</v>
      </c>
      <c r="FL2" s="19">
        <f>MEDIAN(FL$7:FL$748)</f>
        <v>3.5350000000000001</v>
      </c>
      <c r="FM2" s="19">
        <f>MEDIAN(FM$7:FM$748)</f>
        <v>6.2</v>
      </c>
      <c r="FN2" s="19">
        <f>MEDIAN(FN$7:FN$748)</f>
        <v>4.51</v>
      </c>
      <c r="FO2" s="19">
        <f>MEDIAN(FO$7:FO$748)</f>
        <v>5.33</v>
      </c>
      <c r="FP2" s="19">
        <f>MEDIAN(FP$7:FP$748)</f>
        <v>6.44</v>
      </c>
      <c r="FQ2" s="19">
        <f>MEDIAN(FQ$7:FQ$748)</f>
        <v>4.2750000000000004</v>
      </c>
      <c r="FR2" s="19">
        <f>MEDIAN(FR$7:FR$748)</f>
        <v>3.62</v>
      </c>
      <c r="FS2" s="19">
        <f>MEDIAN(FS$7:FS$748)</f>
        <v>7.2</v>
      </c>
      <c r="FT2" s="19">
        <f>MEDIAN(FT$7:FT$748)</f>
        <v>6.27</v>
      </c>
      <c r="FU2" s="19">
        <f>MEDIAN(FU$7:FU$748)</f>
        <v>4.34</v>
      </c>
      <c r="FV2" s="19">
        <f>MEDIAN(FV$7:FV$748)</f>
        <v>6.31</v>
      </c>
      <c r="FW2" s="19">
        <f>MEDIAN(FW$7:FW$748)</f>
        <v>6.19</v>
      </c>
      <c r="FX2" s="19">
        <f>MEDIAN(FX$7:FX$748)</f>
        <v>5.6349999999999998</v>
      </c>
      <c r="FY2" s="19">
        <f>MEDIAN(FY$7:FY$748)</f>
        <v>3.35</v>
      </c>
      <c r="FZ2" s="19">
        <f>MEDIAN(FZ$7:FZ$748)</f>
        <v>4.4499999999999993</v>
      </c>
      <c r="GA2" s="19">
        <f>MEDIAN(GA$7:GA$748)</f>
        <v>5.6950000000000003</v>
      </c>
      <c r="GB2" s="19">
        <f>MEDIAN(GB$7:GB$748)</f>
        <v>4.7699999999999996</v>
      </c>
      <c r="GC2" s="19">
        <f>MEDIAN(GC$7:GC$748)</f>
        <v>3.79</v>
      </c>
      <c r="GD2" s="19">
        <f>MEDIAN(GD$7:GD$748)</f>
        <v>2.9950000000000001</v>
      </c>
      <c r="GE2" s="19">
        <f>MEDIAN(GE$7:GE$748)</f>
        <v>6.41</v>
      </c>
      <c r="GF2" s="19">
        <f>MEDIAN(GF$7:GF$748)</f>
        <v>5.35</v>
      </c>
      <c r="GG2" s="19">
        <f>MEDIAN(GG$7:GG$748)</f>
        <v>4.7249999999999996</v>
      </c>
      <c r="GH2" s="19">
        <f>MEDIAN(GH$7:GH$748)</f>
        <v>2.91</v>
      </c>
      <c r="GI2" s="19">
        <f>MEDIAN(GI$7:GI$748)</f>
        <v>4.33</v>
      </c>
      <c r="GJ2" s="19">
        <f>MEDIAN(GJ$7:GJ$748)</f>
        <v>4.5</v>
      </c>
      <c r="GK2" s="19">
        <f>MEDIAN(GK$7:GK$748)</f>
        <v>4.72</v>
      </c>
      <c r="GL2" s="19">
        <f>MEDIAN(GL$7:GL$748)</f>
        <v>6.82</v>
      </c>
      <c r="GM2" s="19">
        <f>MEDIAN(GM$7:GM$748)</f>
        <v>6.7850000000000001</v>
      </c>
      <c r="GN2" s="19">
        <f>MEDIAN(GN$7:GN$748)</f>
        <v>4.375</v>
      </c>
      <c r="GO2" s="19">
        <f>MEDIAN(GO$7:GO$748)</f>
        <v>4.34</v>
      </c>
      <c r="GP2" s="19">
        <f>MEDIAN(GP$7:GP$748)</f>
        <v>3.2</v>
      </c>
      <c r="GQ2" s="19">
        <f>MEDIAN(GQ$7:GQ$748)</f>
        <v>2.3200000000000003</v>
      </c>
      <c r="GR2" s="19">
        <f>MEDIAN(GR$7:GR$748)</f>
        <v>2.7800000000000002</v>
      </c>
      <c r="GS2" s="19">
        <f>MEDIAN(GS$7:GS$748)</f>
        <v>5.49</v>
      </c>
      <c r="GT2" s="19">
        <f>MEDIAN(GT$7:GT$748)</f>
        <v>6.24</v>
      </c>
      <c r="GU2" s="19">
        <f>MEDIAN(GU$7:GU$748)</f>
        <v>6.0049999999999999</v>
      </c>
      <c r="GV2" s="19">
        <f>MEDIAN(GV$7:GV$748)</f>
        <v>5.5549999999999997</v>
      </c>
      <c r="GW2" s="19">
        <f>MEDIAN(GW$7:GW$748)</f>
        <v>2.3050000000000002</v>
      </c>
      <c r="GX2" s="19">
        <f>MEDIAN(GX$7:GX$748)</f>
        <v>5.8149999999999995</v>
      </c>
      <c r="GY2" s="19">
        <f>MEDIAN(GY$7:GY$748)</f>
        <v>5.0549999999999997</v>
      </c>
      <c r="GZ2" s="19">
        <f>MEDIAN(GZ$7:GZ$748)</f>
        <v>4.54</v>
      </c>
      <c r="HA2" s="19">
        <f>MEDIAN(HA$7:HA$748)</f>
        <v>3.38</v>
      </c>
      <c r="HB2" s="19">
        <f>MEDIAN(HB$7:HB$748)</f>
        <v>4.95</v>
      </c>
      <c r="HC2" s="19">
        <f>MEDIAN(HC$7:HC$748)</f>
        <v>3.18</v>
      </c>
      <c r="HD2" s="19">
        <f>MEDIAN(HD$7:HD$748)</f>
        <v>4.75</v>
      </c>
      <c r="HE2" s="19">
        <f>MEDIAN(HE$7:HE$748)</f>
        <v>5.8100000000000005</v>
      </c>
      <c r="HF2" s="19">
        <f>MEDIAN(HF$7:HF$748)</f>
        <v>4.57</v>
      </c>
      <c r="HG2" s="19">
        <f>MEDIAN(HG$7:HG$748)</f>
        <v>3.125</v>
      </c>
      <c r="HH2" s="19">
        <f>MEDIAN(HH$7:HH$748)</f>
        <v>5.22</v>
      </c>
      <c r="HI2" s="19">
        <f>MEDIAN(HI$7:HI$748)</f>
        <v>3.5049999999999999</v>
      </c>
      <c r="HJ2" s="19">
        <f>MEDIAN(HJ$7:HJ$748)</f>
        <v>4.37</v>
      </c>
    </row>
    <row r="3" spans="1:218">
      <c r="A3" s="20" t="s">
        <v>3202</v>
      </c>
      <c r="B3" s="20"/>
      <c r="C3" s="20"/>
      <c r="D3" s="20"/>
      <c r="E3" s="20"/>
      <c r="F3" s="21"/>
      <c r="G3" s="21"/>
      <c r="H3" s="21"/>
      <c r="I3" s="21"/>
      <c r="J3" s="20"/>
      <c r="K3" s="21">
        <f>SMALL(K$7:K$748,1)</f>
        <v>2.33</v>
      </c>
      <c r="L3" s="21">
        <f>SMALL(L$7:L$748,1)</f>
        <v>2.2000000000000002</v>
      </c>
      <c r="M3" s="21">
        <f>SMALL(M$7:M$748,1)</f>
        <v>4.08</v>
      </c>
      <c r="N3" s="21">
        <f>SMALL(N$7:N$748,1)</f>
        <v>3.78</v>
      </c>
      <c r="O3" s="21">
        <f>SMALL(O$7:O$748,1)</f>
        <v>2.74</v>
      </c>
      <c r="P3" s="21">
        <f>SMALL(P$7:P$748,1)</f>
        <v>2.97</v>
      </c>
      <c r="Q3" s="21">
        <f>SMALL(Q$7:Q$748,1)</f>
        <v>3.18</v>
      </c>
      <c r="R3" s="21">
        <f>SMALL(R$7:R$748,1)</f>
        <v>3.13</v>
      </c>
      <c r="S3" s="21">
        <f>SMALL(S$7:S$748,1)</f>
        <v>4.57</v>
      </c>
      <c r="T3" s="21">
        <f>SMALL(T$7:T$748,1)</f>
        <v>2.74</v>
      </c>
      <c r="U3" s="21">
        <f>SMALL(U$7:U$748,1)</f>
        <v>1.84</v>
      </c>
      <c r="V3" s="21">
        <f>SMALL(V$7:V$748,1)</f>
        <v>2.97</v>
      </c>
      <c r="W3" s="21">
        <f>SMALL(W$7:W$748,1)</f>
        <v>0.76</v>
      </c>
      <c r="X3" s="21">
        <f>SMALL(X$7:X$748,1)</f>
        <v>3.18</v>
      </c>
      <c r="Y3" s="21">
        <f>SMALL(Y$7:Y$748,1)</f>
        <v>2.75</v>
      </c>
      <c r="Z3" s="21">
        <f>SMALL(Z$7:Z$748,1)</f>
        <v>3.05</v>
      </c>
      <c r="AA3" s="21">
        <f>SMALL(AA$7:AA$748,1)</f>
        <v>3.47</v>
      </c>
      <c r="AB3" s="21">
        <f>SMALL(AB$7:AB$748,1)</f>
        <v>3.99</v>
      </c>
      <c r="AC3" s="21">
        <f>SMALL(AC$7:AC$748,1)</f>
        <v>3.7</v>
      </c>
      <c r="AD3" s="21">
        <f>SMALL(AD$7:AD$748,1)</f>
        <v>2.99</v>
      </c>
      <c r="AE3" s="21">
        <f>SMALL(AE$7:AE$748,1)</f>
        <v>2.2599999999999998</v>
      </c>
      <c r="AF3" s="21">
        <f>SMALL(AF$7:AF$748,1)</f>
        <v>3.04</v>
      </c>
      <c r="AG3" s="21">
        <f>SMALL(AG$7:AG$748,1)</f>
        <v>3.15</v>
      </c>
      <c r="AH3" s="21">
        <f>SMALL(AH$7:AH$748,1)</f>
        <v>4.4800000000000004</v>
      </c>
      <c r="AI3" s="21">
        <f>SMALL(AI$7:AI$748,1)</f>
        <v>2.4300000000000002</v>
      </c>
      <c r="AJ3" s="21">
        <f>SMALL(AJ$7:AJ$748,1)</f>
        <v>4.46</v>
      </c>
      <c r="AK3" s="21">
        <f>SMALL(AK$7:AK$748,1)</f>
        <v>3.27</v>
      </c>
      <c r="AL3" s="21">
        <f>SMALL(AL$7:AL$748,1)</f>
        <v>2.89</v>
      </c>
      <c r="AM3" s="21">
        <f>SMALL(AM$7:AM$748,1)</f>
        <v>4.18</v>
      </c>
      <c r="AN3" s="21">
        <f>SMALL(AN$7:AN$748,1)</f>
        <v>3.72</v>
      </c>
      <c r="AO3" s="21">
        <f>SMALL(AO$7:AO$748,1)</f>
        <v>3.62</v>
      </c>
      <c r="AP3" s="21">
        <f>SMALL(AP$7:AP$748,1)</f>
        <v>4.1399999999999997</v>
      </c>
      <c r="AQ3" s="21">
        <f>SMALL(AQ$7:AQ$748,1)</f>
        <v>3.79</v>
      </c>
      <c r="AR3" s="21">
        <f>SMALL(AR$7:AR$748,1)</f>
        <v>2.89</v>
      </c>
      <c r="AS3" s="21">
        <f>SMALL(AS$7:AS$748,1)</f>
        <v>3.8</v>
      </c>
      <c r="AT3" s="21">
        <f>SMALL(AT$7:AT$748,1)</f>
        <v>3.67</v>
      </c>
      <c r="AU3" s="21">
        <f>SMALL(AU$7:AU$748,1)</f>
        <v>6.77</v>
      </c>
      <c r="AV3" s="21">
        <f>SMALL(AV$7:AV$748,1)</f>
        <v>3.74</v>
      </c>
      <c r="AW3" s="21">
        <f>SMALL(AW$7:AW$748,1)</f>
        <v>1.8</v>
      </c>
      <c r="AX3" s="21">
        <f>SMALL(AX$7:AX$748,1)</f>
        <v>4.1900000000000004</v>
      </c>
      <c r="AY3" s="21">
        <f>SMALL(AY$7:AY$748,1)</f>
        <v>4.25</v>
      </c>
      <c r="AZ3" s="21">
        <f>SMALL(AZ$7:AZ$748,1)</f>
        <v>2.09</v>
      </c>
      <c r="BA3" s="21">
        <f>SMALL(BA$7:BA$748,1)</f>
        <v>3.62</v>
      </c>
      <c r="BB3" s="21">
        <f>SMALL(BB$7:BB$748,1)</f>
        <v>3.9</v>
      </c>
      <c r="BC3" s="21">
        <f>SMALL(BC$7:BC$748,1)</f>
        <v>3.62</v>
      </c>
      <c r="BD3" s="21">
        <f>SMALL(BD$7:BD$748,1)</f>
        <v>3.89</v>
      </c>
      <c r="BE3" s="21">
        <f>SMALL(BE$7:BE$748,1)</f>
        <v>2.04</v>
      </c>
      <c r="BF3" s="21">
        <f>SMALL(BF$7:BF$748,1)</f>
        <v>0.86</v>
      </c>
      <c r="BG3" s="21">
        <f>SMALL(BG$7:BG$748,1)</f>
        <v>0.94</v>
      </c>
      <c r="BH3" s="21">
        <f>SMALL(BH$7:BH$748,1)</f>
        <v>3.21</v>
      </c>
      <c r="BI3" s="21">
        <f>SMALL(BI$7:BI$748,1)</f>
        <v>1.22</v>
      </c>
      <c r="BJ3" s="21">
        <f>SMALL(BJ$7:BJ$748,1)</f>
        <v>3.72</v>
      </c>
      <c r="BK3" s="21">
        <f>SMALL(BK$7:BK$748,1)</f>
        <v>2.33</v>
      </c>
      <c r="BL3" s="21">
        <f>SMALL(BL$7:BL$748,1)</f>
        <v>3.33</v>
      </c>
      <c r="BM3" s="21">
        <f>SMALL(BM$7:BM$748,1)</f>
        <v>4.8899999999999997</v>
      </c>
      <c r="BN3" s="21">
        <f>SMALL(BN$7:BN$748,1)</f>
        <v>1.63</v>
      </c>
      <c r="BO3" s="21">
        <f>SMALL(BO$7:BO$748,1)</f>
        <v>3.38</v>
      </c>
      <c r="BP3" s="21">
        <f>SMALL(BP$7:BP$748,1)</f>
        <v>1.57</v>
      </c>
      <c r="BQ3" s="21">
        <f>SMALL(BQ$7:BQ$748,1)</f>
        <v>3.6</v>
      </c>
      <c r="BR3" s="21">
        <f>SMALL(BR$7:BR$748,1)</f>
        <v>2.69</v>
      </c>
      <c r="BS3" s="21">
        <f>SMALL(BS$7:BS$748,1)</f>
        <v>3.12</v>
      </c>
      <c r="BT3" s="21">
        <f>SMALL(BT$7:BT$748,1)</f>
        <v>3.76</v>
      </c>
      <c r="BU3" s="21">
        <f>SMALL(BU$7:BU$748,1)</f>
        <v>4.0999999999999996</v>
      </c>
      <c r="BV3" s="21">
        <f>SMALL(BV$7:BV$748,1)</f>
        <v>3.75</v>
      </c>
      <c r="BW3" s="21">
        <f>SMALL(BW$7:BW$748,1)</f>
        <v>2.62</v>
      </c>
      <c r="BX3" s="21">
        <f>SMALL(BX$7:BX$748,1)</f>
        <v>2.39</v>
      </c>
      <c r="BY3" s="21">
        <f>SMALL(BY$7:BY$748,1)</f>
        <v>3.54</v>
      </c>
      <c r="BZ3" s="21">
        <f>SMALL(BZ$7:BZ$748,1)</f>
        <v>1.45</v>
      </c>
      <c r="CA3" s="21">
        <f>SMALL(CA$7:CA$748,1)</f>
        <v>3.37</v>
      </c>
      <c r="CB3" s="21">
        <f>SMALL(CB$7:CB$748,1)</f>
        <v>3.59</v>
      </c>
      <c r="CC3" s="21">
        <f>SMALL(CC$7:CC$748,1)</f>
        <v>1.19</v>
      </c>
      <c r="CD3" s="21">
        <f>SMALL(CD$7:CD$748,1)</f>
        <v>3.79</v>
      </c>
      <c r="CE3" s="21">
        <f>SMALL(CE$7:CE$748,1)</f>
        <v>3.61</v>
      </c>
      <c r="CF3" s="21">
        <f>SMALL(CF$7:CF$748,1)</f>
        <v>2.61</v>
      </c>
      <c r="CG3" s="21">
        <f>SMALL(CG$7:CG$748,1)</f>
        <v>4.2</v>
      </c>
      <c r="CH3" s="21">
        <f>SMALL(CH$7:CH$748,1)</f>
        <v>2.29</v>
      </c>
      <c r="CI3" s="21">
        <f>SMALL(CI$7:CI$748,1)</f>
        <v>4.38</v>
      </c>
      <c r="CJ3" s="21">
        <f>SMALL(CJ$7:CJ$748,1)</f>
        <v>2.89</v>
      </c>
      <c r="CK3" s="21">
        <f>SMALL(CK$7:CK$748,1)</f>
        <v>3.02</v>
      </c>
      <c r="CL3" s="21">
        <f>SMALL(CL$7:CL$748,1)</f>
        <v>3.98</v>
      </c>
      <c r="CM3" s="21">
        <f>SMALL(CM$7:CM$748,1)</f>
        <v>3.98</v>
      </c>
      <c r="CN3" s="21">
        <f>SMALL(CN$7:CN$748,1)</f>
        <v>3.79</v>
      </c>
      <c r="CO3" s="21">
        <f>SMALL(CO$7:CO$748,1)</f>
        <v>2.17</v>
      </c>
      <c r="CP3" s="21">
        <f>SMALL(CP$7:CP$748,1)</f>
        <v>2.95</v>
      </c>
      <c r="CQ3" s="21">
        <f>SMALL(CQ$7:CQ$748,1)</f>
        <v>4.17</v>
      </c>
      <c r="CR3" s="21">
        <f>SMALL(CR$7:CR$748,1)</f>
        <v>3.39</v>
      </c>
      <c r="CS3" s="21">
        <f>SMALL(CS$7:CS$748,1)</f>
        <v>4</v>
      </c>
      <c r="CT3" s="21">
        <f>SMALL(CT$7:CT$748,1)</f>
        <v>3.49</v>
      </c>
      <c r="CU3" s="21">
        <f>SMALL(CU$7:CU$748,1)</f>
        <v>2.1800000000000002</v>
      </c>
      <c r="CV3" s="21">
        <f>SMALL(CV$7:CV$748,1)</f>
        <v>2.41</v>
      </c>
      <c r="CW3" s="21">
        <f>SMALL(CW$7:CW$748,1)</f>
        <v>2.13</v>
      </c>
      <c r="CX3" s="21">
        <f>SMALL(CX$7:CX$748,1)</f>
        <v>2.73</v>
      </c>
      <c r="CY3" s="21">
        <f>SMALL(CY$7:CY$748,1)</f>
        <v>1.87</v>
      </c>
      <c r="CZ3" s="21">
        <f>SMALL(CZ$7:CZ$748,1)</f>
        <v>5.15</v>
      </c>
      <c r="DA3" s="21">
        <f>SMALL(DA$7:DA$748,1)</f>
        <v>1.68</v>
      </c>
      <c r="DB3" s="21">
        <f>SMALL(DB$7:DB$748,1)</f>
        <v>2.64</v>
      </c>
      <c r="DC3" s="21">
        <f>SMALL(DC$7:DC$748,1)</f>
        <v>2.6</v>
      </c>
      <c r="DD3" s="21">
        <f>SMALL(DD$7:DD$748,1)</f>
        <v>3.24</v>
      </c>
      <c r="DE3" s="21">
        <f>SMALL(DE$7:DE$748,1)</f>
        <v>3.99</v>
      </c>
      <c r="DF3" s="21">
        <f>SMALL(DF$7:DF$748,1)</f>
        <v>4.0199999999999996</v>
      </c>
      <c r="DG3" s="21">
        <f>SMALL(DG$7:DG$748,1)</f>
        <v>1.88</v>
      </c>
      <c r="DH3" s="21">
        <f>SMALL(DH$7:DH$748,1)</f>
        <v>3.75</v>
      </c>
      <c r="DI3" s="21">
        <f>SMALL(DI$7:DI$748,1)</f>
        <v>3.95</v>
      </c>
      <c r="DJ3" s="21">
        <f>SMALL(DJ$7:DJ$748,1)</f>
        <v>2.4700000000000002</v>
      </c>
      <c r="DK3" s="21">
        <f>SMALL(DK$7:DK$748,1)</f>
        <v>2.86</v>
      </c>
      <c r="DL3" s="21">
        <f>SMALL(DL$7:DL$748,1)</f>
        <v>3.68</v>
      </c>
      <c r="DM3" s="21">
        <f>SMALL(DM$7:DM$748,1)</f>
        <v>2.98</v>
      </c>
      <c r="DN3" s="21">
        <f>SMALL(DN$7:DN$748,1)</f>
        <v>3.6</v>
      </c>
      <c r="DO3" s="21">
        <f>SMALL(DO$7:DO$748,1)</f>
        <v>3.26</v>
      </c>
      <c r="DP3" s="21">
        <f>SMALL(DP$7:DP$748,1)</f>
        <v>2.5099999999999998</v>
      </c>
      <c r="DQ3" s="21">
        <f>SMALL(DQ$7:DQ$748,1)</f>
        <v>0.86</v>
      </c>
      <c r="DR3" s="21">
        <f>SMALL(DR$7:DR$748,1)</f>
        <v>3.6</v>
      </c>
      <c r="DS3" s="21">
        <f>SMALL(DS$7:DS$748,1)</f>
        <v>2.27</v>
      </c>
      <c r="DT3" s="21">
        <f>SMALL(DT$7:DT$748,1)</f>
        <v>3.31</v>
      </c>
      <c r="DU3" s="21">
        <f>SMALL(DU$7:DU$748,1)</f>
        <v>4.58</v>
      </c>
      <c r="DV3" s="21">
        <f>SMALL(DV$7:DV$748,1)</f>
        <v>3.14</v>
      </c>
      <c r="DW3" s="21">
        <f>SMALL(DW$7:DW$748,1)</f>
        <v>3.85</v>
      </c>
      <c r="DX3" s="21">
        <f>SMALL(DX$7:DX$748,1)</f>
        <v>3.89</v>
      </c>
      <c r="DY3" s="21">
        <f>SMALL(DY$7:DY$748,1)</f>
        <v>1.01</v>
      </c>
      <c r="DZ3" s="21">
        <f>SMALL(DZ$7:DZ$748,1)</f>
        <v>4.4800000000000004</v>
      </c>
      <c r="EA3" s="21">
        <f>SMALL(EA$7:EA$748,1)</f>
        <v>2.3199999999999998</v>
      </c>
      <c r="EB3" s="21">
        <f>SMALL(EB$7:EB$748,1)</f>
        <v>3.7</v>
      </c>
      <c r="EC3" s="21">
        <f>SMALL(EC$7:EC$748,1)</f>
        <v>3.46</v>
      </c>
      <c r="ED3" s="21">
        <f>SMALL(ED$7:ED$748,1)</f>
        <v>3.39</v>
      </c>
      <c r="EE3" s="21">
        <f>SMALL(EE$7:EE$748,1)</f>
        <v>3.42</v>
      </c>
      <c r="EF3" s="21">
        <f>SMALL(EF$7:EF$748,1)</f>
        <v>2.0699999999999998</v>
      </c>
      <c r="EG3" s="21">
        <f>SMALL(EG$7:EG$748,1)</f>
        <v>3.61</v>
      </c>
      <c r="EH3" s="21">
        <f>SMALL(EH$7:EH$748,1)</f>
        <v>4.37</v>
      </c>
      <c r="EI3" s="21">
        <f>SMALL(EI$7:EI$748,1)</f>
        <v>2.02</v>
      </c>
      <c r="EJ3" s="21">
        <f>SMALL(EJ$7:EJ$748,1)</f>
        <v>2.7</v>
      </c>
      <c r="EK3" s="21">
        <f>SMALL(EK$7:EK$748,1)</f>
        <v>2.38</v>
      </c>
      <c r="EL3" s="21">
        <f>SMALL(EL$7:EL$748,1)</f>
        <v>3.67</v>
      </c>
      <c r="EM3" s="21">
        <f>SMALL(EM$7:EM$748,1)</f>
        <v>1.36</v>
      </c>
      <c r="EN3" s="21">
        <f>SMALL(EN$7:EN$748,1)</f>
        <v>1.77</v>
      </c>
      <c r="EO3" s="21">
        <f>SMALL(EO$7:EO$748,1)</f>
        <v>2.16</v>
      </c>
      <c r="EP3" s="21">
        <f>SMALL(EP$7:EP$748,1)</f>
        <v>4.07</v>
      </c>
      <c r="EQ3" s="21">
        <f>SMALL(EQ$7:EQ$748,1)</f>
        <v>3.43</v>
      </c>
      <c r="ER3" s="21">
        <f>SMALL(ER$7:ER$748,1)</f>
        <v>3.54</v>
      </c>
      <c r="ES3" s="21">
        <f>SMALL(ES$7:ES$748,1)</f>
        <v>2.34</v>
      </c>
      <c r="ET3" s="21">
        <f>SMALL(ET$7:ET$748,1)</f>
        <v>4.3600000000000003</v>
      </c>
      <c r="EU3" s="21">
        <f>SMALL(EU$7:EU$748,1)</f>
        <v>3.6</v>
      </c>
      <c r="EV3" s="21">
        <f>SMALL(EV$7:EV$748,1)</f>
        <v>4.2300000000000004</v>
      </c>
      <c r="EW3" s="21">
        <f>SMALL(EW$7:EW$748,1)</f>
        <v>3.33</v>
      </c>
      <c r="EX3" s="21">
        <f>SMALL(EX$7:EX$748,1)</f>
        <v>3.05</v>
      </c>
      <c r="EY3" s="21">
        <f>SMALL(EY$7:EY$748,1)</f>
        <v>2.99</v>
      </c>
      <c r="EZ3" s="21">
        <f>SMALL(EZ$7:EZ$748,1)</f>
        <v>3.25</v>
      </c>
      <c r="FA3" s="21">
        <f>SMALL(FA$7:FA$748,1)</f>
        <v>1.88</v>
      </c>
      <c r="FB3" s="21">
        <f>SMALL(FB$7:FB$748,1)</f>
        <v>1.89</v>
      </c>
      <c r="FC3" s="21">
        <f>SMALL(FC$7:FC$748,1)</f>
        <v>1.21</v>
      </c>
      <c r="FD3" s="21">
        <f>SMALL(FD$7:FD$748,1)</f>
        <v>4.2</v>
      </c>
      <c r="FE3" s="21">
        <f>SMALL(FE$7:FE$748,1)</f>
        <v>4.24</v>
      </c>
      <c r="FF3" s="21">
        <f>SMALL(FF$7:FF$748,1)</f>
        <v>1.83</v>
      </c>
      <c r="FG3" s="21">
        <f>SMALL(FG$7:FG$748,1)</f>
        <v>1.54</v>
      </c>
      <c r="FH3" s="21">
        <f>SMALL(FH$7:FH$748,1)</f>
        <v>3.04</v>
      </c>
      <c r="FI3" s="21">
        <f>SMALL(FI$7:FI$748,1)</f>
        <v>4.3499999999999996</v>
      </c>
      <c r="FJ3" s="21">
        <f>SMALL(FJ$7:FJ$748,1)</f>
        <v>4.8499999999999996</v>
      </c>
      <c r="FK3" s="21">
        <f>SMALL(FK$7:FK$748,1)</f>
        <v>3.91</v>
      </c>
      <c r="FL3" s="21">
        <f>SMALL(FL$7:FL$748,1)</f>
        <v>3.25</v>
      </c>
      <c r="FM3" s="21">
        <f>SMALL(FM$7:FM$748,1)</f>
        <v>3.06</v>
      </c>
      <c r="FN3" s="21">
        <f>SMALL(FN$7:FN$748,1)</f>
        <v>3.1</v>
      </c>
      <c r="FO3" s="21">
        <f>SMALL(FO$7:FO$748,1)</f>
        <v>4.28</v>
      </c>
      <c r="FP3" s="21">
        <f>SMALL(FP$7:FP$748,1)</f>
        <v>3.8</v>
      </c>
      <c r="FQ3" s="21">
        <f>SMALL(FQ$7:FQ$748,1)</f>
        <v>3.58</v>
      </c>
      <c r="FR3" s="21">
        <f>SMALL(FR$7:FR$748,1)</f>
        <v>3.36</v>
      </c>
      <c r="FS3" s="21">
        <f>SMALL(FS$7:FS$748,1)</f>
        <v>3.96</v>
      </c>
      <c r="FT3" s="21">
        <f>SMALL(FT$7:FT$748,1)</f>
        <v>3.92</v>
      </c>
      <c r="FU3" s="21">
        <f>SMALL(FU$7:FU$748,1)</f>
        <v>2.78</v>
      </c>
      <c r="FV3" s="21">
        <f>SMALL(FV$7:FV$748,1)</f>
        <v>3.16</v>
      </c>
      <c r="FW3" s="21">
        <f>SMALL(FW$7:FW$748,1)</f>
        <v>3.49</v>
      </c>
      <c r="FX3" s="21">
        <f>SMALL(FX$7:FX$748,1)</f>
        <v>4.12</v>
      </c>
      <c r="FY3" s="21">
        <f>SMALL(FY$7:FY$748,1)</f>
        <v>1.73</v>
      </c>
      <c r="FZ3" s="21">
        <f>SMALL(FZ$7:FZ$748,1)</f>
        <v>1.76</v>
      </c>
      <c r="GA3" s="21">
        <f>SMALL(GA$7:GA$748,1)</f>
        <v>3.38</v>
      </c>
      <c r="GB3" s="21">
        <f>SMALL(GB$7:GB$748,1)</f>
        <v>3.17</v>
      </c>
      <c r="GC3" s="21">
        <f>SMALL(GC$7:GC$748,1)</f>
        <v>2.85</v>
      </c>
      <c r="GD3" s="21">
        <f>SMALL(GD$7:GD$748,1)</f>
        <v>2.52</v>
      </c>
      <c r="GE3" s="21">
        <f>SMALL(GE$7:GE$748,1)</f>
        <v>4.67</v>
      </c>
      <c r="GF3" s="21">
        <f>SMALL(GF$7:GF$748,1)</f>
        <v>3.97</v>
      </c>
      <c r="GG3" s="21">
        <f>SMALL(GG$7:GG$748,1)</f>
        <v>4.22</v>
      </c>
      <c r="GH3" s="21">
        <f>SMALL(GH$7:GH$748,1)</f>
        <v>2.63</v>
      </c>
      <c r="GI3" s="21">
        <f>SMALL(GI$7:GI$748,1)</f>
        <v>3.05</v>
      </c>
      <c r="GJ3" s="21">
        <f>SMALL(GJ$7:GJ$748,1)</f>
        <v>3.42</v>
      </c>
      <c r="GK3" s="21">
        <f>SMALL(GK$7:GK$748,1)</f>
        <v>3.71</v>
      </c>
      <c r="GL3" s="21">
        <f>SMALL(GL$7:GL$748,1)</f>
        <v>3.95</v>
      </c>
      <c r="GM3" s="21">
        <f>SMALL(GM$7:GM$748,1)</f>
        <v>3.62</v>
      </c>
      <c r="GN3" s="21">
        <f>SMALL(GN$7:GN$748,1)</f>
        <v>2.37</v>
      </c>
      <c r="GO3" s="21">
        <f>SMALL(GO$7:GO$748,1)</f>
        <v>2.86</v>
      </c>
      <c r="GP3" s="21">
        <f>SMALL(GP$7:GP$748,1)</f>
        <v>1.45</v>
      </c>
      <c r="GQ3" s="21">
        <f>SMALL(GQ$7:GQ$748,1)</f>
        <v>1.77</v>
      </c>
      <c r="GR3" s="21">
        <f>SMALL(GR$7:GR$748,1)</f>
        <v>1.8</v>
      </c>
      <c r="GS3" s="21">
        <f>SMALL(GS$7:GS$748,1)</f>
        <v>3.85</v>
      </c>
      <c r="GT3" s="21">
        <f>SMALL(GT$7:GT$748,1)</f>
        <v>3.33</v>
      </c>
      <c r="GU3" s="21">
        <f>SMALL(GU$7:GU$748,1)</f>
        <v>5.41</v>
      </c>
      <c r="GV3" s="21">
        <f>SMALL(GV$7:GV$748,1)</f>
        <v>4.3099999999999996</v>
      </c>
      <c r="GW3" s="21">
        <f>SMALL(GW$7:GW$748,1)</f>
        <v>1.92</v>
      </c>
      <c r="GX3" s="21">
        <f>SMALL(GX$7:GX$748,1)</f>
        <v>4.2</v>
      </c>
      <c r="GY3" s="21">
        <f>SMALL(GY$7:GY$748,1)</f>
        <v>3.67</v>
      </c>
      <c r="GZ3" s="21">
        <f>SMALL(GZ$7:GZ$748,1)</f>
        <v>3.67</v>
      </c>
      <c r="HA3" s="21">
        <f>SMALL(HA$7:HA$748,1)</f>
        <v>3.18</v>
      </c>
      <c r="HB3" s="21">
        <f>SMALL(HB$7:HB$748,1)</f>
        <v>3.84</v>
      </c>
      <c r="HC3" s="21">
        <f>SMALL(HC$7:HC$748,1)</f>
        <v>3.08</v>
      </c>
      <c r="HD3" s="21">
        <f>SMALL(HD$7:HD$748,1)</f>
        <v>2.68</v>
      </c>
      <c r="HE3" s="21">
        <f>SMALL(HE$7:HE$748,1)</f>
        <v>3.97</v>
      </c>
      <c r="HF3" s="21">
        <f>SMALL(HF$7:HF$748,1)</f>
        <v>4.26</v>
      </c>
      <c r="HG3" s="21">
        <f>SMALL(HG$7:HG$748,1)</f>
        <v>2.5299999999999998</v>
      </c>
      <c r="HH3" s="21">
        <f>SMALL(HH$7:HH$748,1)</f>
        <v>2.38</v>
      </c>
      <c r="HI3" s="21">
        <f>SMALL(HI$7:HI$748,1)</f>
        <v>3.01</v>
      </c>
      <c r="HJ3" s="21">
        <f>SMALL(HJ$7:HJ$748,1)</f>
        <v>3.54</v>
      </c>
    </row>
    <row r="4" spans="1:218" ht="15.75" thickBot="1">
      <c r="A4" s="11"/>
      <c r="B4" s="11"/>
      <c r="C4" s="11"/>
      <c r="D4" s="11"/>
      <c r="E4" s="11"/>
      <c r="F4" s="13"/>
      <c r="G4" s="13"/>
      <c r="H4" s="13"/>
      <c r="I4" s="13"/>
      <c r="J4" s="11" t="s">
        <v>235</v>
      </c>
      <c r="K4" s="13" t="s">
        <v>236</v>
      </c>
      <c r="L4" s="13" t="s">
        <v>237</v>
      </c>
      <c r="M4" s="13" t="s">
        <v>238</v>
      </c>
      <c r="N4" s="13" t="s">
        <v>239</v>
      </c>
      <c r="O4" s="13" t="s">
        <v>240</v>
      </c>
      <c r="P4" s="13" t="s">
        <v>241</v>
      </c>
      <c r="Q4" s="13" t="s">
        <v>242</v>
      </c>
      <c r="R4" s="13" t="s">
        <v>243</v>
      </c>
      <c r="S4" s="13" t="s">
        <v>244</v>
      </c>
      <c r="T4" s="13" t="s">
        <v>245</v>
      </c>
      <c r="U4" s="13" t="s">
        <v>246</v>
      </c>
      <c r="V4" s="13" t="s">
        <v>247</v>
      </c>
      <c r="W4" s="13" t="s">
        <v>248</v>
      </c>
      <c r="X4" s="13" t="s">
        <v>249</v>
      </c>
      <c r="Y4" s="13" t="s">
        <v>250</v>
      </c>
      <c r="Z4" s="13" t="s">
        <v>251</v>
      </c>
      <c r="AA4" s="13" t="s">
        <v>252</v>
      </c>
      <c r="AB4" s="13" t="s">
        <v>253</v>
      </c>
      <c r="AC4" s="13" t="s">
        <v>254</v>
      </c>
      <c r="AD4" s="13" t="s">
        <v>255</v>
      </c>
      <c r="AE4" s="13" t="s">
        <v>256</v>
      </c>
      <c r="AF4" s="13" t="s">
        <v>257</v>
      </c>
      <c r="AG4" s="13" t="s">
        <v>258</v>
      </c>
      <c r="AH4" s="13" t="s">
        <v>259</v>
      </c>
      <c r="AI4" s="13" t="s">
        <v>260</v>
      </c>
      <c r="AJ4" s="13" t="s">
        <v>261</v>
      </c>
      <c r="AK4" s="13" t="s">
        <v>262</v>
      </c>
      <c r="AL4" s="13" t="s">
        <v>263</v>
      </c>
      <c r="AM4" s="13" t="s">
        <v>264</v>
      </c>
      <c r="AN4" s="13" t="s">
        <v>265</v>
      </c>
      <c r="AO4" s="13" t="s">
        <v>266</v>
      </c>
      <c r="AP4" s="13" t="s">
        <v>267</v>
      </c>
      <c r="AQ4" s="13" t="s">
        <v>268</v>
      </c>
      <c r="AR4" s="13" t="s">
        <v>269</v>
      </c>
      <c r="AS4" s="13" t="s">
        <v>270</v>
      </c>
      <c r="AT4" s="13" t="s">
        <v>271</v>
      </c>
      <c r="AU4" s="13" t="s">
        <v>272</v>
      </c>
      <c r="AV4" s="13" t="s">
        <v>273</v>
      </c>
      <c r="AW4" s="13" t="s">
        <v>274</v>
      </c>
      <c r="AX4" s="13" t="s">
        <v>275</v>
      </c>
      <c r="AY4" s="13" t="s">
        <v>276</v>
      </c>
      <c r="AZ4" s="13" t="s">
        <v>277</v>
      </c>
      <c r="BA4" s="13" t="s">
        <v>278</v>
      </c>
      <c r="BB4" s="13" t="s">
        <v>279</v>
      </c>
      <c r="BC4" s="13" t="s">
        <v>280</v>
      </c>
      <c r="BD4" s="13" t="s">
        <v>281</v>
      </c>
      <c r="BE4" s="13" t="s">
        <v>282</v>
      </c>
      <c r="BF4" s="13" t="s">
        <v>283</v>
      </c>
      <c r="BG4" s="13" t="s">
        <v>284</v>
      </c>
      <c r="BH4" s="13" t="s">
        <v>285</v>
      </c>
      <c r="BI4" s="13" t="s">
        <v>286</v>
      </c>
      <c r="BJ4" s="13" t="s">
        <v>287</v>
      </c>
      <c r="BK4" s="13" t="s">
        <v>288</v>
      </c>
      <c r="BL4" s="13" t="s">
        <v>289</v>
      </c>
      <c r="BM4" s="13" t="s">
        <v>290</v>
      </c>
      <c r="BN4" s="13" t="s">
        <v>291</v>
      </c>
      <c r="BO4" s="13" t="s">
        <v>292</v>
      </c>
      <c r="BP4" s="13" t="s">
        <v>293</v>
      </c>
      <c r="BQ4" s="13" t="s">
        <v>294</v>
      </c>
      <c r="BR4" s="13" t="s">
        <v>295</v>
      </c>
      <c r="BS4" s="13" t="s">
        <v>296</v>
      </c>
      <c r="BT4" s="13" t="s">
        <v>297</v>
      </c>
      <c r="BU4" s="13" t="s">
        <v>298</v>
      </c>
      <c r="BV4" s="13" t="s">
        <v>299</v>
      </c>
      <c r="BW4" s="13" t="s">
        <v>300</v>
      </c>
      <c r="BX4" s="13" t="s">
        <v>301</v>
      </c>
      <c r="BY4" s="13" t="s">
        <v>302</v>
      </c>
      <c r="BZ4" s="13" t="s">
        <v>303</v>
      </c>
      <c r="CA4" s="13" t="s">
        <v>304</v>
      </c>
      <c r="CB4" s="13" t="s">
        <v>305</v>
      </c>
      <c r="CC4" s="13" t="s">
        <v>306</v>
      </c>
      <c r="CD4" s="13" t="s">
        <v>307</v>
      </c>
      <c r="CE4" s="13" t="s">
        <v>308</v>
      </c>
      <c r="CF4" s="13" t="s">
        <v>309</v>
      </c>
      <c r="CG4" s="13" t="s">
        <v>310</v>
      </c>
      <c r="CH4" s="13" t="s">
        <v>261</v>
      </c>
      <c r="CI4" s="13" t="s">
        <v>311</v>
      </c>
      <c r="CJ4" s="13" t="s">
        <v>312</v>
      </c>
      <c r="CK4" s="13" t="s">
        <v>313</v>
      </c>
      <c r="CL4" s="13" t="s">
        <v>314</v>
      </c>
      <c r="CM4" s="13" t="s">
        <v>315</v>
      </c>
      <c r="CN4" s="13" t="s">
        <v>316</v>
      </c>
      <c r="CO4" s="13" t="s">
        <v>317</v>
      </c>
      <c r="CP4" s="13" t="s">
        <v>318</v>
      </c>
      <c r="CQ4" s="13" t="s">
        <v>319</v>
      </c>
      <c r="CR4" s="13" t="s">
        <v>320</v>
      </c>
      <c r="CS4" s="13" t="s">
        <v>321</v>
      </c>
      <c r="CT4" s="13" t="s">
        <v>322</v>
      </c>
      <c r="CU4" s="13" t="s">
        <v>323</v>
      </c>
      <c r="CV4" s="13" t="s">
        <v>324</v>
      </c>
      <c r="CW4" s="13" t="s">
        <v>325</v>
      </c>
      <c r="CX4" s="13" t="s">
        <v>326</v>
      </c>
      <c r="CY4" s="13" t="s">
        <v>327</v>
      </c>
      <c r="CZ4" s="13" t="s">
        <v>328</v>
      </c>
      <c r="DA4" s="13" t="s">
        <v>329</v>
      </c>
      <c r="DB4" s="13" t="s">
        <v>330</v>
      </c>
      <c r="DC4" s="13" t="s">
        <v>331</v>
      </c>
      <c r="DD4" s="13" t="s">
        <v>332</v>
      </c>
      <c r="DE4" s="13" t="s">
        <v>333</v>
      </c>
      <c r="DF4" s="13" t="s">
        <v>334</v>
      </c>
      <c r="DG4" s="13" t="s">
        <v>305</v>
      </c>
      <c r="DH4" s="13" t="s">
        <v>335</v>
      </c>
      <c r="DI4" s="13" t="s">
        <v>336</v>
      </c>
      <c r="DJ4" s="13" t="s">
        <v>337</v>
      </c>
      <c r="DK4" s="13" t="s">
        <v>338</v>
      </c>
      <c r="DL4" s="13" t="s">
        <v>339</v>
      </c>
      <c r="DM4" s="13" t="s">
        <v>340</v>
      </c>
      <c r="DN4" s="13" t="s">
        <v>341</v>
      </c>
      <c r="DO4" s="13" t="s">
        <v>342</v>
      </c>
      <c r="DP4" s="13" t="s">
        <v>343</v>
      </c>
      <c r="DQ4" s="13" t="s">
        <v>345</v>
      </c>
      <c r="DR4" s="13" t="s">
        <v>346</v>
      </c>
      <c r="DS4" s="13" t="s">
        <v>257</v>
      </c>
      <c r="DT4" s="13" t="s">
        <v>347</v>
      </c>
      <c r="DU4" s="13" t="s">
        <v>348</v>
      </c>
      <c r="DV4" s="13" t="s">
        <v>296</v>
      </c>
      <c r="DW4" s="13" t="s">
        <v>349</v>
      </c>
      <c r="DX4" s="13" t="s">
        <v>350</v>
      </c>
      <c r="DY4" s="13" t="s">
        <v>351</v>
      </c>
      <c r="DZ4" s="13" t="s">
        <v>352</v>
      </c>
      <c r="EA4" s="13" t="s">
        <v>353</v>
      </c>
      <c r="EB4" s="13" t="s">
        <v>354</v>
      </c>
      <c r="EC4" s="13" t="s">
        <v>355</v>
      </c>
      <c r="ED4" s="13" t="s">
        <v>356</v>
      </c>
      <c r="EE4" s="13" t="s">
        <v>357</v>
      </c>
      <c r="EF4" s="13" t="s">
        <v>358</v>
      </c>
      <c r="EG4" s="13" t="s">
        <v>359</v>
      </c>
      <c r="EH4" s="13" t="s">
        <v>360</v>
      </c>
      <c r="EI4" s="13" t="s">
        <v>361</v>
      </c>
      <c r="EJ4" s="13" t="s">
        <v>362</v>
      </c>
      <c r="EK4" s="13" t="s">
        <v>363</v>
      </c>
      <c r="EL4" s="13" t="s">
        <v>364</v>
      </c>
      <c r="EM4" s="13" t="s">
        <v>365</v>
      </c>
      <c r="EN4" s="13" t="s">
        <v>366</v>
      </c>
      <c r="EO4" s="13" t="s">
        <v>367</v>
      </c>
      <c r="EP4" s="13" t="s">
        <v>368</v>
      </c>
      <c r="EQ4" s="13" t="s">
        <v>369</v>
      </c>
      <c r="ER4" s="13" t="s">
        <v>370</v>
      </c>
      <c r="ES4" s="13" t="s">
        <v>371</v>
      </c>
      <c r="ET4" s="13" t="s">
        <v>372</v>
      </c>
      <c r="EU4" s="13" t="s">
        <v>373</v>
      </c>
      <c r="EV4" s="13" t="s">
        <v>374</v>
      </c>
      <c r="EW4" s="13" t="s">
        <v>375</v>
      </c>
      <c r="EX4" s="13" t="s">
        <v>376</v>
      </c>
      <c r="EY4" s="13" t="s">
        <v>377</v>
      </c>
      <c r="EZ4" s="13" t="s">
        <v>378</v>
      </c>
      <c r="FA4" s="13" t="s">
        <v>379</v>
      </c>
      <c r="FB4" s="13" t="s">
        <v>380</v>
      </c>
      <c r="FC4" s="13" t="s">
        <v>381</v>
      </c>
      <c r="FD4" s="13" t="s">
        <v>382</v>
      </c>
      <c r="FE4" s="13" t="s">
        <v>383</v>
      </c>
      <c r="FF4" s="13" t="s">
        <v>384</v>
      </c>
      <c r="FG4" s="13" t="s">
        <v>385</v>
      </c>
      <c r="FH4" s="13" t="s">
        <v>386</v>
      </c>
      <c r="FI4" s="13" t="s">
        <v>387</v>
      </c>
      <c r="FJ4" s="13" t="s">
        <v>388</v>
      </c>
      <c r="FK4" s="13" t="s">
        <v>389</v>
      </c>
      <c r="FL4" s="13" t="s">
        <v>390</v>
      </c>
      <c r="FM4" s="13" t="s">
        <v>391</v>
      </c>
      <c r="FN4" s="13" t="s">
        <v>392</v>
      </c>
      <c r="FO4" s="13" t="s">
        <v>393</v>
      </c>
      <c r="FP4" s="13" t="s">
        <v>394</v>
      </c>
      <c r="FQ4" s="13" t="s">
        <v>395</v>
      </c>
      <c r="FR4" s="13" t="s">
        <v>396</v>
      </c>
      <c r="FS4" s="13" t="s">
        <v>397</v>
      </c>
      <c r="FT4" s="13" t="s">
        <v>398</v>
      </c>
      <c r="FU4" s="13" t="s">
        <v>399</v>
      </c>
      <c r="FV4" s="13" t="s">
        <v>400</v>
      </c>
      <c r="FW4" s="13" t="s">
        <v>401</v>
      </c>
      <c r="FX4" s="13" t="s">
        <v>402</v>
      </c>
      <c r="FY4" s="13" t="s">
        <v>403</v>
      </c>
      <c r="FZ4" s="13" t="s">
        <v>404</v>
      </c>
      <c r="GA4" s="13" t="s">
        <v>405</v>
      </c>
      <c r="GB4" s="13" t="s">
        <v>406</v>
      </c>
      <c r="GC4" s="13" t="s">
        <v>407</v>
      </c>
      <c r="GD4" s="13" t="s">
        <v>408</v>
      </c>
      <c r="GE4" s="13" t="s">
        <v>409</v>
      </c>
      <c r="GF4" s="13" t="s">
        <v>410</v>
      </c>
      <c r="GG4" s="13" t="s">
        <v>411</v>
      </c>
      <c r="GH4" s="13" t="s">
        <v>412</v>
      </c>
      <c r="GI4" s="13" t="s">
        <v>413</v>
      </c>
      <c r="GJ4" s="13" t="s">
        <v>414</v>
      </c>
      <c r="GK4" s="13" t="s">
        <v>415</v>
      </c>
      <c r="GL4" s="13" t="s">
        <v>416</v>
      </c>
      <c r="GM4" s="13" t="s">
        <v>417</v>
      </c>
      <c r="GN4" s="13" t="s">
        <v>418</v>
      </c>
      <c r="GO4" s="13" t="s">
        <v>419</v>
      </c>
      <c r="GP4" s="13" t="s">
        <v>420</v>
      </c>
      <c r="GQ4" s="13" t="s">
        <v>421</v>
      </c>
      <c r="GR4" s="13" t="s">
        <v>422</v>
      </c>
      <c r="GS4" s="13" t="s">
        <v>423</v>
      </c>
      <c r="GT4" s="13" t="s">
        <v>424</v>
      </c>
      <c r="GU4" s="13" t="s">
        <v>425</v>
      </c>
      <c r="GV4" s="13" t="s">
        <v>426</v>
      </c>
      <c r="GW4" s="13" t="s">
        <v>427</v>
      </c>
      <c r="GX4" s="13" t="s">
        <v>428</v>
      </c>
      <c r="GY4" s="13" t="s">
        <v>429</v>
      </c>
      <c r="GZ4" s="13" t="s">
        <v>430</v>
      </c>
      <c r="HA4" s="13" t="s">
        <v>431</v>
      </c>
      <c r="HB4" s="13" t="s">
        <v>432</v>
      </c>
      <c r="HC4" s="13" t="s">
        <v>433</v>
      </c>
      <c r="HD4" s="13" t="s">
        <v>434</v>
      </c>
      <c r="HE4" s="13" t="s">
        <v>435</v>
      </c>
      <c r="HF4" s="13" t="s">
        <v>436</v>
      </c>
      <c r="HG4" s="13" t="s">
        <v>437</v>
      </c>
      <c r="HH4" s="13" t="s">
        <v>438</v>
      </c>
      <c r="HI4" s="13" t="s">
        <v>439</v>
      </c>
      <c r="HJ4" s="13" t="s">
        <v>440</v>
      </c>
    </row>
    <row r="5" spans="1:218" s="2" customFormat="1" ht="60.75" thickBot="1">
      <c r="A5" s="5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233</v>
      </c>
      <c r="G5" s="6" t="s">
        <v>3203</v>
      </c>
      <c r="H5" s="6" t="s">
        <v>3204</v>
      </c>
      <c r="I5" s="6" t="s">
        <v>234</v>
      </c>
      <c r="J5" s="6" t="s">
        <v>5</v>
      </c>
      <c r="K5" s="6" t="s">
        <v>6</v>
      </c>
      <c r="L5" s="6" t="s">
        <v>7</v>
      </c>
      <c r="M5" s="6" t="s">
        <v>8</v>
      </c>
      <c r="N5" s="6" t="s">
        <v>10</v>
      </c>
      <c r="O5" s="6" t="s">
        <v>11</v>
      </c>
      <c r="P5" s="6" t="s">
        <v>12</v>
      </c>
      <c r="Q5" s="6" t="s">
        <v>14</v>
      </c>
      <c r="R5" s="6" t="s">
        <v>15</v>
      </c>
      <c r="S5" s="6" t="s">
        <v>16</v>
      </c>
      <c r="T5" s="6" t="s">
        <v>17</v>
      </c>
      <c r="U5" s="6" t="s">
        <v>18</v>
      </c>
      <c r="V5" s="6" t="s">
        <v>19</v>
      </c>
      <c r="W5" s="6" t="s">
        <v>20</v>
      </c>
      <c r="X5" s="6" t="s">
        <v>21</v>
      </c>
      <c r="Y5" s="6" t="s">
        <v>22</v>
      </c>
      <c r="Z5" s="6" t="s">
        <v>23</v>
      </c>
      <c r="AA5" s="6" t="s">
        <v>24</v>
      </c>
      <c r="AB5" s="6" t="s">
        <v>25</v>
      </c>
      <c r="AC5" s="6" t="s">
        <v>26</v>
      </c>
      <c r="AD5" s="6" t="s">
        <v>27</v>
      </c>
      <c r="AE5" s="6" t="s">
        <v>28</v>
      </c>
      <c r="AF5" s="6" t="s">
        <v>29</v>
      </c>
      <c r="AG5" s="6" t="s">
        <v>30</v>
      </c>
      <c r="AH5" s="6" t="s">
        <v>31</v>
      </c>
      <c r="AI5" s="6" t="s">
        <v>32</v>
      </c>
      <c r="AJ5" s="6" t="s">
        <v>33</v>
      </c>
      <c r="AK5" s="6" t="s">
        <v>34</v>
      </c>
      <c r="AL5" s="6" t="s">
        <v>35</v>
      </c>
      <c r="AM5" s="6" t="s">
        <v>36</v>
      </c>
      <c r="AN5" s="6" t="s">
        <v>37</v>
      </c>
      <c r="AO5" s="6" t="s">
        <v>38</v>
      </c>
      <c r="AP5" s="6" t="s">
        <v>39</v>
      </c>
      <c r="AQ5" s="6" t="s">
        <v>40</v>
      </c>
      <c r="AR5" s="6" t="s">
        <v>41</v>
      </c>
      <c r="AS5" s="6" t="s">
        <v>42</v>
      </c>
      <c r="AT5" s="6" t="s">
        <v>43</v>
      </c>
      <c r="AU5" s="6" t="s">
        <v>44</v>
      </c>
      <c r="AV5" s="6" t="s">
        <v>46</v>
      </c>
      <c r="AW5" s="6" t="s">
        <v>47</v>
      </c>
      <c r="AX5" s="6" t="s">
        <v>48</v>
      </c>
      <c r="AY5" s="6" t="s">
        <v>49</v>
      </c>
      <c r="AZ5" s="6" t="s">
        <v>50</v>
      </c>
      <c r="BA5" s="6" t="s">
        <v>51</v>
      </c>
      <c r="BB5" s="6" t="s">
        <v>52</v>
      </c>
      <c r="BC5" s="6" t="s">
        <v>53</v>
      </c>
      <c r="BD5" s="6" t="s">
        <v>54</v>
      </c>
      <c r="BE5" s="6" t="s">
        <v>55</v>
      </c>
      <c r="BF5" s="6" t="s">
        <v>56</v>
      </c>
      <c r="BG5" s="6" t="s">
        <v>57</v>
      </c>
      <c r="BH5" s="6" t="s">
        <v>58</v>
      </c>
      <c r="BI5" s="6" t="s">
        <v>59</v>
      </c>
      <c r="BJ5" s="6" t="s">
        <v>60</v>
      </c>
      <c r="BK5" s="6" t="s">
        <v>61</v>
      </c>
      <c r="BL5" s="6" t="s">
        <v>62</v>
      </c>
      <c r="BM5" s="6" t="s">
        <v>63</v>
      </c>
      <c r="BN5" s="6" t="s">
        <v>64</v>
      </c>
      <c r="BO5" s="6" t="s">
        <v>65</v>
      </c>
      <c r="BP5" s="6" t="s">
        <v>67</v>
      </c>
      <c r="BQ5" s="6" t="s">
        <v>68</v>
      </c>
      <c r="BR5" s="6" t="s">
        <v>69</v>
      </c>
      <c r="BS5" s="6" t="s">
        <v>70</v>
      </c>
      <c r="BT5" s="6" t="s">
        <v>71</v>
      </c>
      <c r="BU5" s="6" t="s">
        <v>72</v>
      </c>
      <c r="BV5" s="6" t="s">
        <v>73</v>
      </c>
      <c r="BW5" s="6" t="s">
        <v>74</v>
      </c>
      <c r="BX5" s="6" t="s">
        <v>75</v>
      </c>
      <c r="BY5" s="6" t="s">
        <v>76</v>
      </c>
      <c r="BZ5" s="6" t="s">
        <v>77</v>
      </c>
      <c r="CA5" s="6" t="s">
        <v>78</v>
      </c>
      <c r="CB5" s="6" t="s">
        <v>79</v>
      </c>
      <c r="CC5" s="6" t="s">
        <v>80</v>
      </c>
      <c r="CD5" s="6" t="s">
        <v>81</v>
      </c>
      <c r="CE5" s="6" t="s">
        <v>82</v>
      </c>
      <c r="CF5" s="6" t="s">
        <v>83</v>
      </c>
      <c r="CG5" s="6" t="s">
        <v>84</v>
      </c>
      <c r="CH5" s="6" t="s">
        <v>85</v>
      </c>
      <c r="CI5" s="6" t="s">
        <v>86</v>
      </c>
      <c r="CJ5" s="6" t="s">
        <v>87</v>
      </c>
      <c r="CK5" s="6" t="s">
        <v>88</v>
      </c>
      <c r="CL5" s="6" t="s">
        <v>89</v>
      </c>
      <c r="CM5" s="6" t="s">
        <v>90</v>
      </c>
      <c r="CN5" s="6" t="s">
        <v>91</v>
      </c>
      <c r="CO5" s="6" t="s">
        <v>92</v>
      </c>
      <c r="CP5" s="6" t="s">
        <v>93</v>
      </c>
      <c r="CQ5" s="6" t="s">
        <v>94</v>
      </c>
      <c r="CR5" s="6" t="s">
        <v>95</v>
      </c>
      <c r="CS5" s="6" t="s">
        <v>96</v>
      </c>
      <c r="CT5" s="6" t="s">
        <v>97</v>
      </c>
      <c r="CU5" s="6" t="s">
        <v>98</v>
      </c>
      <c r="CV5" s="6" t="s">
        <v>99</v>
      </c>
      <c r="CW5" s="6" t="s">
        <v>100</v>
      </c>
      <c r="CX5" s="6" t="s">
        <v>101</v>
      </c>
      <c r="CY5" s="6" t="s">
        <v>102</v>
      </c>
      <c r="CZ5" s="6" t="s">
        <v>103</v>
      </c>
      <c r="DA5" s="6" t="s">
        <v>104</v>
      </c>
      <c r="DB5" s="6" t="s">
        <v>105</v>
      </c>
      <c r="DC5" s="6" t="s">
        <v>106</v>
      </c>
      <c r="DD5" s="6" t="s">
        <v>107</v>
      </c>
      <c r="DE5" s="6" t="s">
        <v>108</v>
      </c>
      <c r="DF5" s="6" t="s">
        <v>109</v>
      </c>
      <c r="DG5" s="6" t="s">
        <v>110</v>
      </c>
      <c r="DH5" s="6" t="s">
        <v>111</v>
      </c>
      <c r="DI5" s="6" t="s">
        <v>112</v>
      </c>
      <c r="DJ5" s="6" t="s">
        <v>113</v>
      </c>
      <c r="DK5" s="6" t="s">
        <v>114</v>
      </c>
      <c r="DL5" s="6" t="s">
        <v>115</v>
      </c>
      <c r="DM5" s="6" t="s">
        <v>116</v>
      </c>
      <c r="DN5" s="6" t="s">
        <v>117</v>
      </c>
      <c r="DO5" s="6" t="s">
        <v>118</v>
      </c>
      <c r="DP5" s="6" t="s">
        <v>119</v>
      </c>
      <c r="DQ5" s="6" t="s">
        <v>121</v>
      </c>
      <c r="DR5" s="6" t="s">
        <v>122</v>
      </c>
      <c r="DS5" s="6" t="s">
        <v>123</v>
      </c>
      <c r="DT5" s="6" t="s">
        <v>124</v>
      </c>
      <c r="DU5" s="6" t="s">
        <v>125</v>
      </c>
      <c r="DV5" s="6" t="s">
        <v>126</v>
      </c>
      <c r="DW5" s="6" t="s">
        <v>127</v>
      </c>
      <c r="DX5" s="6" t="s">
        <v>128</v>
      </c>
      <c r="DY5" s="6" t="s">
        <v>129</v>
      </c>
      <c r="DZ5" s="6" t="s">
        <v>130</v>
      </c>
      <c r="EA5" s="6" t="s">
        <v>131</v>
      </c>
      <c r="EB5" s="6" t="s">
        <v>133</v>
      </c>
      <c r="EC5" s="6" t="s">
        <v>134</v>
      </c>
      <c r="ED5" s="6" t="s">
        <v>135</v>
      </c>
      <c r="EE5" s="6" t="s">
        <v>136</v>
      </c>
      <c r="EF5" s="6" t="s">
        <v>137</v>
      </c>
      <c r="EG5" s="6" t="s">
        <v>138</v>
      </c>
      <c r="EH5" s="6" t="s">
        <v>140</v>
      </c>
      <c r="EI5" s="6" t="s">
        <v>141</v>
      </c>
      <c r="EJ5" s="6" t="s">
        <v>143</v>
      </c>
      <c r="EK5" s="6" t="s">
        <v>144</v>
      </c>
      <c r="EL5" s="6" t="s">
        <v>145</v>
      </c>
      <c r="EM5" s="6" t="s">
        <v>146</v>
      </c>
      <c r="EN5" s="6" t="s">
        <v>148</v>
      </c>
      <c r="EO5" s="6" t="s">
        <v>149</v>
      </c>
      <c r="EP5" s="6" t="s">
        <v>150</v>
      </c>
      <c r="EQ5" s="6" t="s">
        <v>151</v>
      </c>
      <c r="ER5" s="6" t="s">
        <v>153</v>
      </c>
      <c r="ES5" s="6" t="s">
        <v>156</v>
      </c>
      <c r="ET5" s="6" t="s">
        <v>157</v>
      </c>
      <c r="EU5" s="6" t="s">
        <v>158</v>
      </c>
      <c r="EV5" s="6" t="s">
        <v>159</v>
      </c>
      <c r="EW5" s="6" t="s">
        <v>160</v>
      </c>
      <c r="EX5" s="6" t="s">
        <v>161</v>
      </c>
      <c r="EY5" s="6" t="s">
        <v>162</v>
      </c>
      <c r="EZ5" s="6" t="s">
        <v>163</v>
      </c>
      <c r="FA5" s="6" t="s">
        <v>164</v>
      </c>
      <c r="FB5" s="6" t="s">
        <v>165</v>
      </c>
      <c r="FC5" s="6" t="s">
        <v>166</v>
      </c>
      <c r="FD5" s="6" t="s">
        <v>167</v>
      </c>
      <c r="FE5" s="6" t="s">
        <v>168</v>
      </c>
      <c r="FF5" s="6" t="s">
        <v>169</v>
      </c>
      <c r="FG5" s="6" t="s">
        <v>170</v>
      </c>
      <c r="FH5" s="6" t="s">
        <v>171</v>
      </c>
      <c r="FI5" s="6" t="s">
        <v>172</v>
      </c>
      <c r="FJ5" s="6" t="s">
        <v>173</v>
      </c>
      <c r="FK5" s="6" t="s">
        <v>174</v>
      </c>
      <c r="FL5" s="6" t="s">
        <v>177</v>
      </c>
      <c r="FM5" s="6" t="s">
        <v>178</v>
      </c>
      <c r="FN5" s="6" t="s">
        <v>179</v>
      </c>
      <c r="FO5" s="6" t="s">
        <v>180</v>
      </c>
      <c r="FP5" s="6" t="s">
        <v>181</v>
      </c>
      <c r="FQ5" s="6" t="s">
        <v>182</v>
      </c>
      <c r="FR5" s="6" t="s">
        <v>183</v>
      </c>
      <c r="FS5" s="6" t="s">
        <v>184</v>
      </c>
      <c r="FT5" s="6" t="s">
        <v>185</v>
      </c>
      <c r="FU5" s="6" t="s">
        <v>187</v>
      </c>
      <c r="FV5" s="6" t="s">
        <v>188</v>
      </c>
      <c r="FW5" s="6" t="s">
        <v>189</v>
      </c>
      <c r="FX5" s="6" t="s">
        <v>190</v>
      </c>
      <c r="FY5" s="6" t="s">
        <v>191</v>
      </c>
      <c r="FZ5" s="6" t="s">
        <v>192</v>
      </c>
      <c r="GA5" s="6" t="s">
        <v>193</v>
      </c>
      <c r="GB5" s="6" t="s">
        <v>194</v>
      </c>
      <c r="GC5" s="6" t="s">
        <v>195</v>
      </c>
      <c r="GD5" s="6" t="s">
        <v>196</v>
      </c>
      <c r="GE5" s="6" t="s">
        <v>197</v>
      </c>
      <c r="GF5" s="6" t="s">
        <v>198</v>
      </c>
      <c r="GG5" s="6" t="s">
        <v>200</v>
      </c>
      <c r="GH5" s="6" t="s">
        <v>201</v>
      </c>
      <c r="GI5" s="6" t="s">
        <v>202</v>
      </c>
      <c r="GJ5" s="6" t="s">
        <v>203</v>
      </c>
      <c r="GK5" s="6" t="s">
        <v>204</v>
      </c>
      <c r="GL5" s="6" t="s">
        <v>205</v>
      </c>
      <c r="GM5" s="6" t="s">
        <v>206</v>
      </c>
      <c r="GN5" s="6" t="s">
        <v>207</v>
      </c>
      <c r="GO5" s="6" t="s">
        <v>208</v>
      </c>
      <c r="GP5" s="6" t="s">
        <v>210</v>
      </c>
      <c r="GQ5" s="6" t="s">
        <v>211</v>
      </c>
      <c r="GR5" s="6" t="s">
        <v>212</v>
      </c>
      <c r="GS5" s="6" t="s">
        <v>213</v>
      </c>
      <c r="GT5" s="6" t="s">
        <v>214</v>
      </c>
      <c r="GU5" s="6" t="s">
        <v>215</v>
      </c>
      <c r="GV5" s="6" t="s">
        <v>216</v>
      </c>
      <c r="GW5" s="6" t="s">
        <v>217</v>
      </c>
      <c r="GX5" s="6" t="s">
        <v>218</v>
      </c>
      <c r="GY5" s="6" t="s">
        <v>220</v>
      </c>
      <c r="GZ5" s="6" t="s">
        <v>222</v>
      </c>
      <c r="HA5" s="6" t="s">
        <v>223</v>
      </c>
      <c r="HB5" s="6" t="s">
        <v>224</v>
      </c>
      <c r="HC5" s="6" t="s">
        <v>225</v>
      </c>
      <c r="HD5" s="6" t="s">
        <v>226</v>
      </c>
      <c r="HE5" s="6" t="s">
        <v>227</v>
      </c>
      <c r="HF5" s="6" t="s">
        <v>228</v>
      </c>
      <c r="HG5" s="6" t="s">
        <v>229</v>
      </c>
      <c r="HH5" s="6" t="s">
        <v>230</v>
      </c>
      <c r="HI5" s="6" t="s">
        <v>231</v>
      </c>
      <c r="HJ5" s="7" t="s">
        <v>232</v>
      </c>
    </row>
    <row r="6" spans="1:218" hidden="1">
      <c r="A6" s="10" t="s">
        <v>441</v>
      </c>
      <c r="B6" s="10" t="s">
        <v>442</v>
      </c>
      <c r="C6" s="10" t="s">
        <v>443</v>
      </c>
      <c r="D6" s="10" t="s">
        <v>444</v>
      </c>
      <c r="E6" s="10" t="s">
        <v>445</v>
      </c>
      <c r="F6" s="12">
        <v>52</v>
      </c>
      <c r="G6" s="12">
        <f>LARGE($J6:$HJ6,1)</f>
        <v>17.55</v>
      </c>
      <c r="H6" s="12">
        <f>LARGE($J6:$HJ6,2)</f>
        <v>16.78</v>
      </c>
      <c r="I6" s="12">
        <v>397.21788220000002</v>
      </c>
      <c r="J6" s="10"/>
      <c r="K6" s="14">
        <v>4.32</v>
      </c>
      <c r="L6" s="14">
        <v>8.56</v>
      </c>
      <c r="M6" s="14">
        <v>6.58</v>
      </c>
      <c r="N6" s="14">
        <v>9.3800000000000008</v>
      </c>
      <c r="O6" s="14">
        <v>3.58</v>
      </c>
      <c r="P6" s="14"/>
      <c r="Q6" s="14"/>
      <c r="R6" s="14"/>
      <c r="S6" s="14">
        <v>14.64</v>
      </c>
      <c r="T6" s="14"/>
      <c r="U6" s="14"/>
      <c r="V6" s="14"/>
      <c r="W6" s="14"/>
      <c r="X6" s="14">
        <v>12.72</v>
      </c>
      <c r="Y6" s="14">
        <v>8.83</v>
      </c>
      <c r="Z6" s="14"/>
      <c r="AA6" s="14"/>
      <c r="AB6" s="14"/>
      <c r="AC6" s="14">
        <v>3.52</v>
      </c>
      <c r="AD6" s="14">
        <v>4.5999999999999996</v>
      </c>
      <c r="AE6" s="14"/>
      <c r="AF6" s="14"/>
      <c r="AG6" s="14"/>
      <c r="AH6" s="14">
        <v>4.5</v>
      </c>
      <c r="AI6" s="14">
        <v>8.26</v>
      </c>
      <c r="AJ6" s="14"/>
      <c r="AK6" s="14"/>
      <c r="AL6" s="14"/>
      <c r="AM6" s="14"/>
      <c r="AN6" s="14">
        <v>5.8</v>
      </c>
      <c r="AO6" s="14"/>
      <c r="AP6" s="14">
        <v>6.05</v>
      </c>
      <c r="AQ6" s="14">
        <v>5.79</v>
      </c>
      <c r="AR6" s="14"/>
      <c r="AS6" s="14"/>
      <c r="AT6" s="14"/>
      <c r="AU6" s="14"/>
      <c r="AV6" s="14"/>
      <c r="AW6" s="14"/>
      <c r="AX6" s="14"/>
      <c r="AY6" s="14"/>
      <c r="AZ6" s="14">
        <v>2.66</v>
      </c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>
        <v>7.5</v>
      </c>
      <c r="BO6" s="14"/>
      <c r="BP6" s="14"/>
      <c r="BQ6" s="14">
        <v>6.44</v>
      </c>
      <c r="BR6" s="14"/>
      <c r="BS6" s="14">
        <v>4.5999999999999996</v>
      </c>
      <c r="BT6" s="14"/>
      <c r="BU6" s="14"/>
      <c r="BV6" s="14">
        <v>4.62</v>
      </c>
      <c r="BW6" s="14"/>
      <c r="BX6" s="14"/>
      <c r="BY6" s="14"/>
      <c r="BZ6" s="14">
        <v>16.73</v>
      </c>
      <c r="CA6" s="14">
        <v>5.68</v>
      </c>
      <c r="CB6" s="14"/>
      <c r="CC6" s="14"/>
      <c r="CD6" s="14"/>
      <c r="CE6" s="14"/>
      <c r="CF6" s="14"/>
      <c r="CG6" s="14"/>
      <c r="CH6" s="14"/>
      <c r="CI6" s="14">
        <v>6.06</v>
      </c>
      <c r="CJ6" s="14">
        <v>9.42</v>
      </c>
      <c r="CK6" s="14"/>
      <c r="CL6" s="14"/>
      <c r="CM6" s="14"/>
      <c r="CN6" s="14"/>
      <c r="CO6" s="14"/>
      <c r="CP6" s="14">
        <v>3.91</v>
      </c>
      <c r="CQ6" s="14"/>
      <c r="CR6" s="14"/>
      <c r="CS6" s="14"/>
      <c r="CT6" s="14"/>
      <c r="CU6" s="14">
        <v>4.6399999999999997</v>
      </c>
      <c r="CV6" s="14"/>
      <c r="CW6" s="14"/>
      <c r="CX6" s="14">
        <v>3.05</v>
      </c>
      <c r="CY6" s="14"/>
      <c r="CZ6" s="14"/>
      <c r="DA6" s="14"/>
      <c r="DB6" s="14">
        <v>7.32</v>
      </c>
      <c r="DC6" s="14"/>
      <c r="DD6" s="14">
        <v>5.7</v>
      </c>
      <c r="DE6" s="14"/>
      <c r="DF6" s="14"/>
      <c r="DG6" s="14"/>
      <c r="DH6" s="14"/>
      <c r="DI6" s="14">
        <v>4.2</v>
      </c>
      <c r="DJ6" s="14"/>
      <c r="DK6" s="14">
        <v>12.53</v>
      </c>
      <c r="DL6" s="14"/>
      <c r="DM6" s="14"/>
      <c r="DN6" s="14"/>
      <c r="DO6" s="14"/>
      <c r="DP6" s="14"/>
      <c r="DQ6" s="14"/>
      <c r="DR6" s="14"/>
      <c r="DS6" s="14">
        <v>5.08</v>
      </c>
      <c r="DT6" s="14">
        <v>6.01</v>
      </c>
      <c r="DU6" s="14">
        <v>7.78</v>
      </c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>
        <v>9.84</v>
      </c>
      <c r="EP6" s="14"/>
      <c r="EQ6" s="14"/>
      <c r="ER6" s="14"/>
      <c r="ES6" s="14"/>
      <c r="ET6" s="14"/>
      <c r="EU6" s="14">
        <v>3.56</v>
      </c>
      <c r="EV6" s="14"/>
      <c r="EW6" s="14"/>
      <c r="EX6" s="14"/>
      <c r="EY6" s="14"/>
      <c r="EZ6" s="14">
        <v>8.16</v>
      </c>
      <c r="FA6" s="14">
        <v>8.9499999999999993</v>
      </c>
      <c r="FB6" s="14"/>
      <c r="FC6" s="14"/>
      <c r="FD6" s="14"/>
      <c r="FE6" s="14"/>
      <c r="FF6" s="14"/>
      <c r="FG6" s="14"/>
      <c r="FH6" s="14"/>
      <c r="FI6" s="14"/>
      <c r="FJ6" s="14"/>
      <c r="FK6" s="14"/>
      <c r="FL6" s="14"/>
      <c r="FM6" s="14">
        <v>14.76</v>
      </c>
      <c r="FN6" s="14"/>
      <c r="FO6" s="14"/>
      <c r="FP6" s="14">
        <v>17.55</v>
      </c>
      <c r="FQ6" s="14"/>
      <c r="FR6" s="14"/>
      <c r="FS6" s="14">
        <v>15.23</v>
      </c>
      <c r="FT6" s="14">
        <v>13.96</v>
      </c>
      <c r="FU6" s="14"/>
      <c r="FV6" s="14">
        <v>8.99</v>
      </c>
      <c r="FW6" s="14">
        <v>5.88</v>
      </c>
      <c r="FX6" s="14"/>
      <c r="FY6" s="14">
        <v>8.1199999999999992</v>
      </c>
      <c r="FZ6" s="14"/>
      <c r="GA6" s="14"/>
      <c r="GB6" s="14"/>
      <c r="GC6" s="14">
        <v>5.26</v>
      </c>
      <c r="GD6" s="14"/>
      <c r="GE6" s="14"/>
      <c r="GF6" s="14"/>
      <c r="GG6" s="14"/>
      <c r="GH6" s="14"/>
      <c r="GI6" s="14"/>
      <c r="GJ6" s="14"/>
      <c r="GK6" s="14"/>
      <c r="GL6" s="14"/>
      <c r="GM6" s="14"/>
      <c r="GN6" s="14"/>
      <c r="GO6" s="14"/>
      <c r="GP6" s="14">
        <v>16.78</v>
      </c>
      <c r="GQ6" s="14"/>
      <c r="GR6" s="14"/>
      <c r="GS6" s="14"/>
      <c r="GT6" s="14">
        <v>3.14</v>
      </c>
      <c r="GU6" s="14"/>
      <c r="GV6" s="14"/>
      <c r="GW6" s="14"/>
      <c r="GX6" s="14"/>
      <c r="GY6" s="14"/>
      <c r="GZ6" s="14">
        <v>4.3600000000000003</v>
      </c>
      <c r="HA6" s="14">
        <v>4.2300000000000004</v>
      </c>
      <c r="HB6" s="14">
        <v>4.32</v>
      </c>
      <c r="HC6" s="14"/>
      <c r="HD6" s="14"/>
      <c r="HE6" s="14"/>
      <c r="HF6" s="14"/>
      <c r="HG6" s="14"/>
      <c r="HH6" s="14">
        <v>13.07</v>
      </c>
      <c r="HI6" s="14"/>
      <c r="HJ6" s="14"/>
    </row>
    <row r="7" spans="1:218">
      <c r="A7" t="s">
        <v>446</v>
      </c>
      <c r="B7" t="s">
        <v>447</v>
      </c>
      <c r="C7" t="s">
        <v>443</v>
      </c>
      <c r="D7" t="s">
        <v>448</v>
      </c>
      <c r="E7" t="s">
        <v>449</v>
      </c>
      <c r="F7" s="3">
        <v>46</v>
      </c>
      <c r="G7" s="12">
        <f t="shared" ref="G7:G70" si="0">LARGE($J7:$HJ7,1)</f>
        <v>21.81</v>
      </c>
      <c r="H7" s="12">
        <f t="shared" ref="H7:H70" si="1">LARGE($J7:$HJ7,2)</f>
        <v>11.85</v>
      </c>
      <c r="I7" s="3">
        <v>300.35022120000002</v>
      </c>
      <c r="K7" s="4"/>
      <c r="L7" s="4">
        <v>2.2000000000000002</v>
      </c>
      <c r="M7" s="4">
        <v>6.7</v>
      </c>
      <c r="N7" s="4">
        <v>4.7300000000000004</v>
      </c>
      <c r="O7" s="4"/>
      <c r="P7" s="4">
        <v>5.76</v>
      </c>
      <c r="Q7" s="4"/>
      <c r="R7" s="4">
        <v>8.42</v>
      </c>
      <c r="S7" s="4"/>
      <c r="T7" s="4">
        <v>3.66</v>
      </c>
      <c r="U7" s="4"/>
      <c r="V7" s="4">
        <v>4.93</v>
      </c>
      <c r="W7" s="4"/>
      <c r="X7" s="4"/>
      <c r="Y7" s="4">
        <v>3.74</v>
      </c>
      <c r="Z7" s="4"/>
      <c r="AA7" s="4"/>
      <c r="AB7" s="4"/>
      <c r="AC7" s="4">
        <v>7.33</v>
      </c>
      <c r="AD7" s="4">
        <v>5.16</v>
      </c>
      <c r="AE7" s="4"/>
      <c r="AF7" s="4"/>
      <c r="AG7" s="4"/>
      <c r="AH7" s="4"/>
      <c r="AI7" s="4"/>
      <c r="AJ7" s="4"/>
      <c r="AK7" s="4"/>
      <c r="AL7" s="4">
        <v>3.47</v>
      </c>
      <c r="AM7" s="4"/>
      <c r="AN7" s="4">
        <v>6.05</v>
      </c>
      <c r="AO7" s="4">
        <v>6.82</v>
      </c>
      <c r="AP7" s="4">
        <v>9.92</v>
      </c>
      <c r="AQ7" s="4">
        <v>5.93</v>
      </c>
      <c r="AR7" s="4"/>
      <c r="AS7" s="4"/>
      <c r="AT7" s="4"/>
      <c r="AU7" s="4"/>
      <c r="AV7" s="4"/>
      <c r="AW7" s="4"/>
      <c r="AX7" s="4">
        <v>4.84</v>
      </c>
      <c r="AY7" s="4"/>
      <c r="AZ7" s="4"/>
      <c r="BA7" s="4">
        <v>4.42</v>
      </c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>
        <v>2.25</v>
      </c>
      <c r="BO7" s="4"/>
      <c r="BP7" s="4"/>
      <c r="BQ7" s="4">
        <v>7.17</v>
      </c>
      <c r="BR7" s="4"/>
      <c r="BS7" s="4"/>
      <c r="BT7" s="4"/>
      <c r="BU7" s="4"/>
      <c r="BV7" s="4">
        <v>9.36</v>
      </c>
      <c r="BW7" s="4"/>
      <c r="BX7" s="4"/>
      <c r="BY7" s="4"/>
      <c r="BZ7" s="4">
        <v>4.1900000000000004</v>
      </c>
      <c r="CA7" s="4">
        <v>11.23</v>
      </c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>
        <v>11.85</v>
      </c>
      <c r="DE7" s="4"/>
      <c r="DF7" s="4"/>
      <c r="DG7" s="4"/>
      <c r="DH7" s="4"/>
      <c r="DI7" s="4">
        <v>7.17</v>
      </c>
      <c r="DJ7" s="4"/>
      <c r="DK7" s="4">
        <v>6.01</v>
      </c>
      <c r="DL7" s="4"/>
      <c r="DM7" s="4"/>
      <c r="DN7" s="4"/>
      <c r="DO7" s="4"/>
      <c r="DP7" s="4"/>
      <c r="DQ7" s="4"/>
      <c r="DR7" s="4"/>
      <c r="DS7" s="4"/>
      <c r="DT7" s="4">
        <v>7.85</v>
      </c>
      <c r="DU7" s="4">
        <v>4.9400000000000004</v>
      </c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>
        <v>3.8</v>
      </c>
      <c r="EP7" s="4"/>
      <c r="EQ7" s="4"/>
      <c r="ER7" s="4"/>
      <c r="ES7" s="4"/>
      <c r="ET7" s="4"/>
      <c r="EU7" s="4">
        <v>7.56</v>
      </c>
      <c r="EV7" s="4"/>
      <c r="EW7" s="4"/>
      <c r="EX7" s="4"/>
      <c r="EY7" s="4"/>
      <c r="EZ7" s="4">
        <v>4.8</v>
      </c>
      <c r="FA7" s="4">
        <v>2.2400000000000002</v>
      </c>
      <c r="FB7" s="4">
        <v>3.17</v>
      </c>
      <c r="FC7" s="4"/>
      <c r="FD7" s="4"/>
      <c r="FE7" s="4"/>
      <c r="FF7" s="4"/>
      <c r="FG7" s="4"/>
      <c r="FH7" s="4"/>
      <c r="FI7" s="4"/>
      <c r="FJ7" s="4"/>
      <c r="FK7" s="4"/>
      <c r="FL7" s="4"/>
      <c r="FM7" s="4">
        <v>7.21</v>
      </c>
      <c r="FN7" s="4"/>
      <c r="FO7" s="4"/>
      <c r="FP7" s="4">
        <v>7.19</v>
      </c>
      <c r="FQ7" s="4"/>
      <c r="FR7" s="4"/>
      <c r="FS7" s="4">
        <v>7.78</v>
      </c>
      <c r="FT7" s="4"/>
      <c r="FU7" s="4"/>
      <c r="FV7" s="4">
        <v>11.84</v>
      </c>
      <c r="FW7" s="4">
        <v>11.62</v>
      </c>
      <c r="FX7" s="4"/>
      <c r="FY7" s="4">
        <v>1.73</v>
      </c>
      <c r="FZ7" s="4"/>
      <c r="GA7" s="4"/>
      <c r="GB7" s="4">
        <v>7.61</v>
      </c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>
        <v>4.1900000000000004</v>
      </c>
      <c r="GQ7" s="4"/>
      <c r="GR7" s="4">
        <v>21.81</v>
      </c>
      <c r="GS7" s="4"/>
      <c r="GT7" s="4">
        <v>10.85</v>
      </c>
      <c r="GU7" s="4"/>
      <c r="GV7" s="4"/>
      <c r="GW7" s="4"/>
      <c r="GX7" s="4"/>
      <c r="GY7" s="4"/>
      <c r="GZ7" s="4"/>
      <c r="HA7" s="4">
        <v>4.7</v>
      </c>
      <c r="HB7" s="4">
        <v>5.89</v>
      </c>
      <c r="HC7" s="4"/>
      <c r="HD7" s="4"/>
      <c r="HE7" s="4"/>
      <c r="HF7" s="4"/>
      <c r="HG7" s="4"/>
      <c r="HH7" s="4">
        <v>6.78</v>
      </c>
      <c r="HI7" s="4">
        <v>3.45</v>
      </c>
      <c r="HJ7" s="4"/>
    </row>
    <row r="8" spans="1:218" hidden="1">
      <c r="A8" t="s">
        <v>450</v>
      </c>
      <c r="B8" t="s">
        <v>451</v>
      </c>
      <c r="C8" t="s">
        <v>443</v>
      </c>
      <c r="D8" t="s">
        <v>452</v>
      </c>
      <c r="E8" t="s">
        <v>453</v>
      </c>
      <c r="F8" s="3">
        <v>45</v>
      </c>
      <c r="G8" s="12">
        <f t="shared" si="0"/>
        <v>9.49</v>
      </c>
      <c r="H8" s="12">
        <f t="shared" si="1"/>
        <v>9.43</v>
      </c>
      <c r="I8" s="3">
        <v>238.6443098</v>
      </c>
      <c r="K8" s="3">
        <v>2.33</v>
      </c>
      <c r="L8" s="4"/>
      <c r="M8" s="4"/>
      <c r="N8" s="4">
        <v>3.78</v>
      </c>
      <c r="O8" s="4">
        <v>2.74</v>
      </c>
      <c r="P8" s="4">
        <v>4.8</v>
      </c>
      <c r="Q8" s="4"/>
      <c r="R8" s="4">
        <v>4.67</v>
      </c>
      <c r="S8" s="4"/>
      <c r="T8" s="4">
        <v>3.28</v>
      </c>
      <c r="U8" s="4"/>
      <c r="V8" s="4"/>
      <c r="W8" s="4"/>
      <c r="X8" s="4"/>
      <c r="Y8" s="4">
        <v>2.88</v>
      </c>
      <c r="Z8" s="4">
        <v>8.32</v>
      </c>
      <c r="AA8" s="4">
        <v>9.43</v>
      </c>
      <c r="AB8" s="4">
        <v>7.87</v>
      </c>
      <c r="AC8" s="4">
        <v>7.48</v>
      </c>
      <c r="AD8" s="4">
        <v>5.07</v>
      </c>
      <c r="AE8" s="4"/>
      <c r="AF8" s="4"/>
      <c r="AG8" s="4"/>
      <c r="AH8" s="4"/>
      <c r="AI8" s="4"/>
      <c r="AJ8" s="4"/>
      <c r="AK8" s="4"/>
      <c r="AL8" s="4">
        <v>3.18</v>
      </c>
      <c r="AM8" s="4"/>
      <c r="AN8" s="4">
        <v>5.72</v>
      </c>
      <c r="AO8" s="4">
        <v>6.45</v>
      </c>
      <c r="AP8" s="4">
        <v>5.22</v>
      </c>
      <c r="AQ8" s="4">
        <v>5.19</v>
      </c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>
        <v>6.42</v>
      </c>
      <c r="BR8" s="4"/>
      <c r="BS8" s="4"/>
      <c r="BT8" s="4"/>
      <c r="BU8" s="4"/>
      <c r="BV8" s="4"/>
      <c r="BW8" s="4"/>
      <c r="BX8" s="4"/>
      <c r="BY8" s="4"/>
      <c r="BZ8" s="4">
        <v>3.21</v>
      </c>
      <c r="CA8" s="4">
        <v>6.14</v>
      </c>
      <c r="CB8" s="4"/>
      <c r="CC8" s="4"/>
      <c r="CD8" s="4"/>
      <c r="CE8" s="4"/>
      <c r="CF8" s="4"/>
      <c r="CG8" s="4"/>
      <c r="CH8" s="4"/>
      <c r="CI8" s="4">
        <v>6.24</v>
      </c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>
        <v>3.22</v>
      </c>
      <c r="CY8" s="4"/>
      <c r="CZ8" s="4"/>
      <c r="DA8" s="4"/>
      <c r="DB8" s="4">
        <v>2.73</v>
      </c>
      <c r="DC8" s="4"/>
      <c r="DD8" s="4">
        <v>7.26</v>
      </c>
      <c r="DE8" s="4"/>
      <c r="DF8" s="4"/>
      <c r="DG8" s="4"/>
      <c r="DH8" s="4"/>
      <c r="DI8" s="4">
        <v>7.56</v>
      </c>
      <c r="DJ8" s="4"/>
      <c r="DK8" s="4"/>
      <c r="DL8" s="4">
        <v>3.68</v>
      </c>
      <c r="DM8" s="4"/>
      <c r="DN8" s="4"/>
      <c r="DO8" s="4"/>
      <c r="DP8" s="4"/>
      <c r="DQ8" s="4"/>
      <c r="DR8" s="4"/>
      <c r="DS8" s="4"/>
      <c r="DT8" s="4">
        <v>4.6100000000000003</v>
      </c>
      <c r="DU8" s="4">
        <v>6.71</v>
      </c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>
        <v>2.16</v>
      </c>
      <c r="EP8" s="4"/>
      <c r="EQ8" s="4"/>
      <c r="ER8" s="4"/>
      <c r="ES8" s="4"/>
      <c r="ET8" s="4"/>
      <c r="EU8" s="4">
        <v>7.86</v>
      </c>
      <c r="EV8" s="4"/>
      <c r="EW8" s="4"/>
      <c r="EX8" s="4"/>
      <c r="EY8" s="4"/>
      <c r="EZ8" s="4">
        <v>3.69</v>
      </c>
      <c r="FA8" s="4"/>
      <c r="FB8" s="4">
        <v>2.0099999999999998</v>
      </c>
      <c r="FC8" s="4"/>
      <c r="FD8" s="4"/>
      <c r="FE8" s="4"/>
      <c r="FF8" s="4"/>
      <c r="FG8" s="4">
        <v>1.65</v>
      </c>
      <c r="FH8" s="4"/>
      <c r="FI8" s="4"/>
      <c r="FJ8" s="4"/>
      <c r="FK8" s="4"/>
      <c r="FL8" s="4"/>
      <c r="FM8" s="4"/>
      <c r="FN8" s="4"/>
      <c r="FO8" s="4"/>
      <c r="FP8" s="4">
        <v>8.0399999999999991</v>
      </c>
      <c r="FQ8" s="4"/>
      <c r="FR8" s="4"/>
      <c r="FS8" s="4">
        <v>7.61</v>
      </c>
      <c r="FT8" s="4">
        <v>7.75</v>
      </c>
      <c r="FU8" s="4"/>
      <c r="FV8" s="4">
        <v>6.49</v>
      </c>
      <c r="FW8" s="4">
        <v>9.49</v>
      </c>
      <c r="FX8" s="4"/>
      <c r="FY8" s="4"/>
      <c r="FZ8" s="4"/>
      <c r="GA8" s="4"/>
      <c r="GB8" s="4"/>
      <c r="GC8" s="4">
        <v>3.31</v>
      </c>
      <c r="GD8" s="4">
        <v>4</v>
      </c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>
        <v>3.2</v>
      </c>
      <c r="GQ8" s="4"/>
      <c r="GR8" s="4"/>
      <c r="GS8" s="4"/>
      <c r="GT8" s="4">
        <v>7.32</v>
      </c>
      <c r="GU8" s="4"/>
      <c r="GV8" s="4"/>
      <c r="GW8" s="4"/>
      <c r="GX8" s="4"/>
      <c r="GY8" s="4"/>
      <c r="GZ8" s="4">
        <v>8.91</v>
      </c>
      <c r="HA8" s="4"/>
      <c r="HB8" s="4"/>
      <c r="HC8" s="4"/>
      <c r="HD8" s="4"/>
      <c r="HE8" s="4"/>
      <c r="HF8" s="4"/>
      <c r="HG8" s="4"/>
      <c r="HH8" s="4">
        <v>5.22</v>
      </c>
      <c r="HI8" s="4">
        <v>3.74</v>
      </c>
      <c r="HJ8" s="4"/>
    </row>
    <row r="9" spans="1:218" hidden="1">
      <c r="A9" t="s">
        <v>454</v>
      </c>
      <c r="B9" t="s">
        <v>455</v>
      </c>
      <c r="C9" t="s">
        <v>443</v>
      </c>
      <c r="D9" t="s">
        <v>456</v>
      </c>
      <c r="E9" t="s">
        <v>457</v>
      </c>
      <c r="F9" s="3">
        <v>43</v>
      </c>
      <c r="G9" s="12">
        <f t="shared" si="0"/>
        <v>13.05</v>
      </c>
      <c r="H9" s="12">
        <f t="shared" si="1"/>
        <v>12.77</v>
      </c>
      <c r="I9" s="3">
        <v>249.85850980000001</v>
      </c>
      <c r="K9" s="4">
        <v>2.93</v>
      </c>
      <c r="L9" s="4">
        <v>3.32</v>
      </c>
      <c r="M9" s="4">
        <v>6.19</v>
      </c>
      <c r="N9" s="4"/>
      <c r="O9" s="4">
        <v>4.12</v>
      </c>
      <c r="P9" s="4">
        <v>3.24</v>
      </c>
      <c r="Q9" s="4"/>
      <c r="R9" s="4"/>
      <c r="S9" s="4">
        <v>4.7300000000000004</v>
      </c>
      <c r="T9" s="4"/>
      <c r="U9" s="4"/>
      <c r="V9" s="4"/>
      <c r="W9" s="4"/>
      <c r="X9" s="4">
        <v>4.68</v>
      </c>
      <c r="Y9" s="4">
        <v>5.33</v>
      </c>
      <c r="Z9" s="4"/>
      <c r="AA9" s="4"/>
      <c r="AB9" s="4"/>
      <c r="AC9" s="4">
        <v>3.84</v>
      </c>
      <c r="AD9" s="4">
        <v>5.25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>
        <v>3.72</v>
      </c>
      <c r="AP9" s="4">
        <v>6.8</v>
      </c>
      <c r="AQ9" s="4">
        <v>6.05</v>
      </c>
      <c r="AR9" s="4">
        <v>7.77</v>
      </c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>
        <v>3.11</v>
      </c>
      <c r="BO9" s="4"/>
      <c r="BP9" s="4"/>
      <c r="BQ9" s="4">
        <v>7.68</v>
      </c>
      <c r="BR9" s="4"/>
      <c r="BS9" s="4"/>
      <c r="BT9" s="4"/>
      <c r="BU9" s="4"/>
      <c r="BV9" s="4"/>
      <c r="BW9" s="4"/>
      <c r="BX9" s="4"/>
      <c r="BY9" s="4"/>
      <c r="BZ9" s="4">
        <v>4.18</v>
      </c>
      <c r="CA9" s="4">
        <v>6.67</v>
      </c>
      <c r="CB9" s="4"/>
      <c r="CC9" s="4"/>
      <c r="CD9" s="4"/>
      <c r="CE9" s="4"/>
      <c r="CF9" s="4"/>
      <c r="CG9" s="4"/>
      <c r="CH9" s="4"/>
      <c r="CI9" s="4">
        <v>4.38</v>
      </c>
      <c r="CJ9" s="4">
        <v>6.58</v>
      </c>
      <c r="CK9" s="4"/>
      <c r="CL9" s="4">
        <v>7.46</v>
      </c>
      <c r="CM9" s="4">
        <v>7.6</v>
      </c>
      <c r="CN9" s="4"/>
      <c r="CO9" s="4"/>
      <c r="CP9" s="4"/>
      <c r="CQ9" s="4"/>
      <c r="CR9" s="4"/>
      <c r="CS9" s="4"/>
      <c r="CT9" s="4"/>
      <c r="CU9" s="4"/>
      <c r="CV9" s="4"/>
      <c r="CW9" s="4"/>
      <c r="CX9" s="4">
        <v>3.81</v>
      </c>
      <c r="CY9" s="4"/>
      <c r="CZ9" s="4"/>
      <c r="DA9" s="4"/>
      <c r="DB9" s="4">
        <v>12.77</v>
      </c>
      <c r="DC9" s="4"/>
      <c r="DD9" s="4"/>
      <c r="DE9" s="4"/>
      <c r="DF9" s="4"/>
      <c r="DG9" s="4"/>
      <c r="DH9" s="4"/>
      <c r="DI9" s="4">
        <v>4.7699999999999996</v>
      </c>
      <c r="DJ9" s="4"/>
      <c r="DK9" s="4">
        <v>6</v>
      </c>
      <c r="DL9" s="4">
        <v>8.5299999999999994</v>
      </c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>
        <v>4.3099999999999996</v>
      </c>
      <c r="EP9" s="4"/>
      <c r="EQ9" s="4"/>
      <c r="ER9" s="4"/>
      <c r="ES9" s="4"/>
      <c r="ET9" s="4"/>
      <c r="EU9" s="4">
        <v>4.47</v>
      </c>
      <c r="EV9" s="4"/>
      <c r="EW9" s="4"/>
      <c r="EX9" s="4"/>
      <c r="EY9" s="4"/>
      <c r="EZ9" s="4">
        <v>3.37</v>
      </c>
      <c r="FA9" s="4">
        <v>4.3099999999999996</v>
      </c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>
        <v>9.57</v>
      </c>
      <c r="FN9" s="4"/>
      <c r="FO9" s="4"/>
      <c r="FP9" s="4">
        <v>13.05</v>
      </c>
      <c r="FQ9" s="4"/>
      <c r="FR9" s="4"/>
      <c r="FS9" s="4">
        <v>7.2</v>
      </c>
      <c r="FT9" s="4">
        <v>12.07</v>
      </c>
      <c r="FU9" s="4"/>
      <c r="FV9" s="4">
        <v>8.7899999999999991</v>
      </c>
      <c r="FW9" s="4">
        <v>6.9</v>
      </c>
      <c r="FX9" s="4"/>
      <c r="FY9" s="4">
        <v>3.35</v>
      </c>
      <c r="FZ9" s="4"/>
      <c r="GA9" s="4"/>
      <c r="GB9" s="4"/>
      <c r="GC9" s="4">
        <v>4.04</v>
      </c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>
        <v>4.49</v>
      </c>
      <c r="GQ9" s="4"/>
      <c r="GR9" s="4"/>
      <c r="GS9" s="4"/>
      <c r="GT9" s="4"/>
      <c r="GU9" s="4"/>
      <c r="GV9" s="4"/>
      <c r="GW9" s="4"/>
      <c r="GX9" s="4"/>
      <c r="GY9" s="4"/>
      <c r="GZ9" s="4">
        <v>3.67</v>
      </c>
      <c r="HA9" s="4">
        <v>3.36</v>
      </c>
      <c r="HB9" s="4"/>
      <c r="HC9" s="4"/>
      <c r="HD9" s="4"/>
      <c r="HE9" s="4"/>
      <c r="HF9" s="4"/>
      <c r="HG9" s="4"/>
      <c r="HH9" s="4">
        <v>5.4</v>
      </c>
      <c r="HI9" s="4"/>
      <c r="HJ9" s="4"/>
    </row>
    <row r="10" spans="1:218" hidden="1">
      <c r="A10" t="s">
        <v>458</v>
      </c>
      <c r="B10" t="s">
        <v>459</v>
      </c>
      <c r="C10" t="s">
        <v>443</v>
      </c>
      <c r="D10" t="s">
        <v>460</v>
      </c>
      <c r="E10" t="s">
        <v>461</v>
      </c>
      <c r="F10" s="3">
        <v>31</v>
      </c>
      <c r="G10" s="12">
        <f t="shared" si="0"/>
        <v>14.77</v>
      </c>
      <c r="H10" s="12">
        <f t="shared" si="1"/>
        <v>11</v>
      </c>
      <c r="I10" s="3">
        <v>173.2248324</v>
      </c>
      <c r="K10" s="4">
        <v>3.13</v>
      </c>
      <c r="L10" s="4">
        <v>3.21</v>
      </c>
      <c r="M10" s="4"/>
      <c r="N10" s="4"/>
      <c r="O10" s="4"/>
      <c r="P10" s="4"/>
      <c r="Q10" s="4"/>
      <c r="R10" s="4"/>
      <c r="S10" s="4">
        <v>14.77</v>
      </c>
      <c r="T10" s="4"/>
      <c r="U10" s="4"/>
      <c r="V10" s="4"/>
      <c r="W10" s="4"/>
      <c r="X10" s="4">
        <v>6.19</v>
      </c>
      <c r="Y10" s="4"/>
      <c r="Z10" s="4"/>
      <c r="AA10" s="4">
        <v>3.84</v>
      </c>
      <c r="AB10" s="4">
        <v>3.99</v>
      </c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>
        <v>3.95</v>
      </c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>
        <v>5.51</v>
      </c>
      <c r="BE10" s="4"/>
      <c r="BF10" s="4"/>
      <c r="BG10" s="4"/>
      <c r="BH10" s="4"/>
      <c r="BI10" s="4"/>
      <c r="BJ10" s="4"/>
      <c r="BK10" s="4"/>
      <c r="BL10" s="4"/>
      <c r="BM10" s="4"/>
      <c r="BN10" s="4">
        <v>4.25</v>
      </c>
      <c r="BO10" s="4"/>
      <c r="BP10" s="4"/>
      <c r="BQ10" s="4">
        <v>6.98</v>
      </c>
      <c r="BR10" s="4"/>
      <c r="BS10" s="4"/>
      <c r="BT10" s="4">
        <v>11</v>
      </c>
      <c r="BU10" s="4"/>
      <c r="BV10" s="4">
        <v>4.01</v>
      </c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>
        <v>5.26</v>
      </c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>
        <v>9</v>
      </c>
      <c r="DB10" s="4">
        <v>4.34</v>
      </c>
      <c r="DC10" s="4"/>
      <c r="DD10" s="4"/>
      <c r="DE10" s="4"/>
      <c r="DF10" s="4"/>
      <c r="DG10" s="4">
        <v>1.9</v>
      </c>
      <c r="DH10" s="4"/>
      <c r="DI10" s="4">
        <v>4.54</v>
      </c>
      <c r="DJ10" s="4"/>
      <c r="DK10" s="4">
        <v>4.99</v>
      </c>
      <c r="DL10" s="4">
        <v>10.62</v>
      </c>
      <c r="DM10" s="4"/>
      <c r="DN10" s="4"/>
      <c r="DO10" s="4"/>
      <c r="DP10" s="4"/>
      <c r="DQ10" s="4"/>
      <c r="DR10" s="4"/>
      <c r="DS10" s="4"/>
      <c r="DT10" s="4">
        <v>3.91</v>
      </c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>
        <v>6.93</v>
      </c>
      <c r="EL10" s="4"/>
      <c r="EM10" s="4"/>
      <c r="EN10" s="4"/>
      <c r="EO10" s="4">
        <v>6.06</v>
      </c>
      <c r="EP10" s="4"/>
      <c r="EQ10" s="4">
        <v>9.8800000000000008</v>
      </c>
      <c r="ER10" s="4"/>
      <c r="ES10" s="4"/>
      <c r="ET10" s="4"/>
      <c r="EU10" s="4"/>
      <c r="EV10" s="4"/>
      <c r="EW10" s="4"/>
      <c r="EX10" s="4"/>
      <c r="EY10" s="4"/>
      <c r="EZ10" s="4">
        <v>4.62</v>
      </c>
      <c r="FA10" s="4">
        <v>5.93</v>
      </c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>
        <v>3.68</v>
      </c>
      <c r="FN10" s="4"/>
      <c r="FO10" s="4"/>
      <c r="FP10" s="4"/>
      <c r="FQ10" s="4"/>
      <c r="FR10" s="4">
        <v>3.62</v>
      </c>
      <c r="FS10" s="4"/>
      <c r="FT10" s="4"/>
      <c r="FU10" s="4"/>
      <c r="FV10" s="4"/>
      <c r="FW10" s="4"/>
      <c r="FX10" s="4"/>
      <c r="FY10" s="4">
        <v>4.1900000000000004</v>
      </c>
      <c r="FZ10" s="4"/>
      <c r="GA10" s="4"/>
      <c r="GB10" s="4"/>
      <c r="GC10" s="4">
        <v>4.25</v>
      </c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>
        <v>4.04</v>
      </c>
      <c r="HB10" s="4">
        <v>4.63</v>
      </c>
      <c r="HC10" s="4"/>
      <c r="HD10" s="4"/>
      <c r="HE10" s="4"/>
      <c r="HF10" s="4"/>
      <c r="HG10" s="4"/>
      <c r="HH10" s="4"/>
      <c r="HI10" s="4"/>
      <c r="HJ10" s="4"/>
    </row>
    <row r="11" spans="1:218" hidden="1">
      <c r="A11" t="s">
        <v>462</v>
      </c>
      <c r="B11" t="s">
        <v>463</v>
      </c>
      <c r="C11" t="s">
        <v>443</v>
      </c>
      <c r="D11" t="s">
        <v>464</v>
      </c>
      <c r="E11" t="s">
        <v>465</v>
      </c>
      <c r="F11" s="3">
        <v>29</v>
      </c>
      <c r="G11" s="12">
        <f t="shared" si="0"/>
        <v>9.83</v>
      </c>
      <c r="H11" s="12">
        <f t="shared" si="1"/>
        <v>8.19</v>
      </c>
      <c r="I11" s="3">
        <v>140.62619900000001</v>
      </c>
      <c r="K11" s="4">
        <v>3.65</v>
      </c>
      <c r="L11" s="4">
        <v>3.06</v>
      </c>
      <c r="M11" s="4">
        <v>5.26</v>
      </c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7.35</v>
      </c>
      <c r="Z11" s="4"/>
      <c r="AA11" s="4"/>
      <c r="AB11" s="4"/>
      <c r="AC11" s="4"/>
      <c r="AD11" s="4">
        <v>3.76</v>
      </c>
      <c r="AE11" s="4"/>
      <c r="AF11" s="4"/>
      <c r="AG11" s="4"/>
      <c r="AH11" s="4"/>
      <c r="AI11" s="4"/>
      <c r="AJ11" s="4"/>
      <c r="AK11" s="4"/>
      <c r="AL11" s="4"/>
      <c r="AM11" s="4">
        <v>6.09</v>
      </c>
      <c r="AN11" s="4">
        <v>5.59</v>
      </c>
      <c r="AO11" s="4"/>
      <c r="AP11" s="4"/>
      <c r="AQ11" s="4"/>
      <c r="AR11" s="4"/>
      <c r="AS11" s="4">
        <v>4.0599999999999996</v>
      </c>
      <c r="AT11" s="4"/>
      <c r="AU11" s="4"/>
      <c r="AV11" s="4"/>
      <c r="AW11" s="4"/>
      <c r="AX11" s="4"/>
      <c r="AY11" s="4"/>
      <c r="AZ11" s="4">
        <v>2.65</v>
      </c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>
        <v>3.4</v>
      </c>
      <c r="BO11" s="4"/>
      <c r="BP11" s="4"/>
      <c r="BQ11" s="4">
        <v>6.96</v>
      </c>
      <c r="BR11" s="4"/>
      <c r="BS11" s="4"/>
      <c r="BT11" s="4">
        <v>5.91</v>
      </c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>
        <v>5.72</v>
      </c>
      <c r="CJ11" s="4">
        <v>8.19</v>
      </c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>
        <v>2.9</v>
      </c>
      <c r="DC11" s="4"/>
      <c r="DD11" s="4">
        <v>6.2</v>
      </c>
      <c r="DE11" s="4"/>
      <c r="DF11" s="4"/>
      <c r="DG11" s="4">
        <v>1.96</v>
      </c>
      <c r="DH11" s="4"/>
      <c r="DI11" s="4">
        <v>4.3600000000000003</v>
      </c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>
        <v>6.72</v>
      </c>
      <c r="EL11" s="4"/>
      <c r="EM11" s="4"/>
      <c r="EN11" s="4"/>
      <c r="EO11" s="4">
        <v>3.4</v>
      </c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>
        <v>3.52</v>
      </c>
      <c r="FA11" s="4">
        <v>4.5199999999999996</v>
      </c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>
        <v>4.5</v>
      </c>
      <c r="FN11" s="4"/>
      <c r="FO11" s="4"/>
      <c r="FP11" s="4"/>
      <c r="FQ11" s="4"/>
      <c r="FR11" s="4">
        <v>3.43</v>
      </c>
      <c r="FS11" s="4"/>
      <c r="FT11" s="4"/>
      <c r="FU11" s="4"/>
      <c r="FV11" s="4"/>
      <c r="FW11" s="4"/>
      <c r="FX11" s="4"/>
      <c r="FY11" s="4">
        <v>3.51</v>
      </c>
      <c r="FZ11" s="4"/>
      <c r="GA11" s="4"/>
      <c r="GB11" s="4"/>
      <c r="GC11" s="4">
        <v>5.64</v>
      </c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>
        <v>3.56</v>
      </c>
      <c r="HB11" s="4">
        <v>4.95</v>
      </c>
      <c r="HC11" s="4"/>
      <c r="HD11" s="4">
        <v>9.83</v>
      </c>
      <c r="HE11" s="4"/>
      <c r="HF11" s="4"/>
      <c r="HG11" s="4"/>
      <c r="HH11" s="4"/>
      <c r="HI11" s="4"/>
      <c r="HJ11" s="4"/>
    </row>
    <row r="12" spans="1:218" hidden="1">
      <c r="A12" t="s">
        <v>466</v>
      </c>
      <c r="B12" t="s">
        <v>467</v>
      </c>
      <c r="C12" t="s">
        <v>443</v>
      </c>
      <c r="D12" t="s">
        <v>468</v>
      </c>
      <c r="E12" t="s">
        <v>469</v>
      </c>
      <c r="F12" s="3">
        <v>27</v>
      </c>
      <c r="G12" s="12">
        <f t="shared" si="0"/>
        <v>9.8699999999999992</v>
      </c>
      <c r="H12" s="12">
        <f t="shared" si="1"/>
        <v>9.4</v>
      </c>
      <c r="I12" s="3">
        <v>144.6716898</v>
      </c>
      <c r="K12" s="4">
        <v>3.77</v>
      </c>
      <c r="L12" s="4">
        <v>5.19</v>
      </c>
      <c r="M12" s="4"/>
      <c r="N12" s="4"/>
      <c r="O12" s="4"/>
      <c r="P12" s="4"/>
      <c r="Q12" s="4"/>
      <c r="R12" s="4"/>
      <c r="S12" s="4">
        <v>4.78</v>
      </c>
      <c r="T12" s="4"/>
      <c r="U12" s="4"/>
      <c r="V12" s="4"/>
      <c r="W12" s="4"/>
      <c r="X12" s="4">
        <v>5.62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>
        <v>3.04</v>
      </c>
      <c r="AM12" s="4"/>
      <c r="AN12" s="4"/>
      <c r="AO12" s="4"/>
      <c r="AP12" s="4"/>
      <c r="AQ12" s="4"/>
      <c r="AR12" s="4"/>
      <c r="AS12" s="4">
        <v>4.1399999999999997</v>
      </c>
      <c r="AT12" s="4"/>
      <c r="AU12" s="4"/>
      <c r="AV12" s="4"/>
      <c r="AW12" s="4"/>
      <c r="AX12" s="4"/>
      <c r="AY12" s="4"/>
      <c r="AZ12" s="4">
        <v>2.2400000000000002</v>
      </c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>
        <v>5.31</v>
      </c>
      <c r="BO12" s="4"/>
      <c r="BP12" s="4"/>
      <c r="BQ12" s="4">
        <v>6.52</v>
      </c>
      <c r="BR12" s="4"/>
      <c r="BS12" s="4"/>
      <c r="BT12" s="4"/>
      <c r="BU12" s="4"/>
      <c r="BV12" s="4">
        <v>3.79</v>
      </c>
      <c r="BW12" s="4"/>
      <c r="BX12" s="4"/>
      <c r="BY12" s="4"/>
      <c r="BZ12" s="4">
        <v>9.4</v>
      </c>
      <c r="CA12" s="4"/>
      <c r="CB12" s="4"/>
      <c r="CC12" s="4"/>
      <c r="CD12" s="4"/>
      <c r="CE12" s="4"/>
      <c r="CF12" s="4"/>
      <c r="CG12" s="4"/>
      <c r="CH12" s="4"/>
      <c r="CI12" s="4"/>
      <c r="CJ12" s="4">
        <v>6.65</v>
      </c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>
        <v>4.74</v>
      </c>
      <c r="DC12" s="4"/>
      <c r="DD12" s="4"/>
      <c r="DE12" s="4"/>
      <c r="DF12" s="4"/>
      <c r="DG12" s="4"/>
      <c r="DH12" s="4"/>
      <c r="DI12" s="4">
        <v>4.0199999999999996</v>
      </c>
      <c r="DJ12" s="4"/>
      <c r="DK12" s="4">
        <v>3.27</v>
      </c>
      <c r="DL12" s="4"/>
      <c r="DM12" s="4"/>
      <c r="DN12" s="4"/>
      <c r="DO12" s="4"/>
      <c r="DP12" s="4"/>
      <c r="DQ12" s="4"/>
      <c r="DR12" s="4"/>
      <c r="DS12" s="4">
        <v>3.86</v>
      </c>
      <c r="DT12" s="4">
        <v>4.4000000000000004</v>
      </c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>
        <v>6.02</v>
      </c>
      <c r="EL12" s="4"/>
      <c r="EM12" s="4"/>
      <c r="EN12" s="4"/>
      <c r="EO12" s="4">
        <v>5.2</v>
      </c>
      <c r="EP12" s="4"/>
      <c r="EQ12" s="4">
        <v>8.7899999999999991</v>
      </c>
      <c r="ER12" s="4"/>
      <c r="ES12" s="4"/>
      <c r="ET12" s="4"/>
      <c r="EU12" s="4"/>
      <c r="EV12" s="4"/>
      <c r="EW12" s="4"/>
      <c r="EX12" s="4"/>
      <c r="EY12" s="4"/>
      <c r="EZ12" s="4">
        <v>5.32</v>
      </c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>
        <v>6.2</v>
      </c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>
        <v>5.29</v>
      </c>
      <c r="FZ12" s="4"/>
      <c r="GA12" s="4"/>
      <c r="GB12" s="4"/>
      <c r="GC12" s="4">
        <v>2.85</v>
      </c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>
        <v>9.8699999999999992</v>
      </c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>
        <v>5.88</v>
      </c>
      <c r="HE12" s="4"/>
      <c r="HF12" s="4"/>
      <c r="HG12" s="4"/>
      <c r="HH12" s="4">
        <v>8.52</v>
      </c>
      <c r="HI12" s="4"/>
      <c r="HJ12" s="4"/>
    </row>
    <row r="13" spans="1:218" hidden="1">
      <c r="A13" t="s">
        <v>470</v>
      </c>
      <c r="B13" t="s">
        <v>471</v>
      </c>
      <c r="C13" t="s">
        <v>443</v>
      </c>
      <c r="D13" t="s">
        <v>472</v>
      </c>
      <c r="E13" t="s">
        <v>473</v>
      </c>
      <c r="F13" s="3">
        <v>21</v>
      </c>
      <c r="G13" s="12">
        <f t="shared" si="0"/>
        <v>11.99</v>
      </c>
      <c r="H13" s="12">
        <f t="shared" si="1"/>
        <v>7.85</v>
      </c>
      <c r="I13" s="3">
        <v>106.2998199</v>
      </c>
      <c r="K13" s="4"/>
      <c r="L13" s="4"/>
      <c r="M13" s="4"/>
      <c r="N13" s="4"/>
      <c r="O13" s="4"/>
      <c r="P13" s="4">
        <v>4.17</v>
      </c>
      <c r="Q13" s="4"/>
      <c r="R13" s="4">
        <v>3.15</v>
      </c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>
        <v>2.99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>
        <v>5.49</v>
      </c>
      <c r="AP13" s="4">
        <v>7.81</v>
      </c>
      <c r="AQ13" s="4">
        <v>5.15</v>
      </c>
      <c r="AR13" s="4"/>
      <c r="AS13" s="4"/>
      <c r="AT13" s="4"/>
      <c r="AU13" s="4"/>
      <c r="AV13" s="4"/>
      <c r="AW13" s="4"/>
      <c r="AX13" s="4"/>
      <c r="AY13" s="4"/>
      <c r="AZ13" s="4">
        <v>5</v>
      </c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>
        <v>2.0299999999999998</v>
      </c>
      <c r="CA13" s="4">
        <v>11.99</v>
      </c>
      <c r="CB13" s="4"/>
      <c r="CC13" s="4"/>
      <c r="CD13" s="4"/>
      <c r="CE13" s="4"/>
      <c r="CF13" s="4"/>
      <c r="CG13" s="4"/>
      <c r="CH13" s="4"/>
      <c r="CI13" s="4">
        <v>4.6500000000000004</v>
      </c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>
        <v>6.72</v>
      </c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>
        <v>3.31</v>
      </c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>
        <v>2.42</v>
      </c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>
        <v>7.85</v>
      </c>
      <c r="FQ13" s="4"/>
      <c r="FR13" s="4"/>
      <c r="FS13" s="4">
        <v>7.22</v>
      </c>
      <c r="FT13" s="4"/>
      <c r="FU13" s="4"/>
      <c r="FV13" s="4">
        <v>6.32</v>
      </c>
      <c r="FW13" s="4">
        <v>6.2</v>
      </c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>
        <v>1.95</v>
      </c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>
        <v>4.96</v>
      </c>
      <c r="HC13" s="4"/>
      <c r="HD13" s="4"/>
      <c r="HE13" s="4"/>
      <c r="HF13" s="4"/>
      <c r="HG13" s="4"/>
      <c r="HH13" s="4">
        <v>3.34</v>
      </c>
      <c r="HI13" s="4">
        <v>3.56</v>
      </c>
      <c r="HJ13" s="4"/>
    </row>
    <row r="14" spans="1:218" hidden="1">
      <c r="A14" t="s">
        <v>474</v>
      </c>
      <c r="B14" t="s">
        <v>475</v>
      </c>
      <c r="C14" t="s">
        <v>443</v>
      </c>
      <c r="D14" t="s">
        <v>476</v>
      </c>
      <c r="E14" t="s">
        <v>477</v>
      </c>
      <c r="F14" s="3">
        <v>18</v>
      </c>
      <c r="G14" s="12">
        <f t="shared" si="0"/>
        <v>15.26</v>
      </c>
      <c r="H14" s="12">
        <f t="shared" si="1"/>
        <v>14.49</v>
      </c>
      <c r="I14" s="3">
        <v>133.42711199999999</v>
      </c>
      <c r="K14" s="4">
        <v>3.09</v>
      </c>
      <c r="L14" s="4">
        <v>5.44</v>
      </c>
      <c r="M14" s="4"/>
      <c r="N14" s="4"/>
      <c r="O14" s="4"/>
      <c r="P14" s="4">
        <v>2.97</v>
      </c>
      <c r="Q14" s="4"/>
      <c r="R14" s="4"/>
      <c r="S14" s="4"/>
      <c r="T14" s="4"/>
      <c r="U14" s="4"/>
      <c r="V14" s="4"/>
      <c r="W14" s="4"/>
      <c r="X14" s="4">
        <v>3.18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>
        <v>6.85</v>
      </c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>
        <v>14.49</v>
      </c>
      <c r="CA14" s="4"/>
      <c r="CB14" s="4"/>
      <c r="CC14" s="4"/>
      <c r="CD14" s="4"/>
      <c r="CE14" s="4"/>
      <c r="CF14" s="4"/>
      <c r="CG14" s="4"/>
      <c r="CH14" s="4"/>
      <c r="CI14" s="4"/>
      <c r="CJ14" s="4">
        <v>9.85</v>
      </c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>
        <v>4.45</v>
      </c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>
        <v>5.18</v>
      </c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>
        <v>6.21</v>
      </c>
      <c r="EP14" s="4"/>
      <c r="EQ14" s="4">
        <v>9.06</v>
      </c>
      <c r="ER14" s="4"/>
      <c r="ES14" s="4"/>
      <c r="ET14" s="4"/>
      <c r="EU14" s="4"/>
      <c r="EV14" s="4"/>
      <c r="EW14" s="4"/>
      <c r="EX14" s="4"/>
      <c r="EY14" s="4"/>
      <c r="EZ14" s="4">
        <v>7.28</v>
      </c>
      <c r="FA14" s="4">
        <v>9.33</v>
      </c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>
        <v>7.84</v>
      </c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>
        <v>7.25</v>
      </c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>
        <v>15.26</v>
      </c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>
        <v>4.0199999999999996</v>
      </c>
      <c r="HC14" s="4"/>
      <c r="HD14" s="4"/>
      <c r="HE14" s="4"/>
      <c r="HF14" s="4"/>
      <c r="HG14" s="4"/>
      <c r="HH14" s="4">
        <v>11.67</v>
      </c>
      <c r="HI14" s="4"/>
      <c r="HJ14" s="4"/>
    </row>
    <row r="15" spans="1:218" hidden="1">
      <c r="A15" t="s">
        <v>478</v>
      </c>
      <c r="B15" t="s">
        <v>479</v>
      </c>
      <c r="C15" t="s">
        <v>443</v>
      </c>
      <c r="D15" t="s">
        <v>480</v>
      </c>
      <c r="E15" t="s">
        <v>481</v>
      </c>
      <c r="F15" s="3">
        <v>17</v>
      </c>
      <c r="G15" s="12">
        <f t="shared" si="0"/>
        <v>10.52</v>
      </c>
      <c r="H15" s="12">
        <f t="shared" si="1"/>
        <v>7.77</v>
      </c>
      <c r="I15" s="3">
        <v>84.183859200000001</v>
      </c>
      <c r="K15" s="4"/>
      <c r="L15" s="4"/>
      <c r="M15" s="4">
        <v>4.8499999999999996</v>
      </c>
      <c r="N15" s="4">
        <v>4.1100000000000003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>
        <v>6.99</v>
      </c>
      <c r="AK15" s="4"/>
      <c r="AL15" s="4"/>
      <c r="AM15" s="4"/>
      <c r="AN15" s="4"/>
      <c r="AO15" s="4"/>
      <c r="AP15" s="4"/>
      <c r="AQ15" s="4"/>
      <c r="AR15" s="4">
        <v>10.52</v>
      </c>
      <c r="AS15" s="4">
        <v>5.73</v>
      </c>
      <c r="AT15" s="4"/>
      <c r="AU15" s="4"/>
      <c r="AV15" s="4"/>
      <c r="AW15" s="4"/>
      <c r="AX15" s="4"/>
      <c r="AY15" s="4"/>
      <c r="AZ15" s="4"/>
      <c r="BA15" s="4"/>
      <c r="BB15" s="4">
        <v>4.01</v>
      </c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>
        <v>7.77</v>
      </c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>
        <v>5</v>
      </c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>
        <v>4.58</v>
      </c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>
        <v>2.69</v>
      </c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>
        <v>5.62</v>
      </c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>
        <v>2.35</v>
      </c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>
        <v>5.62</v>
      </c>
      <c r="FY15" s="4"/>
      <c r="FZ15" s="4"/>
      <c r="GA15" s="4"/>
      <c r="GB15" s="4"/>
      <c r="GC15" s="4"/>
      <c r="GD15" s="4">
        <v>2.52</v>
      </c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>
        <v>5.84</v>
      </c>
      <c r="GW15" s="4">
        <v>2.44</v>
      </c>
      <c r="GX15" s="4"/>
      <c r="GY15" s="4"/>
      <c r="GZ15" s="4"/>
      <c r="HA15" s="4"/>
      <c r="HB15" s="4"/>
      <c r="HC15" s="4"/>
      <c r="HD15" s="4">
        <v>3.55</v>
      </c>
      <c r="HE15" s="4"/>
      <c r="HF15" s="4"/>
      <c r="HG15" s="4"/>
      <c r="HH15" s="4"/>
      <c r="HI15" s="4"/>
      <c r="HJ15" s="4"/>
    </row>
    <row r="16" spans="1:218" hidden="1">
      <c r="A16" t="s">
        <v>491</v>
      </c>
      <c r="B16" t="s">
        <v>492</v>
      </c>
      <c r="C16" t="s">
        <v>443</v>
      </c>
      <c r="D16" t="s">
        <v>493</v>
      </c>
      <c r="E16" t="s">
        <v>494</v>
      </c>
      <c r="F16" s="3">
        <v>16</v>
      </c>
      <c r="G16" s="12">
        <f t="shared" si="0"/>
        <v>14.86</v>
      </c>
      <c r="H16" s="12">
        <f t="shared" si="1"/>
        <v>8.34</v>
      </c>
      <c r="I16" s="3">
        <v>78.682969500000013</v>
      </c>
      <c r="K16" s="4">
        <v>3.54</v>
      </c>
      <c r="L16" s="4">
        <v>2.23</v>
      </c>
      <c r="M16" s="4"/>
      <c r="N16" s="4"/>
      <c r="O16" s="4"/>
      <c r="P16" s="4"/>
      <c r="Q16" s="4"/>
      <c r="R16" s="4"/>
      <c r="S16" s="4">
        <v>14.86</v>
      </c>
      <c r="T16" s="4"/>
      <c r="U16" s="4"/>
      <c r="V16" s="4"/>
      <c r="W16" s="4"/>
      <c r="X16" s="4">
        <v>4.17</v>
      </c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>
        <v>2.2599999999999998</v>
      </c>
      <c r="BO16" s="4"/>
      <c r="BP16" s="4"/>
      <c r="BQ16" s="4"/>
      <c r="BR16" s="4"/>
      <c r="BS16" s="4"/>
      <c r="BT16" s="4">
        <v>8.34</v>
      </c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>
        <v>3.11</v>
      </c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>
        <v>4.9000000000000004</v>
      </c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>
        <v>3.81</v>
      </c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>
        <v>3.42</v>
      </c>
      <c r="EF16" s="4"/>
      <c r="EG16" s="4"/>
      <c r="EH16" s="4"/>
      <c r="EI16" s="4"/>
      <c r="EJ16" s="4"/>
      <c r="EK16" s="4">
        <v>5.32</v>
      </c>
      <c r="EL16" s="4"/>
      <c r="EM16" s="4"/>
      <c r="EN16" s="4"/>
      <c r="EO16" s="4"/>
      <c r="EP16" s="4"/>
      <c r="EQ16" s="4">
        <v>7.48</v>
      </c>
      <c r="ER16" s="4"/>
      <c r="ES16" s="4"/>
      <c r="ET16" s="4"/>
      <c r="EU16" s="4"/>
      <c r="EV16" s="4"/>
      <c r="EW16" s="4"/>
      <c r="EX16" s="4"/>
      <c r="EY16" s="4"/>
      <c r="EZ16" s="4"/>
      <c r="FA16" s="4">
        <v>2.84</v>
      </c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>
        <v>2.19</v>
      </c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>
        <v>3.38</v>
      </c>
      <c r="HB16" s="4"/>
      <c r="HC16" s="4"/>
      <c r="HD16" s="4">
        <v>6.84</v>
      </c>
      <c r="HE16" s="4"/>
      <c r="HF16" s="4"/>
      <c r="HG16" s="4"/>
      <c r="HH16" s="4"/>
      <c r="HI16" s="4"/>
      <c r="HJ16" s="4"/>
    </row>
    <row r="17" spans="1:218" hidden="1">
      <c r="A17" t="s">
        <v>495</v>
      </c>
      <c r="B17" t="s">
        <v>496</v>
      </c>
      <c r="C17" t="s">
        <v>443</v>
      </c>
      <c r="D17" t="s">
        <v>497</v>
      </c>
      <c r="E17" t="s">
        <v>498</v>
      </c>
      <c r="F17" s="3">
        <v>16</v>
      </c>
      <c r="G17" s="12">
        <f t="shared" si="0"/>
        <v>8.41</v>
      </c>
      <c r="H17" s="12">
        <f t="shared" si="1"/>
        <v>5.76</v>
      </c>
      <c r="I17" s="3">
        <v>66.357400300000009</v>
      </c>
      <c r="K17" s="4"/>
      <c r="L17" s="4">
        <v>3.12</v>
      </c>
      <c r="M17" s="4"/>
      <c r="N17" s="4"/>
      <c r="O17" s="4"/>
      <c r="P17" s="4"/>
      <c r="Q17" s="4"/>
      <c r="R17" s="4"/>
      <c r="S17" s="4"/>
      <c r="T17" s="4">
        <v>2.74</v>
      </c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>
        <v>4.97</v>
      </c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>
        <v>2.92</v>
      </c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>
        <v>8.41</v>
      </c>
      <c r="CB17" s="4"/>
      <c r="CC17" s="4"/>
      <c r="CD17" s="4"/>
      <c r="CE17" s="4"/>
      <c r="CF17" s="4"/>
      <c r="CG17" s="4"/>
      <c r="CH17" s="4"/>
      <c r="CI17" s="4">
        <v>4.46</v>
      </c>
      <c r="CJ17" s="4"/>
      <c r="CK17" s="4"/>
      <c r="CL17" s="4"/>
      <c r="CM17" s="4"/>
      <c r="CN17" s="4"/>
      <c r="CO17" s="4"/>
      <c r="CP17" s="4">
        <v>3.97</v>
      </c>
      <c r="CQ17" s="4"/>
      <c r="CR17" s="4"/>
      <c r="CS17" s="4"/>
      <c r="CT17" s="4"/>
      <c r="CU17" s="4"/>
      <c r="CV17" s="4"/>
      <c r="CW17" s="4"/>
      <c r="CX17" s="4"/>
      <c r="CY17" s="4"/>
      <c r="CZ17" s="4">
        <v>5.15</v>
      </c>
      <c r="DA17" s="4"/>
      <c r="DB17" s="4"/>
      <c r="DC17" s="4"/>
      <c r="DD17" s="4">
        <v>3.86</v>
      </c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>
        <v>1.99</v>
      </c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>
        <v>5.0999999999999996</v>
      </c>
      <c r="FT17" s="4">
        <v>5.76</v>
      </c>
      <c r="FU17" s="4">
        <v>2.78</v>
      </c>
      <c r="FV17" s="4">
        <v>4.4400000000000004</v>
      </c>
      <c r="FW17" s="4">
        <v>4.3499999999999996</v>
      </c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>
        <v>2.35</v>
      </c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</row>
    <row r="18" spans="1:218" hidden="1">
      <c r="A18" t="s">
        <v>482</v>
      </c>
      <c r="B18" t="s">
        <v>483</v>
      </c>
      <c r="C18" t="s">
        <v>484</v>
      </c>
      <c r="D18" t="s">
        <v>485</v>
      </c>
      <c r="E18" t="s">
        <v>486</v>
      </c>
      <c r="F18" s="3">
        <v>16</v>
      </c>
      <c r="G18" s="12">
        <f t="shared" si="0"/>
        <v>24.75</v>
      </c>
      <c r="H18" s="12">
        <f t="shared" si="1"/>
        <v>12.28</v>
      </c>
      <c r="I18" s="3">
        <v>134.83400140000001</v>
      </c>
      <c r="K18" s="4"/>
      <c r="L18" s="4"/>
      <c r="M18" s="4"/>
      <c r="N18" s="4"/>
      <c r="O18" s="4"/>
      <c r="P18" s="4">
        <v>7.11</v>
      </c>
      <c r="Q18" s="4"/>
      <c r="R18" s="4">
        <v>12.27</v>
      </c>
      <c r="S18" s="4"/>
      <c r="T18" s="4">
        <v>3.69</v>
      </c>
      <c r="U18" s="4"/>
      <c r="V18" s="4"/>
      <c r="W18" s="4"/>
      <c r="X18" s="4"/>
      <c r="Y18" s="4"/>
      <c r="Z18" s="4"/>
      <c r="AA18" s="4"/>
      <c r="AB18" s="4"/>
      <c r="AC18" s="4">
        <v>4.6500000000000004</v>
      </c>
      <c r="AD18" s="4">
        <v>7.3</v>
      </c>
      <c r="AE18" s="4"/>
      <c r="AF18" s="4"/>
      <c r="AG18" s="4"/>
      <c r="AH18" s="4"/>
      <c r="AI18" s="4"/>
      <c r="AJ18" s="4"/>
      <c r="AK18" s="4"/>
      <c r="AL18" s="4"/>
      <c r="AM18" s="4"/>
      <c r="AN18" s="4">
        <v>6.15</v>
      </c>
      <c r="AO18" s="4">
        <v>6.8</v>
      </c>
      <c r="AP18" s="4">
        <v>9.3000000000000007</v>
      </c>
      <c r="AQ18" s="4"/>
      <c r="AR18" s="4"/>
      <c r="AS18" s="4"/>
      <c r="AT18" s="4"/>
      <c r="AU18" s="4"/>
      <c r="AV18" s="4"/>
      <c r="AW18" s="4"/>
      <c r="AX18" s="4">
        <v>24.75</v>
      </c>
      <c r="AY18" s="4"/>
      <c r="AZ18" s="4"/>
      <c r="BA18" s="4">
        <v>4.72</v>
      </c>
      <c r="BB18" s="4"/>
      <c r="BC18" s="4"/>
      <c r="BD18" s="4"/>
      <c r="BE18" s="4"/>
      <c r="BF18" s="4">
        <v>6.86</v>
      </c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>
        <v>6.52</v>
      </c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>
        <v>12.28</v>
      </c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>
        <v>11.94</v>
      </c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>
        <v>5.22</v>
      </c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>
        <v>5.27</v>
      </c>
      <c r="HC18" s="4"/>
      <c r="HD18" s="4"/>
      <c r="HE18" s="4"/>
      <c r="HF18" s="4"/>
      <c r="HG18" s="4"/>
      <c r="HH18" s="4"/>
      <c r="HI18" s="4"/>
      <c r="HJ18" s="4"/>
    </row>
    <row r="19" spans="1:218" hidden="1">
      <c r="A19" t="s">
        <v>487</v>
      </c>
      <c r="B19" t="s">
        <v>488</v>
      </c>
      <c r="C19" t="s">
        <v>489</v>
      </c>
      <c r="D19" t="s">
        <v>490</v>
      </c>
      <c r="E19" t="s">
        <v>490</v>
      </c>
      <c r="F19" s="3">
        <v>16</v>
      </c>
      <c r="G19" s="12">
        <f t="shared" si="0"/>
        <v>15.91</v>
      </c>
      <c r="H19" s="12">
        <f t="shared" si="1"/>
        <v>14.96</v>
      </c>
      <c r="I19" s="3">
        <v>104.7880705</v>
      </c>
      <c r="K19" s="4"/>
      <c r="L19" s="4"/>
      <c r="M19" s="4"/>
      <c r="N19" s="4"/>
      <c r="O19" s="4"/>
      <c r="P19" s="4">
        <v>3.01</v>
      </c>
      <c r="Q19" s="4"/>
      <c r="R19" s="4">
        <v>3.13</v>
      </c>
      <c r="S19" s="4"/>
      <c r="T19" s="4"/>
      <c r="U19" s="4"/>
      <c r="V19" s="4"/>
      <c r="W19" s="4"/>
      <c r="X19" s="4">
        <v>5.32</v>
      </c>
      <c r="Y19" s="4"/>
      <c r="Z19" s="4"/>
      <c r="AA19" s="4"/>
      <c r="AB19" s="4"/>
      <c r="AC19" s="4"/>
      <c r="AD19" s="4">
        <v>4.28</v>
      </c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>
        <v>7.84</v>
      </c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>
        <v>3.63</v>
      </c>
      <c r="BP19" s="4"/>
      <c r="BQ19" s="4"/>
      <c r="BR19" s="4"/>
      <c r="BS19" s="4"/>
      <c r="BT19" s="4"/>
      <c r="BU19" s="4"/>
      <c r="BV19" s="4">
        <v>6</v>
      </c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>
        <v>4.96</v>
      </c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>
        <v>4.28</v>
      </c>
      <c r="DJ19" s="4"/>
      <c r="DK19" s="4">
        <v>14.96</v>
      </c>
      <c r="DL19" s="4">
        <v>10.9</v>
      </c>
      <c r="DM19" s="4"/>
      <c r="DN19" s="4"/>
      <c r="DO19" s="4"/>
      <c r="DP19" s="4"/>
      <c r="DQ19" s="4"/>
      <c r="DR19" s="4"/>
      <c r="DS19" s="4">
        <v>3.17</v>
      </c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>
        <v>15.91</v>
      </c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>
        <v>4.46</v>
      </c>
      <c r="FN19" s="4"/>
      <c r="FO19" s="4"/>
      <c r="FP19" s="4"/>
      <c r="FQ19" s="4"/>
      <c r="FR19" s="4"/>
      <c r="FS19" s="4">
        <v>9.3800000000000008</v>
      </c>
      <c r="FT19" s="4"/>
      <c r="FU19" s="4"/>
      <c r="FV19" s="4"/>
      <c r="FW19" s="4"/>
      <c r="FX19" s="4"/>
      <c r="FY19" s="4"/>
      <c r="FZ19" s="4"/>
      <c r="GA19" s="4"/>
      <c r="GB19" s="4"/>
      <c r="GC19" s="4">
        <v>3.54</v>
      </c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</row>
    <row r="20" spans="1:218" hidden="1">
      <c r="A20" t="s">
        <v>503</v>
      </c>
      <c r="B20" t="s">
        <v>504</v>
      </c>
      <c r="C20" t="s">
        <v>505</v>
      </c>
      <c r="D20" t="s">
        <v>506</v>
      </c>
      <c r="E20" t="s">
        <v>507</v>
      </c>
      <c r="F20" s="3">
        <v>15</v>
      </c>
      <c r="G20" s="12">
        <f t="shared" si="0"/>
        <v>15.34</v>
      </c>
      <c r="H20" s="12">
        <f t="shared" si="1"/>
        <v>12.14</v>
      </c>
      <c r="I20" s="3">
        <v>91.058160950000001</v>
      </c>
      <c r="K20" s="4"/>
      <c r="L20" s="4"/>
      <c r="M20" s="4"/>
      <c r="N20" s="4"/>
      <c r="O20" s="4">
        <v>4.75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>
        <v>1.48</v>
      </c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>
        <v>4.17</v>
      </c>
      <c r="CR20" s="4"/>
      <c r="CS20" s="4">
        <v>15.34</v>
      </c>
      <c r="CT20" s="4">
        <v>10.38</v>
      </c>
      <c r="CU20" s="4"/>
      <c r="CV20" s="4"/>
      <c r="CW20" s="4">
        <v>12.14</v>
      </c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>
        <v>5.16</v>
      </c>
      <c r="DI20" s="4"/>
      <c r="DJ20" s="4"/>
      <c r="DK20" s="4"/>
      <c r="DL20" s="4"/>
      <c r="DM20" s="4"/>
      <c r="DN20" s="4"/>
      <c r="DO20" s="4"/>
      <c r="DP20" s="4"/>
      <c r="DQ20" s="4">
        <v>1.1499999999999999</v>
      </c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>
        <v>1.52</v>
      </c>
      <c r="EN20" s="4">
        <v>2.06</v>
      </c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>
        <v>10.6</v>
      </c>
      <c r="EZ20" s="4"/>
      <c r="FA20" s="4"/>
      <c r="FB20" s="4"/>
      <c r="FC20" s="4">
        <v>1.73</v>
      </c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>
        <v>3.35</v>
      </c>
      <c r="GI20" s="4"/>
      <c r="GJ20" s="4"/>
      <c r="GK20" s="4"/>
      <c r="GL20" s="4"/>
      <c r="GM20" s="4">
        <v>9.1199999999999992</v>
      </c>
      <c r="GN20" s="4"/>
      <c r="GO20" s="4">
        <v>8.09</v>
      </c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</row>
    <row r="21" spans="1:218" hidden="1">
      <c r="A21" t="s">
        <v>499</v>
      </c>
      <c r="B21" t="s">
        <v>500</v>
      </c>
      <c r="C21" t="s">
        <v>443</v>
      </c>
      <c r="D21" t="s">
        <v>501</v>
      </c>
      <c r="E21" t="s">
        <v>502</v>
      </c>
      <c r="F21" s="3">
        <v>15</v>
      </c>
      <c r="G21" s="12">
        <f t="shared" si="0"/>
        <v>13.59</v>
      </c>
      <c r="H21" s="12">
        <f t="shared" si="1"/>
        <v>10.93</v>
      </c>
      <c r="I21" s="3">
        <v>102.22755960000001</v>
      </c>
      <c r="K21" s="4"/>
      <c r="L21" s="4"/>
      <c r="M21" s="4"/>
      <c r="N21" s="4">
        <v>13.59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>
        <v>7.3</v>
      </c>
      <c r="AK21" s="4"/>
      <c r="AL21" s="4"/>
      <c r="AM21" s="4"/>
      <c r="AN21" s="4"/>
      <c r="AO21" s="4"/>
      <c r="AP21" s="4"/>
      <c r="AQ21" s="4"/>
      <c r="AR21" s="4">
        <v>10.93</v>
      </c>
      <c r="AS21" s="4">
        <v>6.29</v>
      </c>
      <c r="AT21" s="4"/>
      <c r="AU21" s="4"/>
      <c r="AV21" s="4"/>
      <c r="AW21" s="4"/>
      <c r="AX21" s="4"/>
      <c r="AY21" s="4"/>
      <c r="AZ21" s="4"/>
      <c r="BA21" s="4"/>
      <c r="BB21" s="4">
        <v>4.1399999999999997</v>
      </c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>
        <v>7.78</v>
      </c>
      <c r="CM21" s="4">
        <v>8.31</v>
      </c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>
        <v>5.04</v>
      </c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>
        <v>10.37</v>
      </c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>
        <v>2.95</v>
      </c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>
        <v>6.16</v>
      </c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>
        <v>6.15</v>
      </c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>
        <v>7.75</v>
      </c>
      <c r="GW21" s="4">
        <v>2.4300000000000002</v>
      </c>
      <c r="GX21" s="4"/>
      <c r="GY21" s="4"/>
      <c r="GZ21" s="4"/>
      <c r="HA21" s="4"/>
      <c r="HB21" s="4"/>
      <c r="HC21" s="4"/>
      <c r="HD21" s="4">
        <v>3.03</v>
      </c>
      <c r="HE21" s="4"/>
      <c r="HF21" s="4"/>
      <c r="HG21" s="4"/>
      <c r="HH21" s="4"/>
      <c r="HI21" s="4"/>
      <c r="HJ21" s="4"/>
    </row>
    <row r="22" spans="1:218" hidden="1">
      <c r="A22" t="s">
        <v>508</v>
      </c>
      <c r="B22" t="s">
        <v>509</v>
      </c>
      <c r="C22" t="s">
        <v>443</v>
      </c>
      <c r="D22" t="s">
        <v>510</v>
      </c>
      <c r="E22" t="s">
        <v>511</v>
      </c>
      <c r="F22" s="3">
        <v>15</v>
      </c>
      <c r="G22" s="12">
        <f t="shared" si="0"/>
        <v>8.06</v>
      </c>
      <c r="H22" s="12">
        <f t="shared" si="1"/>
        <v>7.31</v>
      </c>
      <c r="I22" s="3">
        <v>77.418349299999988</v>
      </c>
      <c r="K22" s="4"/>
      <c r="L22" s="4"/>
      <c r="M22" s="4">
        <v>4.9800000000000004</v>
      </c>
      <c r="N22" s="4"/>
      <c r="O22" s="4"/>
      <c r="P22" s="4"/>
      <c r="Q22" s="4"/>
      <c r="R22" s="4">
        <v>3.26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>
        <v>6.48</v>
      </c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>
        <v>5.92</v>
      </c>
      <c r="AR22" s="4"/>
      <c r="AS22" s="4"/>
      <c r="AT22" s="4"/>
      <c r="AU22" s="4"/>
      <c r="AV22" s="4"/>
      <c r="AW22" s="4"/>
      <c r="AX22" s="4"/>
      <c r="AY22" s="4"/>
      <c r="AZ22" s="4"/>
      <c r="BA22" s="4">
        <v>3.84</v>
      </c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>
        <v>8.06</v>
      </c>
      <c r="BW22" s="4"/>
      <c r="BX22" s="4"/>
      <c r="BY22" s="4"/>
      <c r="BZ22" s="4"/>
      <c r="CA22" s="4">
        <v>5.98</v>
      </c>
      <c r="CB22" s="4"/>
      <c r="CC22" s="4"/>
      <c r="CD22" s="4"/>
      <c r="CE22" s="4"/>
      <c r="CF22" s="4"/>
      <c r="CG22" s="4"/>
      <c r="CH22" s="4"/>
      <c r="CI22" s="4">
        <v>5.91</v>
      </c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>
        <v>1.91</v>
      </c>
      <c r="FC22" s="4"/>
      <c r="FD22" s="4"/>
      <c r="FE22" s="4"/>
      <c r="FF22" s="4"/>
      <c r="FG22" s="4">
        <v>1.6</v>
      </c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>
        <v>6.27</v>
      </c>
      <c r="FU22" s="4"/>
      <c r="FV22" s="4">
        <v>6.31</v>
      </c>
      <c r="FW22" s="4">
        <v>6.19</v>
      </c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>
        <v>7.31</v>
      </c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>
        <v>3.37</v>
      </c>
      <c r="HJ22" s="4"/>
    </row>
    <row r="23" spans="1:218" hidden="1">
      <c r="A23" t="s">
        <v>516</v>
      </c>
      <c r="B23" t="s">
        <v>517</v>
      </c>
      <c r="C23" t="s">
        <v>443</v>
      </c>
      <c r="D23" t="s">
        <v>518</v>
      </c>
      <c r="E23" t="s">
        <v>519</v>
      </c>
      <c r="F23" s="3">
        <v>14</v>
      </c>
      <c r="G23" s="12">
        <f t="shared" si="0"/>
        <v>9.3800000000000008</v>
      </c>
      <c r="H23" s="12">
        <f t="shared" si="1"/>
        <v>7.08</v>
      </c>
      <c r="I23" s="3">
        <v>59.524638950000011</v>
      </c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>
        <v>4.43</v>
      </c>
      <c r="AE23" s="4"/>
      <c r="AF23" s="4"/>
      <c r="AG23" s="4"/>
      <c r="AH23" s="4"/>
      <c r="AI23" s="4"/>
      <c r="AJ23" s="4"/>
      <c r="AK23" s="4">
        <v>9.3800000000000008</v>
      </c>
      <c r="AL23" s="4"/>
      <c r="AM23" s="4"/>
      <c r="AN23" s="4"/>
      <c r="AO23" s="4">
        <v>3.64</v>
      </c>
      <c r="AP23" s="4"/>
      <c r="AQ23" s="4">
        <v>5.07</v>
      </c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>
        <v>3.85</v>
      </c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>
        <v>1.56</v>
      </c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>
        <v>4.32</v>
      </c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>
        <v>4.24</v>
      </c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>
        <v>7.08</v>
      </c>
      <c r="FN23" s="4"/>
      <c r="FO23" s="4"/>
      <c r="FP23" s="4">
        <v>4.13</v>
      </c>
      <c r="FQ23" s="4"/>
      <c r="FR23" s="4"/>
      <c r="FS23" s="4">
        <v>4.3899999999999997</v>
      </c>
      <c r="FT23" s="4"/>
      <c r="FU23" s="4"/>
      <c r="FV23" s="4">
        <v>3.42</v>
      </c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>
        <v>1.55</v>
      </c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>
        <v>2.4700000000000002</v>
      </c>
      <c r="HI23" s="4"/>
      <c r="HJ23" s="4"/>
    </row>
    <row r="24" spans="1:218" hidden="1">
      <c r="A24" t="s">
        <v>520</v>
      </c>
      <c r="B24" t="s">
        <v>521</v>
      </c>
      <c r="C24" t="s">
        <v>505</v>
      </c>
      <c r="D24" t="s">
        <v>522</v>
      </c>
      <c r="E24" t="s">
        <v>523</v>
      </c>
      <c r="F24" s="3">
        <v>14</v>
      </c>
      <c r="G24" s="12">
        <f t="shared" si="0"/>
        <v>8.67</v>
      </c>
      <c r="H24" s="12">
        <f t="shared" si="1"/>
        <v>5.57</v>
      </c>
      <c r="I24" s="3">
        <v>57.357909999999997</v>
      </c>
      <c r="K24" s="4"/>
      <c r="L24" s="4"/>
      <c r="M24" s="4"/>
      <c r="N24" s="4"/>
      <c r="O24" s="4"/>
      <c r="P24" s="4">
        <v>2.99</v>
      </c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>
        <v>4.37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>
        <v>5.57</v>
      </c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>
        <v>4.17</v>
      </c>
      <c r="BR24" s="4"/>
      <c r="BS24" s="4"/>
      <c r="BT24" s="4"/>
      <c r="BU24" s="4"/>
      <c r="BV24" s="4"/>
      <c r="BW24" s="4"/>
      <c r="BX24" s="4"/>
      <c r="BY24" s="4"/>
      <c r="BZ24" s="4">
        <v>1.45</v>
      </c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>
        <v>5.48</v>
      </c>
      <c r="DC24" s="4"/>
      <c r="DD24" s="4"/>
      <c r="DE24" s="4"/>
      <c r="DF24" s="4"/>
      <c r="DG24" s="4"/>
      <c r="DH24" s="4"/>
      <c r="DI24" s="4">
        <v>3.95</v>
      </c>
      <c r="DJ24" s="4"/>
      <c r="DK24" s="4"/>
      <c r="DL24" s="4">
        <v>8.67</v>
      </c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>
        <v>5.4</v>
      </c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>
        <v>4.3600000000000003</v>
      </c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>
        <v>1.45</v>
      </c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>
        <v>3.25</v>
      </c>
      <c r="HB24" s="4"/>
      <c r="HC24" s="4"/>
      <c r="HD24" s="4">
        <v>3.85</v>
      </c>
      <c r="HE24" s="4"/>
      <c r="HF24" s="4"/>
      <c r="HG24" s="4"/>
      <c r="HH24" s="4">
        <v>2.38</v>
      </c>
      <c r="HI24" s="4"/>
      <c r="HJ24" s="4"/>
    </row>
    <row r="25" spans="1:218" hidden="1">
      <c r="A25" t="s">
        <v>512</v>
      </c>
      <c r="B25" t="s">
        <v>513</v>
      </c>
      <c r="C25" t="s">
        <v>443</v>
      </c>
      <c r="D25" t="s">
        <v>514</v>
      </c>
      <c r="E25" t="s">
        <v>515</v>
      </c>
      <c r="F25" s="3">
        <v>14</v>
      </c>
      <c r="G25" s="12">
        <f t="shared" si="0"/>
        <v>22.66</v>
      </c>
      <c r="H25" s="12">
        <f t="shared" si="1"/>
        <v>14.18</v>
      </c>
      <c r="I25" s="3">
        <v>113.3812909</v>
      </c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>
        <v>6.65</v>
      </c>
      <c r="AA25" s="4"/>
      <c r="AB25" s="4">
        <v>8.74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>
        <v>10.09</v>
      </c>
      <c r="AW25" s="4"/>
      <c r="AX25" s="4"/>
      <c r="AY25" s="4"/>
      <c r="AZ25" s="4"/>
      <c r="BA25" s="4"/>
      <c r="BB25" s="4">
        <v>7.06</v>
      </c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>
        <v>1.93</v>
      </c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>
        <v>2.2200000000000002</v>
      </c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>
        <v>14.18</v>
      </c>
      <c r="DX25" s="4">
        <v>7.93</v>
      </c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>
        <v>22.66</v>
      </c>
      <c r="EM25" s="4"/>
      <c r="EN25" s="4"/>
      <c r="EO25" s="4"/>
      <c r="EP25" s="4"/>
      <c r="EQ25" s="4"/>
      <c r="ER25" s="4">
        <v>4.54</v>
      </c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>
        <v>5.28</v>
      </c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>
        <v>6.91</v>
      </c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>
        <v>9.36</v>
      </c>
      <c r="GV25" s="4"/>
      <c r="GW25" s="4"/>
      <c r="GX25" s="4"/>
      <c r="GY25" s="4"/>
      <c r="GZ25" s="4"/>
      <c r="HA25" s="4"/>
      <c r="HB25" s="4"/>
      <c r="HC25" s="4">
        <v>5.83</v>
      </c>
      <c r="HD25" s="4"/>
      <c r="HE25" s="4"/>
      <c r="HF25" s="4"/>
      <c r="HG25" s="4"/>
      <c r="HH25" s="4"/>
      <c r="HI25" s="4"/>
      <c r="HJ25" s="4"/>
    </row>
    <row r="26" spans="1:218" hidden="1">
      <c r="A26" t="s">
        <v>530</v>
      </c>
      <c r="B26" t="s">
        <v>531</v>
      </c>
      <c r="C26" t="s">
        <v>443</v>
      </c>
      <c r="D26" t="s">
        <v>532</v>
      </c>
      <c r="E26" t="s">
        <v>533</v>
      </c>
      <c r="F26" s="3">
        <v>13</v>
      </c>
      <c r="G26" s="12">
        <f t="shared" si="0"/>
        <v>8.69</v>
      </c>
      <c r="H26" s="12">
        <f t="shared" si="1"/>
        <v>8.43</v>
      </c>
      <c r="I26" s="3">
        <v>61.202690099999991</v>
      </c>
      <c r="K26" s="4"/>
      <c r="L26" s="4"/>
      <c r="M26" s="4"/>
      <c r="N26" s="4"/>
      <c r="O26" s="4"/>
      <c r="P26" s="4">
        <v>3.82</v>
      </c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>
        <v>8.43</v>
      </c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>
        <v>8.69</v>
      </c>
      <c r="BU26" s="4"/>
      <c r="BV26" s="4"/>
      <c r="BW26" s="4"/>
      <c r="BX26" s="4"/>
      <c r="BY26" s="4"/>
      <c r="BZ26" s="4">
        <v>1.85</v>
      </c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>
        <v>6.82</v>
      </c>
      <c r="CM26" s="4">
        <v>6.86</v>
      </c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>
        <v>5.37</v>
      </c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>
        <v>1.88</v>
      </c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>
        <v>1.85</v>
      </c>
      <c r="GQ26" s="4"/>
      <c r="GR26" s="4">
        <v>4.71</v>
      </c>
      <c r="GS26" s="4"/>
      <c r="GT26" s="4"/>
      <c r="GU26" s="4"/>
      <c r="GV26" s="4"/>
      <c r="GW26" s="4"/>
      <c r="GX26" s="4"/>
      <c r="GY26" s="4"/>
      <c r="GZ26" s="4"/>
      <c r="HA26" s="4"/>
      <c r="HB26" s="4">
        <v>3.84</v>
      </c>
      <c r="HC26" s="4"/>
      <c r="HD26" s="4"/>
      <c r="HE26" s="4"/>
      <c r="HF26" s="4"/>
      <c r="HG26" s="4"/>
      <c r="HH26" s="4">
        <v>2.95</v>
      </c>
      <c r="HI26" s="4"/>
      <c r="HJ26" s="4">
        <v>4.13</v>
      </c>
    </row>
    <row r="27" spans="1:218" hidden="1">
      <c r="A27" t="s">
        <v>534</v>
      </c>
      <c r="B27" t="s">
        <v>535</v>
      </c>
      <c r="C27" t="s">
        <v>443</v>
      </c>
      <c r="D27" t="s">
        <v>536</v>
      </c>
      <c r="E27" t="s">
        <v>537</v>
      </c>
      <c r="F27" s="3">
        <v>13</v>
      </c>
      <c r="G27" s="12">
        <f t="shared" si="0"/>
        <v>7.58</v>
      </c>
      <c r="H27" s="12">
        <f t="shared" si="1"/>
        <v>6.82</v>
      </c>
      <c r="I27" s="3">
        <v>56.233079899999993</v>
      </c>
      <c r="K27" s="4"/>
      <c r="L27" s="4"/>
      <c r="M27" s="4"/>
      <c r="N27" s="4">
        <v>7.58</v>
      </c>
      <c r="O27" s="4"/>
      <c r="P27" s="4"/>
      <c r="Q27" s="4"/>
      <c r="R27" s="4"/>
      <c r="S27" s="4">
        <v>4.8899999999999997</v>
      </c>
      <c r="T27" s="4">
        <v>2.84</v>
      </c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>
        <v>3.07</v>
      </c>
      <c r="AS27" s="4"/>
      <c r="AT27" s="4">
        <v>6.34</v>
      </c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>
        <v>6.05</v>
      </c>
      <c r="DM27" s="4"/>
      <c r="DN27" s="4"/>
      <c r="DO27" s="4"/>
      <c r="DP27" s="4"/>
      <c r="DQ27" s="4"/>
      <c r="DR27" s="4"/>
      <c r="DS27" s="4">
        <v>2.27</v>
      </c>
      <c r="DT27" s="4"/>
      <c r="DU27" s="4">
        <v>5.18</v>
      </c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>
        <v>2.38</v>
      </c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>
        <v>3.04</v>
      </c>
      <c r="GD27" s="4">
        <v>3</v>
      </c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>
        <v>6.82</v>
      </c>
      <c r="GW27" s="4">
        <v>2.76</v>
      </c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</row>
    <row r="28" spans="1:218" hidden="1">
      <c r="A28" t="s">
        <v>524</v>
      </c>
      <c r="B28" t="s">
        <v>525</v>
      </c>
      <c r="C28" t="s">
        <v>443</v>
      </c>
      <c r="D28" t="s">
        <v>526</v>
      </c>
      <c r="E28" t="s">
        <v>527</v>
      </c>
      <c r="F28" s="3">
        <v>13</v>
      </c>
      <c r="G28" s="12">
        <f t="shared" si="0"/>
        <v>9.58</v>
      </c>
      <c r="H28" s="12">
        <f t="shared" si="1"/>
        <v>9.51</v>
      </c>
      <c r="I28" s="3">
        <v>73.854930800000005</v>
      </c>
      <c r="K28" s="4"/>
      <c r="L28" s="4"/>
      <c r="M28" s="4"/>
      <c r="N28" s="4">
        <v>9.58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>
        <v>3.87</v>
      </c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>
        <v>3.25</v>
      </c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>
        <v>7.48</v>
      </c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>
        <v>3.14</v>
      </c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>
        <v>4.93</v>
      </c>
      <c r="CZ28" s="4"/>
      <c r="DA28" s="4"/>
      <c r="DB28" s="4">
        <v>9.51</v>
      </c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>
        <v>9.19</v>
      </c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>
        <v>3.61</v>
      </c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>
        <v>7.08</v>
      </c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>
        <v>3.33</v>
      </c>
      <c r="GU28" s="4"/>
      <c r="GV28" s="4"/>
      <c r="GW28" s="4"/>
      <c r="GX28" s="4"/>
      <c r="GY28" s="4">
        <v>5.15</v>
      </c>
      <c r="GZ28" s="4">
        <v>3.74</v>
      </c>
      <c r="HA28" s="4"/>
      <c r="HB28" s="4"/>
      <c r="HC28" s="4"/>
      <c r="HD28" s="4"/>
      <c r="HE28" s="4"/>
      <c r="HF28" s="4"/>
      <c r="HG28" s="4"/>
      <c r="HH28" s="4"/>
      <c r="HI28" s="4"/>
      <c r="HJ28" s="4"/>
    </row>
    <row r="29" spans="1:218" hidden="1">
      <c r="A29" t="s">
        <v>528</v>
      </c>
      <c r="B29" t="s">
        <v>529</v>
      </c>
      <c r="C29" t="s">
        <v>489</v>
      </c>
      <c r="D29" t="s">
        <v>490</v>
      </c>
      <c r="E29" t="s">
        <v>490</v>
      </c>
      <c r="F29" s="3">
        <v>13</v>
      </c>
      <c r="G29" s="12">
        <f t="shared" si="0"/>
        <v>10.15</v>
      </c>
      <c r="H29" s="12">
        <f t="shared" si="1"/>
        <v>8.81</v>
      </c>
      <c r="I29" s="3">
        <v>68.48036980000002</v>
      </c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>
        <v>10.15</v>
      </c>
      <c r="AA29" s="4">
        <v>8.81</v>
      </c>
      <c r="AB29" s="4"/>
      <c r="AC29" s="4"/>
      <c r="AD29" s="4"/>
      <c r="AE29" s="4"/>
      <c r="AF29" s="4"/>
      <c r="AG29" s="4"/>
      <c r="AH29" s="4">
        <v>4.9400000000000004</v>
      </c>
      <c r="AI29" s="4"/>
      <c r="AJ29" s="4"/>
      <c r="AK29" s="4"/>
      <c r="AL29" s="4"/>
      <c r="AM29" s="4">
        <v>8.31</v>
      </c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>
        <v>2.2799999999999998</v>
      </c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>
        <v>1.63</v>
      </c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>
        <v>4.2300000000000004</v>
      </c>
      <c r="CK29" s="4"/>
      <c r="CL29" s="4"/>
      <c r="CM29" s="4"/>
      <c r="CN29" s="4"/>
      <c r="CO29" s="4"/>
      <c r="CP29" s="4">
        <v>8.5500000000000007</v>
      </c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>
        <v>4.57</v>
      </c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>
        <v>6.27</v>
      </c>
      <c r="EZ29" s="4">
        <v>3.46</v>
      </c>
      <c r="FA29" s="4">
        <v>3.34</v>
      </c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>
        <v>1.94</v>
      </c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</row>
    <row r="30" spans="1:218" hidden="1">
      <c r="A30" t="s">
        <v>540</v>
      </c>
      <c r="B30" t="s">
        <v>541</v>
      </c>
      <c r="C30" t="s">
        <v>443</v>
      </c>
      <c r="D30" t="s">
        <v>542</v>
      </c>
      <c r="E30" t="s">
        <v>543</v>
      </c>
      <c r="F30" s="3">
        <v>12</v>
      </c>
      <c r="G30" s="12">
        <f t="shared" si="0"/>
        <v>9.27</v>
      </c>
      <c r="H30" s="12">
        <f t="shared" si="1"/>
        <v>5.93</v>
      </c>
      <c r="I30" s="3">
        <v>48.468919700000001</v>
      </c>
      <c r="K30" s="4"/>
      <c r="L30" s="4">
        <v>2.69</v>
      </c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>
        <v>5.93</v>
      </c>
      <c r="Y30" s="4"/>
      <c r="Z30" s="4">
        <v>4.12</v>
      </c>
      <c r="AA30" s="4">
        <v>3.47</v>
      </c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>
        <v>2.5499999999999998</v>
      </c>
      <c r="BO30" s="4"/>
      <c r="BP30" s="4"/>
      <c r="BQ30" s="4"/>
      <c r="BR30" s="4"/>
      <c r="BS30" s="4">
        <v>3.12</v>
      </c>
      <c r="BT30" s="4">
        <v>4.6900000000000004</v>
      </c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>
        <v>4.03</v>
      </c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>
        <v>2.5499999999999998</v>
      </c>
      <c r="EP30" s="4"/>
      <c r="EQ30" s="4">
        <v>9.27</v>
      </c>
      <c r="ER30" s="4"/>
      <c r="ES30" s="4"/>
      <c r="ET30" s="4"/>
      <c r="EU30" s="4"/>
      <c r="EV30" s="4"/>
      <c r="EW30" s="4"/>
      <c r="EX30" s="4"/>
      <c r="EY30" s="4"/>
      <c r="EZ30" s="4">
        <v>3.25</v>
      </c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>
        <v>2.79</v>
      </c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</row>
    <row r="31" spans="1:218" hidden="1">
      <c r="A31" t="s">
        <v>538</v>
      </c>
      <c r="B31" t="s">
        <v>539</v>
      </c>
      <c r="C31" t="s">
        <v>489</v>
      </c>
      <c r="D31" t="s">
        <v>490</v>
      </c>
      <c r="E31" t="s">
        <v>490</v>
      </c>
      <c r="F31" s="3">
        <v>12</v>
      </c>
      <c r="G31" s="12">
        <f t="shared" si="0"/>
        <v>8.5500000000000007</v>
      </c>
      <c r="H31" s="12">
        <f t="shared" si="1"/>
        <v>8.11</v>
      </c>
      <c r="I31" s="3">
        <v>62.812721099999997</v>
      </c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>
        <v>6.06</v>
      </c>
      <c r="BN31" s="4"/>
      <c r="BO31" s="4"/>
      <c r="BP31" s="4"/>
      <c r="BQ31" s="4"/>
      <c r="BR31" s="4"/>
      <c r="BS31" s="4"/>
      <c r="BT31" s="4"/>
      <c r="BU31" s="4"/>
      <c r="BV31" s="4"/>
      <c r="BW31" s="4">
        <v>3.6</v>
      </c>
      <c r="BX31" s="4"/>
      <c r="BY31" s="4"/>
      <c r="BZ31" s="4"/>
      <c r="CA31" s="4"/>
      <c r="CB31" s="4"/>
      <c r="CC31" s="4"/>
      <c r="CD31" s="4"/>
      <c r="CE31" s="4"/>
      <c r="CF31" s="4">
        <v>2.96</v>
      </c>
      <c r="CG31" s="4"/>
      <c r="CH31" s="4"/>
      <c r="CI31" s="4"/>
      <c r="CJ31" s="4"/>
      <c r="CK31" s="4">
        <v>4.18</v>
      </c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>
        <v>2.95</v>
      </c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>
        <v>8.5500000000000007</v>
      </c>
      <c r="EA31" s="4"/>
      <c r="EB31" s="4"/>
      <c r="EC31" s="4">
        <v>5.34</v>
      </c>
      <c r="ED31" s="4"/>
      <c r="EE31" s="4"/>
      <c r="EF31" s="4"/>
      <c r="EG31" s="4">
        <v>4.71</v>
      </c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>
        <v>3.37</v>
      </c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>
        <v>5.42</v>
      </c>
      <c r="GG31" s="4"/>
      <c r="GH31" s="4"/>
      <c r="GI31" s="4"/>
      <c r="GJ31" s="4"/>
      <c r="GK31" s="4"/>
      <c r="GL31" s="4">
        <v>7.57</v>
      </c>
      <c r="GM31" s="4">
        <v>8.11</v>
      </c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</row>
    <row r="32" spans="1:218" hidden="1">
      <c r="A32" t="s">
        <v>544</v>
      </c>
      <c r="B32" t="s">
        <v>545</v>
      </c>
      <c r="C32" t="s">
        <v>505</v>
      </c>
      <c r="D32" t="s">
        <v>546</v>
      </c>
      <c r="E32" t="s">
        <v>547</v>
      </c>
      <c r="F32" s="3">
        <v>11</v>
      </c>
      <c r="G32" s="12">
        <f t="shared" si="0"/>
        <v>8.67</v>
      </c>
      <c r="H32" s="12">
        <f t="shared" si="1"/>
        <v>7.99</v>
      </c>
      <c r="I32" s="3">
        <v>54.782199499999997</v>
      </c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>
        <v>1.83</v>
      </c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>
        <v>5.94</v>
      </c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>
        <v>4.63</v>
      </c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>
        <v>3.83</v>
      </c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>
        <v>7.99</v>
      </c>
      <c r="DY32" s="4"/>
      <c r="DZ32" s="4"/>
      <c r="EA32" s="4"/>
      <c r="EB32" s="4">
        <v>7.66</v>
      </c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>
        <v>8.67</v>
      </c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>
        <v>2.44</v>
      </c>
      <c r="GR32" s="4"/>
      <c r="GS32" s="4"/>
      <c r="GT32" s="4"/>
      <c r="GU32" s="4"/>
      <c r="GV32" s="4"/>
      <c r="GW32" s="4"/>
      <c r="GX32" s="4"/>
      <c r="GY32" s="4">
        <v>5.28</v>
      </c>
      <c r="GZ32" s="4"/>
      <c r="HA32" s="4"/>
      <c r="HB32" s="4"/>
      <c r="HC32" s="4">
        <v>3.16</v>
      </c>
      <c r="HD32" s="4"/>
      <c r="HE32" s="4"/>
      <c r="HF32" s="4"/>
      <c r="HG32" s="4">
        <v>3.36</v>
      </c>
      <c r="HH32" s="4"/>
      <c r="HI32" s="4"/>
      <c r="HJ32" s="4"/>
    </row>
    <row r="33" spans="1:218" hidden="1">
      <c r="A33" t="s">
        <v>548</v>
      </c>
      <c r="B33" t="s">
        <v>549</v>
      </c>
      <c r="C33" t="s">
        <v>505</v>
      </c>
      <c r="D33" t="s">
        <v>550</v>
      </c>
      <c r="E33" t="s">
        <v>551</v>
      </c>
      <c r="F33" s="3">
        <v>11</v>
      </c>
      <c r="G33" s="12">
        <f t="shared" si="0"/>
        <v>8.11</v>
      </c>
      <c r="H33" s="12">
        <f t="shared" si="1"/>
        <v>6.05</v>
      </c>
      <c r="I33" s="3">
        <v>51.686828800000008</v>
      </c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>
        <v>4.42</v>
      </c>
      <c r="BD33" s="4"/>
      <c r="BE33" s="4">
        <v>2.27</v>
      </c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>
        <v>6.04</v>
      </c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>
        <v>8.11</v>
      </c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>
        <v>3.01</v>
      </c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>
        <v>3.24</v>
      </c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>
        <v>4.04</v>
      </c>
      <c r="FL33" s="4">
        <v>3.42</v>
      </c>
      <c r="FM33" s="4"/>
      <c r="FN33" s="4">
        <v>5.34</v>
      </c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>
        <v>6.05</v>
      </c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>
        <v>5.75</v>
      </c>
      <c r="HG33" s="4"/>
      <c r="HH33" s="4"/>
      <c r="HI33" s="4"/>
      <c r="HJ33" s="4"/>
    </row>
    <row r="34" spans="1:218" hidden="1">
      <c r="A34" t="s">
        <v>558</v>
      </c>
      <c r="B34" t="s">
        <v>559</v>
      </c>
      <c r="C34" t="s">
        <v>505</v>
      </c>
      <c r="D34" t="s">
        <v>560</v>
      </c>
      <c r="E34" t="s">
        <v>561</v>
      </c>
      <c r="F34" s="3">
        <v>10</v>
      </c>
      <c r="G34" s="12">
        <f t="shared" si="0"/>
        <v>7.21</v>
      </c>
      <c r="H34" s="12">
        <f t="shared" si="1"/>
        <v>4.84</v>
      </c>
      <c r="I34" s="3">
        <v>39.436299900000002</v>
      </c>
      <c r="K34" s="4"/>
      <c r="L34" s="4"/>
      <c r="M34" s="4"/>
      <c r="N34" s="4"/>
      <c r="O34" s="4">
        <v>7.21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>
        <v>2.63</v>
      </c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>
        <v>1.19</v>
      </c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>
        <v>4.46</v>
      </c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>
        <v>3.82</v>
      </c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>
        <v>3.33</v>
      </c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>
        <v>4.7699999999999996</v>
      </c>
      <c r="FE34" s="4"/>
      <c r="FF34" s="4"/>
      <c r="FG34" s="4"/>
      <c r="FH34" s="4"/>
      <c r="FI34" s="4"/>
      <c r="FJ34" s="4"/>
      <c r="FK34" s="4"/>
      <c r="FL34" s="4">
        <v>3.5</v>
      </c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>
        <v>3.69</v>
      </c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>
        <v>4.84</v>
      </c>
      <c r="HH34" s="4"/>
      <c r="HI34" s="4"/>
      <c r="HJ34" s="4"/>
    </row>
    <row r="35" spans="1:218" hidden="1">
      <c r="A35" t="s">
        <v>552</v>
      </c>
      <c r="B35" t="s">
        <v>553</v>
      </c>
      <c r="C35" t="s">
        <v>443</v>
      </c>
      <c r="D35" t="s">
        <v>554</v>
      </c>
      <c r="E35" t="s">
        <v>555</v>
      </c>
      <c r="F35" s="3">
        <v>10</v>
      </c>
      <c r="G35" s="12">
        <f t="shared" si="0"/>
        <v>7.45</v>
      </c>
      <c r="H35" s="12">
        <f t="shared" si="1"/>
        <v>6.06</v>
      </c>
      <c r="I35" s="3">
        <v>49.795070500000008</v>
      </c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>
        <v>7.45</v>
      </c>
      <c r="AK35" s="4"/>
      <c r="AL35" s="4"/>
      <c r="AM35" s="4"/>
      <c r="AN35" s="4"/>
      <c r="AO35" s="4"/>
      <c r="AP35" s="4"/>
      <c r="AQ35" s="4"/>
      <c r="AR35" s="4">
        <v>2.99</v>
      </c>
      <c r="AS35" s="4"/>
      <c r="AT35" s="4"/>
      <c r="AU35" s="4"/>
      <c r="AV35" s="4"/>
      <c r="AW35" s="4"/>
      <c r="AX35" s="4"/>
      <c r="AY35" s="4"/>
      <c r="AZ35" s="4"/>
      <c r="BA35" s="4"/>
      <c r="BB35" s="4">
        <v>3.9</v>
      </c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>
        <v>5.35</v>
      </c>
      <c r="CM35" s="4">
        <v>5.3</v>
      </c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>
        <v>5.0599999999999996</v>
      </c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>
        <v>6.05</v>
      </c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>
        <v>6.06</v>
      </c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>
        <v>5.49</v>
      </c>
      <c r="GW35" s="4">
        <v>2.14</v>
      </c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</row>
    <row r="36" spans="1:218" hidden="1">
      <c r="A36" t="s">
        <v>556</v>
      </c>
      <c r="B36" t="s">
        <v>557</v>
      </c>
      <c r="C36" t="s">
        <v>489</v>
      </c>
      <c r="D36" t="s">
        <v>490</v>
      </c>
      <c r="E36" t="s">
        <v>490</v>
      </c>
      <c r="F36" s="3">
        <v>10</v>
      </c>
      <c r="G36" s="12">
        <f t="shared" si="0"/>
        <v>7.24</v>
      </c>
      <c r="H36" s="12">
        <f t="shared" si="1"/>
        <v>4.75</v>
      </c>
      <c r="I36" s="3">
        <v>44.00499090000001</v>
      </c>
      <c r="K36" s="4"/>
      <c r="L36" s="4"/>
      <c r="M36" s="4">
        <v>4.08</v>
      </c>
      <c r="N36" s="4"/>
      <c r="O36" s="4">
        <v>7.24</v>
      </c>
      <c r="P36" s="4"/>
      <c r="Q36" s="4"/>
      <c r="R36" s="4">
        <v>3.74</v>
      </c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>
        <v>4.3600000000000003</v>
      </c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>
        <v>4.24</v>
      </c>
      <c r="CI36" s="4"/>
      <c r="CJ36" s="4"/>
      <c r="CK36" s="4"/>
      <c r="CL36" s="4"/>
      <c r="CM36" s="4"/>
      <c r="CN36" s="4"/>
      <c r="CO36" s="4"/>
      <c r="CP36" s="4"/>
      <c r="CQ36" s="4">
        <v>4.75</v>
      </c>
      <c r="CR36" s="4"/>
      <c r="CS36" s="4"/>
      <c r="CT36" s="4"/>
      <c r="CU36" s="4"/>
      <c r="CV36" s="4"/>
      <c r="CW36" s="4"/>
      <c r="CX36" s="4">
        <v>2.75</v>
      </c>
      <c r="CY36" s="4"/>
      <c r="CZ36" s="4"/>
      <c r="DA36" s="4"/>
      <c r="DB36" s="4"/>
      <c r="DC36" s="4"/>
      <c r="DD36" s="4"/>
      <c r="DE36" s="4"/>
      <c r="DF36" s="4"/>
      <c r="DG36" s="4"/>
      <c r="DH36" s="4">
        <v>4.07</v>
      </c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>
        <v>4.3099999999999996</v>
      </c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>
        <v>4.46</v>
      </c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</row>
    <row r="37" spans="1:218" hidden="1">
      <c r="A37" t="s">
        <v>579</v>
      </c>
      <c r="B37" t="s">
        <v>580</v>
      </c>
      <c r="C37" t="s">
        <v>505</v>
      </c>
      <c r="D37" t="s">
        <v>581</v>
      </c>
      <c r="E37" t="s">
        <v>582</v>
      </c>
      <c r="F37" s="3">
        <v>9</v>
      </c>
      <c r="G37" s="12">
        <f t="shared" si="0"/>
        <v>7.55</v>
      </c>
      <c r="H37" s="12">
        <f t="shared" si="1"/>
        <v>6.57</v>
      </c>
      <c r="I37" s="3">
        <v>41.176429599999999</v>
      </c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3.41</v>
      </c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>
        <v>4.1100000000000003</v>
      </c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>
        <v>1.33</v>
      </c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>
        <v>4.79</v>
      </c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>
        <v>3.1</v>
      </c>
      <c r="DT37" s="4"/>
      <c r="DU37" s="4"/>
      <c r="DV37" s="4">
        <v>4.5599999999999996</v>
      </c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>
        <v>6.57</v>
      </c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>
        <v>5.76</v>
      </c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>
        <v>7.55</v>
      </c>
      <c r="HH37" s="4"/>
      <c r="HI37" s="4"/>
      <c r="HJ37" s="4"/>
    </row>
    <row r="38" spans="1:218" hidden="1">
      <c r="A38" t="s">
        <v>566</v>
      </c>
      <c r="B38" t="s">
        <v>567</v>
      </c>
      <c r="C38" t="s">
        <v>443</v>
      </c>
      <c r="D38" t="s">
        <v>568</v>
      </c>
      <c r="E38" t="s">
        <v>569</v>
      </c>
      <c r="F38" s="3">
        <v>9</v>
      </c>
      <c r="G38" s="12">
        <f t="shared" si="0"/>
        <v>8.84</v>
      </c>
      <c r="H38" s="12">
        <f t="shared" si="1"/>
        <v>7.29</v>
      </c>
      <c r="I38" s="3">
        <v>55.626480699999988</v>
      </c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>
        <v>7.29</v>
      </c>
      <c r="AK38" s="4"/>
      <c r="AL38" s="4"/>
      <c r="AM38" s="4"/>
      <c r="AN38" s="4"/>
      <c r="AO38" s="4"/>
      <c r="AP38" s="4"/>
      <c r="AQ38" s="4"/>
      <c r="AR38" s="4">
        <v>8.84</v>
      </c>
      <c r="AS38" s="4"/>
      <c r="AT38" s="4"/>
      <c r="AU38" s="4"/>
      <c r="AV38" s="4"/>
      <c r="AW38" s="4"/>
      <c r="AX38" s="4"/>
      <c r="AY38" s="4"/>
      <c r="AZ38" s="4"/>
      <c r="BA38" s="4"/>
      <c r="BB38" s="4">
        <v>4.13</v>
      </c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>
        <v>6.41</v>
      </c>
      <c r="CM38" s="4">
        <v>6.22</v>
      </c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>
        <v>5.6</v>
      </c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>
        <v>5.69</v>
      </c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>
        <v>5.7</v>
      </c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>
        <v>5.75</v>
      </c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</row>
    <row r="39" spans="1:218" hidden="1">
      <c r="A39" t="s">
        <v>574</v>
      </c>
      <c r="B39" t="s">
        <v>575</v>
      </c>
      <c r="C39" t="s">
        <v>576</v>
      </c>
      <c r="D39" t="s">
        <v>577</v>
      </c>
      <c r="E39" t="s">
        <v>578</v>
      </c>
      <c r="F39" s="3">
        <v>9</v>
      </c>
      <c r="G39" s="12">
        <f t="shared" si="0"/>
        <v>7.83</v>
      </c>
      <c r="H39" s="12">
        <f t="shared" si="1"/>
        <v>6.28</v>
      </c>
      <c r="I39" s="3">
        <v>44.654039300000001</v>
      </c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>
        <v>3.28</v>
      </c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>
        <v>4.32</v>
      </c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>
        <v>4.9400000000000004</v>
      </c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>
        <v>6.17</v>
      </c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>
        <v>7.83</v>
      </c>
      <c r="FI39" s="4"/>
      <c r="FJ39" s="4"/>
      <c r="FK39" s="4"/>
      <c r="FL39" s="4">
        <v>3.91</v>
      </c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>
        <v>4.7300000000000004</v>
      </c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>
        <v>6.28</v>
      </c>
      <c r="GV39" s="4"/>
      <c r="GW39" s="4"/>
      <c r="GX39" s="4"/>
      <c r="GY39" s="4"/>
      <c r="GZ39" s="4"/>
      <c r="HA39" s="4"/>
      <c r="HB39" s="4"/>
      <c r="HC39" s="4">
        <v>3.2</v>
      </c>
      <c r="HD39" s="4"/>
      <c r="HE39" s="4"/>
      <c r="HF39" s="4"/>
      <c r="HG39" s="4"/>
      <c r="HH39" s="4"/>
      <c r="HI39" s="4"/>
      <c r="HJ39" s="4"/>
    </row>
    <row r="40" spans="1:218" hidden="1">
      <c r="A40" t="s">
        <v>562</v>
      </c>
      <c r="B40" t="s">
        <v>563</v>
      </c>
      <c r="C40" t="s">
        <v>505</v>
      </c>
      <c r="D40" t="s">
        <v>564</v>
      </c>
      <c r="E40" t="s">
        <v>565</v>
      </c>
      <c r="F40" s="3">
        <v>9</v>
      </c>
      <c r="G40" s="12">
        <f t="shared" si="0"/>
        <v>8.93</v>
      </c>
      <c r="H40" s="12">
        <f t="shared" si="1"/>
        <v>8.44</v>
      </c>
      <c r="I40" s="3">
        <v>59.416030399999997</v>
      </c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>
        <v>8.93</v>
      </c>
      <c r="AW40" s="4"/>
      <c r="AX40" s="4"/>
      <c r="AY40" s="4"/>
      <c r="AZ40" s="4"/>
      <c r="BA40" s="4"/>
      <c r="BB40" s="4">
        <v>7.13</v>
      </c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>
        <v>5.85</v>
      </c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>
        <v>6.1</v>
      </c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>
        <v>6.5</v>
      </c>
      <c r="DY40" s="4"/>
      <c r="DZ40" s="4"/>
      <c r="EA40" s="4"/>
      <c r="EB40" s="4">
        <v>5.32</v>
      </c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>
        <v>6.17</v>
      </c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>
        <v>8.44</v>
      </c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>
        <v>4.9800000000000004</v>
      </c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</row>
    <row r="41" spans="1:218" hidden="1">
      <c r="A41" t="s">
        <v>583</v>
      </c>
      <c r="B41" t="s">
        <v>584</v>
      </c>
      <c r="C41" t="s">
        <v>585</v>
      </c>
      <c r="D41" t="s">
        <v>586</v>
      </c>
      <c r="E41" t="s">
        <v>587</v>
      </c>
      <c r="F41" s="3">
        <v>9</v>
      </c>
      <c r="G41" s="12">
        <f t="shared" si="0"/>
        <v>4.6100000000000003</v>
      </c>
      <c r="H41" s="12">
        <f t="shared" si="1"/>
        <v>4.1399999999999997</v>
      </c>
      <c r="I41" s="3">
        <v>31.600489799999998</v>
      </c>
      <c r="K41" s="4"/>
      <c r="L41" s="4"/>
      <c r="M41" s="4"/>
      <c r="N41" s="4"/>
      <c r="O41" s="4"/>
      <c r="P41" s="4"/>
      <c r="Q41" s="4"/>
      <c r="R41" s="4"/>
      <c r="S41" s="4"/>
      <c r="T41" s="4">
        <v>4.08</v>
      </c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>
        <v>3.68</v>
      </c>
      <c r="AP41" s="4">
        <v>4.1399999999999997</v>
      </c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>
        <v>1.8</v>
      </c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>
        <v>4.6100000000000003</v>
      </c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>
        <v>3.69</v>
      </c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>
        <v>2.5099999999999998</v>
      </c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>
        <v>3.74</v>
      </c>
      <c r="FV41" s="4"/>
      <c r="FW41" s="4"/>
      <c r="FX41" s="4"/>
      <c r="FY41" s="4"/>
      <c r="FZ41" s="4"/>
      <c r="GA41" s="4"/>
      <c r="GB41" s="4"/>
      <c r="GC41" s="4"/>
      <c r="GD41" s="4">
        <v>3.37</v>
      </c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</row>
    <row r="42" spans="1:218" hidden="1">
      <c r="A42" t="s">
        <v>570</v>
      </c>
      <c r="B42" t="s">
        <v>571</v>
      </c>
      <c r="C42" t="s">
        <v>505</v>
      </c>
      <c r="D42" t="s">
        <v>572</v>
      </c>
      <c r="E42" t="s">
        <v>573</v>
      </c>
      <c r="F42" s="3">
        <v>9</v>
      </c>
      <c r="G42" s="12">
        <f t="shared" si="0"/>
        <v>7.77</v>
      </c>
      <c r="H42" s="12">
        <f t="shared" si="1"/>
        <v>7.29</v>
      </c>
      <c r="I42" s="3">
        <v>51.1551203</v>
      </c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>
        <v>2.4300000000000002</v>
      </c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>
        <v>7.29</v>
      </c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>
        <v>6.7</v>
      </c>
      <c r="DY42" s="4"/>
      <c r="DZ42" s="4"/>
      <c r="EA42" s="4"/>
      <c r="EB42" s="4">
        <v>7.1</v>
      </c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>
        <v>6.86</v>
      </c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>
        <v>7.77</v>
      </c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>
        <v>3.42</v>
      </c>
      <c r="GR42" s="4"/>
      <c r="GS42" s="4"/>
      <c r="GT42" s="4"/>
      <c r="GU42" s="4"/>
      <c r="GV42" s="4"/>
      <c r="GW42" s="4"/>
      <c r="GX42" s="4"/>
      <c r="GY42" s="4">
        <v>5.1100000000000003</v>
      </c>
      <c r="GZ42" s="4"/>
      <c r="HA42" s="4"/>
      <c r="HB42" s="4"/>
      <c r="HC42" s="4"/>
      <c r="HD42" s="4"/>
      <c r="HE42" s="4"/>
      <c r="HF42" s="4"/>
      <c r="HG42" s="4">
        <v>4.47</v>
      </c>
      <c r="HH42" s="4"/>
      <c r="HI42" s="4"/>
      <c r="HJ42" s="4"/>
    </row>
    <row r="43" spans="1:218" hidden="1">
      <c r="A43" t="s">
        <v>588</v>
      </c>
      <c r="B43" t="s">
        <v>589</v>
      </c>
      <c r="C43" t="s">
        <v>590</v>
      </c>
      <c r="D43" t="s">
        <v>591</v>
      </c>
      <c r="E43" t="s">
        <v>592</v>
      </c>
      <c r="F43" s="3">
        <v>8</v>
      </c>
      <c r="G43" s="12">
        <f t="shared" si="0"/>
        <v>23.18</v>
      </c>
      <c r="H43" s="12">
        <f t="shared" si="1"/>
        <v>21.65</v>
      </c>
      <c r="I43" s="3">
        <v>82.199790899999996</v>
      </c>
      <c r="K43" s="4"/>
      <c r="L43" s="4"/>
      <c r="M43" s="4"/>
      <c r="N43" s="4"/>
      <c r="O43" s="4">
        <v>3.78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>
        <v>8.2200000000000006</v>
      </c>
      <c r="EI43" s="4"/>
      <c r="EJ43" s="4">
        <v>9.06</v>
      </c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>
        <v>4.43</v>
      </c>
      <c r="FE43" s="4"/>
      <c r="FF43" s="4"/>
      <c r="FG43" s="4"/>
      <c r="FH43" s="4"/>
      <c r="FI43" s="4"/>
      <c r="FJ43" s="4"/>
      <c r="FK43" s="4"/>
      <c r="FL43" s="4"/>
      <c r="FM43" s="4"/>
      <c r="FN43" s="4">
        <v>4.45</v>
      </c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>
        <v>7.44</v>
      </c>
      <c r="GF43" s="4"/>
      <c r="GG43" s="4"/>
      <c r="GH43" s="4"/>
      <c r="GI43" s="4">
        <v>23.18</v>
      </c>
      <c r="GJ43" s="4"/>
      <c r="GK43" s="4">
        <v>21.65</v>
      </c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</row>
    <row r="44" spans="1:218" hidden="1">
      <c r="A44" t="s">
        <v>599</v>
      </c>
      <c r="B44" t="s">
        <v>600</v>
      </c>
      <c r="C44" t="s">
        <v>505</v>
      </c>
      <c r="D44" t="s">
        <v>601</v>
      </c>
      <c r="E44" t="s">
        <v>602</v>
      </c>
      <c r="F44" s="3">
        <v>8</v>
      </c>
      <c r="G44" s="12">
        <f t="shared" si="0"/>
        <v>9.98</v>
      </c>
      <c r="H44" s="12">
        <f t="shared" si="1"/>
        <v>9.4600000000000009</v>
      </c>
      <c r="I44" s="3">
        <v>40.318918600000003</v>
      </c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>
        <v>3.9</v>
      </c>
      <c r="AS44" s="4"/>
      <c r="AT44" s="4">
        <v>4</v>
      </c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>
        <v>5.13</v>
      </c>
      <c r="CM44" s="4">
        <v>4.88</v>
      </c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>
        <v>9.98</v>
      </c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>
        <v>1.21</v>
      </c>
      <c r="FD44" s="4"/>
      <c r="FE44" s="4"/>
      <c r="FF44" s="4"/>
      <c r="FG44" s="4">
        <v>1.74</v>
      </c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>
        <v>9.4600000000000009</v>
      </c>
      <c r="HE44" s="4"/>
      <c r="HF44" s="4"/>
      <c r="HG44" s="4"/>
      <c r="HH44" s="4"/>
      <c r="HI44" s="4"/>
      <c r="HJ44" s="4"/>
    </row>
    <row r="45" spans="1:218" hidden="1">
      <c r="A45" t="s">
        <v>611</v>
      </c>
      <c r="B45" t="s">
        <v>612</v>
      </c>
      <c r="C45" t="s">
        <v>613</v>
      </c>
      <c r="D45" t="s">
        <v>614</v>
      </c>
      <c r="E45" t="s">
        <v>615</v>
      </c>
      <c r="F45" s="3">
        <v>8</v>
      </c>
      <c r="G45" s="12">
        <f t="shared" si="0"/>
        <v>7.1</v>
      </c>
      <c r="H45" s="12">
        <f t="shared" si="1"/>
        <v>5.7</v>
      </c>
      <c r="I45" s="3">
        <v>31.142550400000001</v>
      </c>
      <c r="K45" s="4"/>
      <c r="L45" s="4"/>
      <c r="M45" s="4"/>
      <c r="N45" s="4"/>
      <c r="O45" s="4">
        <v>7.1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>
        <v>1.57</v>
      </c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>
        <v>3.66</v>
      </c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>
        <v>3.88</v>
      </c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>
        <v>4.1500000000000004</v>
      </c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>
        <v>5.7</v>
      </c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>
        <v>2.2000000000000002</v>
      </c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>
        <v>2.88</v>
      </c>
      <c r="HH45" s="4"/>
      <c r="HI45" s="4"/>
      <c r="HJ45" s="4"/>
    </row>
    <row r="46" spans="1:218" hidden="1">
      <c r="A46" t="s">
        <v>593</v>
      </c>
      <c r="B46" t="s">
        <v>594</v>
      </c>
      <c r="C46" t="s">
        <v>505</v>
      </c>
      <c r="D46" t="s">
        <v>595</v>
      </c>
      <c r="E46" t="s">
        <v>596</v>
      </c>
      <c r="F46" s="3">
        <v>8</v>
      </c>
      <c r="G46" s="12">
        <f t="shared" si="0"/>
        <v>8.3000000000000007</v>
      </c>
      <c r="H46" s="12">
        <f t="shared" si="1"/>
        <v>8.27</v>
      </c>
      <c r="I46" s="3">
        <v>47.500310699999993</v>
      </c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3.38</v>
      </c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>
        <v>3.43</v>
      </c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>
        <v>5.16</v>
      </c>
      <c r="DT46" s="4"/>
      <c r="DU46" s="4"/>
      <c r="DV46" s="4"/>
      <c r="DW46" s="4"/>
      <c r="DX46" s="4">
        <v>7.9</v>
      </c>
      <c r="DY46" s="4"/>
      <c r="DZ46" s="4"/>
      <c r="EA46" s="4"/>
      <c r="EB46" s="4">
        <v>8.3000000000000007</v>
      </c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>
        <v>8.27</v>
      </c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>
        <v>4.78</v>
      </c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>
        <v>6.29</v>
      </c>
      <c r="HH46" s="4"/>
      <c r="HI46" s="4"/>
      <c r="HJ46" s="4"/>
    </row>
    <row r="47" spans="1:218" hidden="1">
      <c r="A47" t="s">
        <v>603</v>
      </c>
      <c r="B47" t="s">
        <v>604</v>
      </c>
      <c r="C47" t="s">
        <v>443</v>
      </c>
      <c r="D47" t="s">
        <v>605</v>
      </c>
      <c r="E47" t="s">
        <v>606</v>
      </c>
      <c r="F47" s="3">
        <v>8</v>
      </c>
      <c r="G47" s="12">
        <f t="shared" si="0"/>
        <v>5.8</v>
      </c>
      <c r="H47" s="12">
        <f t="shared" si="1"/>
        <v>5.69</v>
      </c>
      <c r="I47" s="3">
        <v>34.004319799999998</v>
      </c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>
        <v>4.05</v>
      </c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>
        <v>0.99</v>
      </c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>
        <v>5.69</v>
      </c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>
        <v>5.8</v>
      </c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>
        <v>1.76</v>
      </c>
      <c r="GA47" s="4"/>
      <c r="GB47" s="4"/>
      <c r="GC47" s="4"/>
      <c r="GD47" s="4"/>
      <c r="GE47" s="4"/>
      <c r="GF47" s="4"/>
      <c r="GG47" s="4">
        <v>4.72</v>
      </c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>
        <v>5.41</v>
      </c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>
        <v>5.59</v>
      </c>
    </row>
    <row r="48" spans="1:218" hidden="1">
      <c r="A48" t="s">
        <v>616</v>
      </c>
      <c r="B48" t="s">
        <v>617</v>
      </c>
      <c r="C48" t="s">
        <v>618</v>
      </c>
      <c r="D48" t="s">
        <v>619</v>
      </c>
      <c r="E48" t="s">
        <v>620</v>
      </c>
      <c r="F48" s="3">
        <v>8</v>
      </c>
      <c r="G48" s="12">
        <f t="shared" si="0"/>
        <v>5.65</v>
      </c>
      <c r="H48" s="12">
        <f t="shared" si="1"/>
        <v>4.3</v>
      </c>
      <c r="I48" s="3">
        <v>29.0163297</v>
      </c>
      <c r="K48" s="4"/>
      <c r="L48" s="4"/>
      <c r="M48" s="4"/>
      <c r="N48" s="4"/>
      <c r="O48" s="4"/>
      <c r="P48" s="4"/>
      <c r="Q48" s="4"/>
      <c r="R48" s="4"/>
      <c r="S48" s="4"/>
      <c r="T48" s="4">
        <v>2.94</v>
      </c>
      <c r="U48" s="4"/>
      <c r="V48" s="4"/>
      <c r="W48" s="4"/>
      <c r="X48" s="4">
        <v>4.3</v>
      </c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>
        <v>2.89</v>
      </c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>
        <v>2.09</v>
      </c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>
        <v>3.45</v>
      </c>
      <c r="DL48" s="4">
        <v>3.79</v>
      </c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>
        <v>5.65</v>
      </c>
      <c r="FY48" s="4"/>
      <c r="FZ48" s="4"/>
      <c r="GA48" s="4"/>
      <c r="GB48" s="4"/>
      <c r="GC48" s="4"/>
      <c r="GD48" s="4">
        <v>3.9</v>
      </c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</row>
    <row r="49" spans="1:218" hidden="1">
      <c r="A49" t="s">
        <v>607</v>
      </c>
      <c r="B49" t="s">
        <v>608</v>
      </c>
      <c r="C49" t="s">
        <v>489</v>
      </c>
      <c r="D49" t="s">
        <v>490</v>
      </c>
      <c r="E49" t="s">
        <v>490</v>
      </c>
      <c r="F49" s="3">
        <v>8</v>
      </c>
      <c r="G49" s="12">
        <f t="shared" si="0"/>
        <v>6.34</v>
      </c>
      <c r="H49" s="12">
        <f t="shared" si="1"/>
        <v>6.24</v>
      </c>
      <c r="I49" s="3">
        <v>33.663689499999997</v>
      </c>
      <c r="K49" s="4">
        <v>2.4700000000000002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>
        <v>6.34</v>
      </c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>
        <v>3.81</v>
      </c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>
        <v>4.93</v>
      </c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>
        <v>6.24</v>
      </c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>
        <v>1.87</v>
      </c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>
        <v>4.54</v>
      </c>
      <c r="HA49" s="4"/>
      <c r="HB49" s="4"/>
      <c r="HC49" s="4"/>
      <c r="HD49" s="4">
        <v>3.45</v>
      </c>
      <c r="HE49" s="4"/>
      <c r="HF49" s="4"/>
      <c r="HG49" s="4"/>
      <c r="HH49" s="4"/>
      <c r="HI49" s="4"/>
      <c r="HJ49" s="4"/>
    </row>
    <row r="50" spans="1:218" hidden="1">
      <c r="A50" t="s">
        <v>597</v>
      </c>
      <c r="B50" t="s">
        <v>598</v>
      </c>
      <c r="C50" t="s">
        <v>489</v>
      </c>
      <c r="D50" t="s">
        <v>490</v>
      </c>
      <c r="E50" t="s">
        <v>490</v>
      </c>
      <c r="F50" s="3">
        <v>8</v>
      </c>
      <c r="G50" s="12">
        <f t="shared" si="0"/>
        <v>9.41</v>
      </c>
      <c r="H50" s="12">
        <f t="shared" si="1"/>
        <v>6.76</v>
      </c>
      <c r="I50" s="3">
        <v>46.079999800000003</v>
      </c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>
        <v>5.3</v>
      </c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>
        <v>4.99</v>
      </c>
      <c r="EA50" s="4"/>
      <c r="EB50" s="4"/>
      <c r="EC50" s="4">
        <v>9.41</v>
      </c>
      <c r="ED50" s="4"/>
      <c r="EE50" s="4"/>
      <c r="EF50" s="4"/>
      <c r="EG50" s="4">
        <v>4.07</v>
      </c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>
        <v>6.76</v>
      </c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>
        <v>5.05</v>
      </c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>
        <v>5.65</v>
      </c>
      <c r="GG50" s="4"/>
      <c r="GH50" s="4"/>
      <c r="GI50" s="4"/>
      <c r="GJ50" s="4"/>
      <c r="GK50" s="4"/>
      <c r="GL50" s="4">
        <v>4.8600000000000003</v>
      </c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</row>
    <row r="51" spans="1:218" hidden="1">
      <c r="A51" t="s">
        <v>609</v>
      </c>
      <c r="B51" t="s">
        <v>610</v>
      </c>
      <c r="C51" t="s">
        <v>489</v>
      </c>
      <c r="D51" t="s">
        <v>490</v>
      </c>
      <c r="E51" t="s">
        <v>490</v>
      </c>
      <c r="F51" s="3">
        <v>8</v>
      </c>
      <c r="G51" s="12">
        <f t="shared" si="0"/>
        <v>8.15</v>
      </c>
      <c r="H51" s="12">
        <f t="shared" si="1"/>
        <v>5.34</v>
      </c>
      <c r="I51" s="3">
        <v>31.568740200000001</v>
      </c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>
        <v>5.34</v>
      </c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>
        <v>1.57</v>
      </c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>
        <v>4.5</v>
      </c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>
        <v>2.0699999999999998</v>
      </c>
      <c r="EG51" s="4">
        <v>5.16</v>
      </c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>
        <v>8.15</v>
      </c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>
        <v>1.89</v>
      </c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>
        <v>2.89</v>
      </c>
      <c r="HH51" s="4"/>
      <c r="HI51" s="4"/>
      <c r="HJ51" s="4"/>
    </row>
    <row r="52" spans="1:218" hidden="1">
      <c r="A52" t="s">
        <v>658</v>
      </c>
      <c r="B52" t="s">
        <v>659</v>
      </c>
      <c r="C52" t="s">
        <v>443</v>
      </c>
      <c r="D52" t="s">
        <v>660</v>
      </c>
      <c r="E52" t="s">
        <v>661</v>
      </c>
      <c r="F52" s="3">
        <v>7</v>
      </c>
      <c r="G52" s="12">
        <f t="shared" si="0"/>
        <v>6.46</v>
      </c>
      <c r="H52" s="12">
        <f t="shared" si="1"/>
        <v>6.32</v>
      </c>
      <c r="I52" s="3">
        <v>31.502230000000001</v>
      </c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>
        <v>6.46</v>
      </c>
      <c r="AK52" s="4"/>
      <c r="AL52" s="4"/>
      <c r="AM52" s="4"/>
      <c r="AN52" s="4"/>
      <c r="AO52" s="4"/>
      <c r="AP52" s="4"/>
      <c r="AQ52" s="4"/>
      <c r="AR52" s="4">
        <v>3.39</v>
      </c>
      <c r="AS52" s="4"/>
      <c r="AT52" s="4">
        <v>4.92</v>
      </c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>
        <v>6.32</v>
      </c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>
        <v>4.54</v>
      </c>
      <c r="EW52" s="4"/>
      <c r="EX52" s="4"/>
      <c r="EY52" s="4"/>
      <c r="EZ52" s="4"/>
      <c r="FA52" s="4"/>
      <c r="FB52" s="4"/>
      <c r="FC52" s="4">
        <v>1.32</v>
      </c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>
        <v>4.55</v>
      </c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</row>
    <row r="53" spans="1:218" hidden="1">
      <c r="A53" t="s">
        <v>650</v>
      </c>
      <c r="B53" t="s">
        <v>651</v>
      </c>
      <c r="C53" t="s">
        <v>618</v>
      </c>
      <c r="D53" t="s">
        <v>652</v>
      </c>
      <c r="E53" t="s">
        <v>653</v>
      </c>
      <c r="F53" s="3">
        <v>7</v>
      </c>
      <c r="G53" s="12">
        <f t="shared" si="0"/>
        <v>8.9499999999999993</v>
      </c>
      <c r="H53" s="12">
        <f t="shared" si="1"/>
        <v>8.24</v>
      </c>
      <c r="I53" s="3">
        <v>39.341049299999987</v>
      </c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>
        <v>8.9499999999999993</v>
      </c>
      <c r="AL53" s="4"/>
      <c r="AM53" s="4"/>
      <c r="AN53" s="4"/>
      <c r="AO53" s="4"/>
      <c r="AP53" s="4">
        <v>8.24</v>
      </c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>
        <v>3.44</v>
      </c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>
        <v>5.81</v>
      </c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>
        <v>3.39</v>
      </c>
      <c r="FM53" s="4">
        <v>3.06</v>
      </c>
      <c r="FN53" s="4"/>
      <c r="FO53" s="4"/>
      <c r="FP53" s="4">
        <v>6.44</v>
      </c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</row>
    <row r="54" spans="1:218" hidden="1">
      <c r="A54" t="s">
        <v>646</v>
      </c>
      <c r="B54" t="s">
        <v>647</v>
      </c>
      <c r="C54" t="s">
        <v>443</v>
      </c>
      <c r="D54" t="s">
        <v>648</v>
      </c>
      <c r="E54" t="s">
        <v>649</v>
      </c>
      <c r="F54" s="3">
        <v>7</v>
      </c>
      <c r="G54" s="12">
        <f t="shared" si="0"/>
        <v>8.8000000000000007</v>
      </c>
      <c r="H54" s="12">
        <f t="shared" si="1"/>
        <v>7.91</v>
      </c>
      <c r="I54" s="3">
        <v>40.787559999999999</v>
      </c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>
        <v>3.79</v>
      </c>
      <c r="AM54" s="4"/>
      <c r="AN54" s="4"/>
      <c r="AO54" s="4"/>
      <c r="AP54" s="4"/>
      <c r="AQ54" s="4"/>
      <c r="AR54" s="4"/>
      <c r="AS54" s="4"/>
      <c r="AT54" s="4"/>
      <c r="AU54" s="4"/>
      <c r="AV54" s="4">
        <v>5.45</v>
      </c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>
        <v>8.8000000000000007</v>
      </c>
      <c r="DX54" s="4">
        <v>4.49</v>
      </c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>
        <v>7.91</v>
      </c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>
        <v>4.29</v>
      </c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>
        <v>6.05</v>
      </c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</row>
    <row r="55" spans="1:218" hidden="1">
      <c r="A55" t="s">
        <v>666</v>
      </c>
      <c r="B55" t="s">
        <v>667</v>
      </c>
      <c r="C55" t="s">
        <v>613</v>
      </c>
      <c r="D55" t="s">
        <v>668</v>
      </c>
      <c r="E55" t="s">
        <v>669</v>
      </c>
      <c r="F55" s="3">
        <v>7</v>
      </c>
      <c r="G55" s="12">
        <f t="shared" si="0"/>
        <v>4.6900000000000004</v>
      </c>
      <c r="H55" s="12">
        <f t="shared" si="1"/>
        <v>4.67</v>
      </c>
      <c r="I55" s="3">
        <v>28.71508</v>
      </c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>
        <v>4.67</v>
      </c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>
        <v>3.85</v>
      </c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>
        <v>2.3199999999999998</v>
      </c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>
        <v>4.6900000000000004</v>
      </c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>
        <v>3.96</v>
      </c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>
        <v>4.67</v>
      </c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>
        <v>4.5599999999999996</v>
      </c>
      <c r="HG55" s="4"/>
      <c r="HH55" s="4"/>
      <c r="HI55" s="4"/>
      <c r="HJ55" s="4"/>
    </row>
    <row r="56" spans="1:218" hidden="1">
      <c r="A56" t="s">
        <v>674</v>
      </c>
      <c r="B56" t="s">
        <v>675</v>
      </c>
      <c r="C56" t="s">
        <v>505</v>
      </c>
      <c r="D56" t="s">
        <v>676</v>
      </c>
      <c r="E56" t="s">
        <v>677</v>
      </c>
      <c r="F56" s="3">
        <v>7</v>
      </c>
      <c r="G56" s="12">
        <f t="shared" si="0"/>
        <v>4.74</v>
      </c>
      <c r="H56" s="12">
        <f t="shared" si="1"/>
        <v>4.2699999999999996</v>
      </c>
      <c r="I56" s="3">
        <v>23.940270000000002</v>
      </c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>
        <v>3.4</v>
      </c>
      <c r="AA56" s="4"/>
      <c r="AB56" s="4">
        <v>4.74</v>
      </c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>
        <v>4.2699999999999996</v>
      </c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>
        <v>3.77</v>
      </c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>
        <v>3.36</v>
      </c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>
        <v>1.86</v>
      </c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>
        <v>2.5299999999999998</v>
      </c>
      <c r="HH56" s="4"/>
      <c r="HI56" s="4"/>
      <c r="HJ56" s="4"/>
    </row>
    <row r="57" spans="1:218" hidden="1">
      <c r="A57" t="s">
        <v>634</v>
      </c>
      <c r="B57" t="s">
        <v>635</v>
      </c>
      <c r="C57" t="s">
        <v>590</v>
      </c>
      <c r="D57" t="s">
        <v>636</v>
      </c>
      <c r="E57" t="s">
        <v>637</v>
      </c>
      <c r="F57" s="3">
        <v>7</v>
      </c>
      <c r="G57" s="12">
        <f t="shared" si="0"/>
        <v>9</v>
      </c>
      <c r="H57" s="12">
        <f t="shared" si="1"/>
        <v>8.34</v>
      </c>
      <c r="I57" s="3">
        <v>46.259279200000002</v>
      </c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>
        <v>6.01</v>
      </c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>
        <v>8.34</v>
      </c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>
        <v>4.07</v>
      </c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>
        <v>4.05</v>
      </c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>
        <v>9</v>
      </c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>
        <v>7.9</v>
      </c>
      <c r="GM57" s="4">
        <v>6.9</v>
      </c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</row>
    <row r="58" spans="1:218" hidden="1">
      <c r="A58" t="s">
        <v>638</v>
      </c>
      <c r="B58" t="s">
        <v>639</v>
      </c>
      <c r="C58" t="s">
        <v>505</v>
      </c>
      <c r="D58" t="s">
        <v>640</v>
      </c>
      <c r="E58" t="s">
        <v>641</v>
      </c>
      <c r="F58" s="3">
        <v>7</v>
      </c>
      <c r="G58" s="12">
        <f t="shared" si="0"/>
        <v>7.94</v>
      </c>
      <c r="H58" s="12">
        <f t="shared" si="1"/>
        <v>7.84</v>
      </c>
      <c r="I58" s="3">
        <v>46.017029699999988</v>
      </c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>
        <v>7.38</v>
      </c>
      <c r="BL58" s="4"/>
      <c r="BM58" s="4">
        <v>7.94</v>
      </c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>
        <v>4.4800000000000004</v>
      </c>
      <c r="EA58" s="4"/>
      <c r="EB58" s="4"/>
      <c r="EC58" s="4">
        <v>7.52</v>
      </c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>
        <v>7.22</v>
      </c>
      <c r="GG58" s="4"/>
      <c r="GH58" s="4"/>
      <c r="GI58" s="4"/>
      <c r="GJ58" s="4"/>
      <c r="GK58" s="4"/>
      <c r="GL58" s="4">
        <v>7.84</v>
      </c>
      <c r="GM58" s="4">
        <v>3.62</v>
      </c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</row>
    <row r="59" spans="1:218" hidden="1">
      <c r="A59" t="s">
        <v>642</v>
      </c>
      <c r="B59" t="s">
        <v>643</v>
      </c>
      <c r="C59" t="s">
        <v>443</v>
      </c>
      <c r="D59" t="s">
        <v>644</v>
      </c>
      <c r="E59" t="s">
        <v>645</v>
      </c>
      <c r="F59" s="3">
        <v>7</v>
      </c>
      <c r="G59" s="12">
        <f t="shared" si="0"/>
        <v>11.74</v>
      </c>
      <c r="H59" s="12">
        <f t="shared" si="1"/>
        <v>9.5500000000000007</v>
      </c>
      <c r="I59" s="3">
        <v>45.146330000000013</v>
      </c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>
        <v>1.27</v>
      </c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>
        <v>9.5500000000000007</v>
      </c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>
        <v>3.42</v>
      </c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>
        <v>7.71</v>
      </c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>
        <v>11.74</v>
      </c>
      <c r="GB59" s="4"/>
      <c r="GC59" s="4"/>
      <c r="GD59" s="4"/>
      <c r="GE59" s="4"/>
      <c r="GF59" s="4"/>
      <c r="GG59" s="4"/>
      <c r="GH59" s="4">
        <v>2.93</v>
      </c>
      <c r="GI59" s="4"/>
      <c r="GJ59" s="4"/>
      <c r="GK59" s="4"/>
      <c r="GL59" s="4"/>
      <c r="GM59" s="4"/>
      <c r="GN59" s="4"/>
      <c r="GO59" s="4">
        <v>8.52</v>
      </c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</row>
    <row r="60" spans="1:218" hidden="1">
      <c r="A60" t="s">
        <v>621</v>
      </c>
      <c r="B60" t="s">
        <v>622</v>
      </c>
      <c r="C60" t="s">
        <v>623</v>
      </c>
      <c r="D60" t="s">
        <v>624</v>
      </c>
      <c r="E60" t="s">
        <v>625</v>
      </c>
      <c r="F60" s="3">
        <v>7</v>
      </c>
      <c r="G60" s="12">
        <f t="shared" si="0"/>
        <v>19.43</v>
      </c>
      <c r="H60" s="12">
        <f t="shared" si="1"/>
        <v>14.87</v>
      </c>
      <c r="I60" s="3">
        <v>79.375139400000009</v>
      </c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>
        <v>14.87</v>
      </c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>
        <v>19.43</v>
      </c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>
        <v>7.39</v>
      </c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>
        <v>4.84</v>
      </c>
      <c r="FJ60" s="4"/>
      <c r="FK60" s="4">
        <v>3.91</v>
      </c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>
        <v>14.78</v>
      </c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>
        <v>14.15</v>
      </c>
      <c r="HG60" s="4"/>
      <c r="HH60" s="4"/>
      <c r="HI60" s="4"/>
      <c r="HJ60" s="4"/>
    </row>
    <row r="61" spans="1:218" hidden="1">
      <c r="A61" t="s">
        <v>662</v>
      </c>
      <c r="B61" t="s">
        <v>663</v>
      </c>
      <c r="C61" t="s">
        <v>505</v>
      </c>
      <c r="D61" t="s">
        <v>664</v>
      </c>
      <c r="E61" t="s">
        <v>665</v>
      </c>
      <c r="F61" s="3">
        <v>7</v>
      </c>
      <c r="G61" s="12">
        <f t="shared" si="0"/>
        <v>6.35</v>
      </c>
      <c r="H61" s="12">
        <f t="shared" si="1"/>
        <v>5.51</v>
      </c>
      <c r="I61" s="3">
        <v>29.7620507</v>
      </c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>
        <v>3.66</v>
      </c>
      <c r="BY61" s="4"/>
      <c r="BZ61" s="4"/>
      <c r="CA61" s="4"/>
      <c r="CB61" s="4"/>
      <c r="CC61" s="4"/>
      <c r="CD61" s="4">
        <v>4.54</v>
      </c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>
        <v>4.83</v>
      </c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>
        <v>1.32</v>
      </c>
      <c r="FD61" s="4"/>
      <c r="FE61" s="4"/>
      <c r="FF61" s="4"/>
      <c r="FG61" s="4"/>
      <c r="FH61" s="4"/>
      <c r="FI61" s="4"/>
      <c r="FJ61" s="4"/>
      <c r="FK61" s="4">
        <v>5.51</v>
      </c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>
        <v>3.56</v>
      </c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>
        <v>6.35</v>
      </c>
      <c r="HG61" s="4"/>
      <c r="HH61" s="4"/>
      <c r="HI61" s="4"/>
      <c r="HJ61" s="4"/>
    </row>
    <row r="62" spans="1:218" hidden="1">
      <c r="A62" t="s">
        <v>630</v>
      </c>
      <c r="B62" t="s">
        <v>631</v>
      </c>
      <c r="C62" t="s">
        <v>505</v>
      </c>
      <c r="D62" t="s">
        <v>632</v>
      </c>
      <c r="E62" t="s">
        <v>633</v>
      </c>
      <c r="F62" s="3">
        <v>7</v>
      </c>
      <c r="G62" s="12">
        <f t="shared" si="0"/>
        <v>11.97</v>
      </c>
      <c r="H62" s="12">
        <f t="shared" si="1"/>
        <v>9.44</v>
      </c>
      <c r="I62" s="3">
        <v>49.067819999999998</v>
      </c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>
        <v>4.92</v>
      </c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>
        <v>1.87</v>
      </c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>
        <v>5.77</v>
      </c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>
        <v>11.97</v>
      </c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>
        <v>8.35</v>
      </c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>
        <v>6.75</v>
      </c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>
        <v>9.44</v>
      </c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</row>
    <row r="63" spans="1:218" hidden="1">
      <c r="A63" t="s">
        <v>654</v>
      </c>
      <c r="B63" t="s">
        <v>655</v>
      </c>
      <c r="C63" t="s">
        <v>505</v>
      </c>
      <c r="D63" t="s">
        <v>656</v>
      </c>
      <c r="E63" t="s">
        <v>657</v>
      </c>
      <c r="F63" s="3">
        <v>7</v>
      </c>
      <c r="G63" s="12">
        <f t="shared" si="0"/>
        <v>5.67</v>
      </c>
      <c r="H63" s="12">
        <f t="shared" si="1"/>
        <v>5.67</v>
      </c>
      <c r="I63" s="3">
        <v>32.945100199999999</v>
      </c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>
        <v>4.9400000000000004</v>
      </c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>
        <v>4.5999999999999996</v>
      </c>
      <c r="CM63" s="4">
        <v>4.93</v>
      </c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>
        <v>5.67</v>
      </c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>
        <v>5.67</v>
      </c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>
        <v>5.1100000000000003</v>
      </c>
      <c r="GW63" s="4">
        <v>2.0299999999999998</v>
      </c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</row>
    <row r="64" spans="1:218" hidden="1">
      <c r="A64" t="s">
        <v>626</v>
      </c>
      <c r="B64" t="s">
        <v>627</v>
      </c>
      <c r="C64" t="s">
        <v>484</v>
      </c>
      <c r="D64" t="s">
        <v>628</v>
      </c>
      <c r="E64" t="s">
        <v>629</v>
      </c>
      <c r="F64" s="3">
        <v>7</v>
      </c>
      <c r="G64" s="12">
        <f t="shared" si="0"/>
        <v>16.34</v>
      </c>
      <c r="H64" s="12">
        <f t="shared" si="1"/>
        <v>8.14</v>
      </c>
      <c r="I64" s="3">
        <v>52.917191799999998</v>
      </c>
      <c r="K64" s="4"/>
      <c r="L64" s="4"/>
      <c r="M64" s="4"/>
      <c r="N64" s="4"/>
      <c r="O64" s="4"/>
      <c r="P64" s="4">
        <v>4.79</v>
      </c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>
        <v>4.04</v>
      </c>
      <c r="AO64" s="4"/>
      <c r="AP64" s="4"/>
      <c r="AQ64" s="4"/>
      <c r="AR64" s="4"/>
      <c r="AS64" s="4"/>
      <c r="AT64" s="4"/>
      <c r="AU64" s="4"/>
      <c r="AV64" s="4"/>
      <c r="AW64" s="4"/>
      <c r="AX64" s="4">
        <v>16.34</v>
      </c>
      <c r="AY64" s="4"/>
      <c r="AZ64" s="4"/>
      <c r="BA64" s="4"/>
      <c r="BB64" s="4"/>
      <c r="BC64" s="4"/>
      <c r="BD64" s="4"/>
      <c r="BE64" s="4"/>
      <c r="BF64" s="4">
        <v>8.14</v>
      </c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>
        <v>7.86</v>
      </c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>
        <v>4.55</v>
      </c>
      <c r="HB64" s="4">
        <v>7.19</v>
      </c>
      <c r="HC64" s="4"/>
      <c r="HD64" s="4"/>
      <c r="HE64" s="4"/>
      <c r="HF64" s="4"/>
      <c r="HG64" s="4"/>
      <c r="HH64" s="4"/>
      <c r="HI64" s="4"/>
      <c r="HJ64" s="4"/>
    </row>
    <row r="65" spans="1:218" hidden="1">
      <c r="A65" t="s">
        <v>672</v>
      </c>
      <c r="B65" t="s">
        <v>673</v>
      </c>
      <c r="C65" t="s">
        <v>489</v>
      </c>
      <c r="D65" t="s">
        <v>490</v>
      </c>
      <c r="E65" t="s">
        <v>490</v>
      </c>
      <c r="F65" s="3">
        <v>7</v>
      </c>
      <c r="G65" s="12">
        <f t="shared" si="0"/>
        <v>5.75</v>
      </c>
      <c r="H65" s="12">
        <f t="shared" si="1"/>
        <v>4.1900000000000004</v>
      </c>
      <c r="I65" s="3">
        <v>26.843589399999999</v>
      </c>
      <c r="K65" s="4"/>
      <c r="L65" s="4"/>
      <c r="M65" s="4"/>
      <c r="N65" s="4"/>
      <c r="O65" s="4"/>
      <c r="P65" s="4"/>
      <c r="Q65" s="4"/>
      <c r="R65" s="4"/>
      <c r="S65" s="4"/>
      <c r="T65" s="4">
        <v>2.83</v>
      </c>
      <c r="U65" s="4"/>
      <c r="V65" s="4"/>
      <c r="W65" s="4"/>
      <c r="X65" s="4"/>
      <c r="Y65" s="4">
        <v>2.97</v>
      </c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>
        <v>4.1900000000000004</v>
      </c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>
        <v>4.04</v>
      </c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>
        <v>3.82</v>
      </c>
      <c r="CY65" s="4"/>
      <c r="CZ65" s="4"/>
      <c r="DA65" s="4"/>
      <c r="DB65" s="4"/>
      <c r="DC65" s="4"/>
      <c r="DD65" s="4">
        <v>3.24</v>
      </c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>
        <v>5.75</v>
      </c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</row>
    <row r="66" spans="1:218" hidden="1">
      <c r="A66" t="s">
        <v>670</v>
      </c>
      <c r="B66" t="s">
        <v>671</v>
      </c>
      <c r="C66" t="s">
        <v>489</v>
      </c>
      <c r="D66" t="s">
        <v>490</v>
      </c>
      <c r="E66" t="s">
        <v>490</v>
      </c>
      <c r="F66" s="3">
        <v>7</v>
      </c>
      <c r="G66" s="12">
        <f t="shared" si="0"/>
        <v>4.67</v>
      </c>
      <c r="H66" s="12">
        <f t="shared" si="1"/>
        <v>4.6500000000000004</v>
      </c>
      <c r="I66" s="3">
        <v>28.400259500000001</v>
      </c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>
        <v>4.21</v>
      </c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>
        <v>3.44</v>
      </c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>
        <v>4.67</v>
      </c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>
        <v>4.2699999999999996</v>
      </c>
      <c r="FQ66" s="4"/>
      <c r="FR66" s="4"/>
      <c r="FS66" s="4">
        <v>4.6500000000000004</v>
      </c>
      <c r="FT66" s="4"/>
      <c r="FU66" s="4"/>
      <c r="FV66" s="4">
        <v>3.62</v>
      </c>
      <c r="FW66" s="4">
        <v>3.56</v>
      </c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</row>
    <row r="67" spans="1:218" hidden="1">
      <c r="A67" t="s">
        <v>688</v>
      </c>
      <c r="B67" t="s">
        <v>689</v>
      </c>
      <c r="C67" t="s">
        <v>623</v>
      </c>
      <c r="D67" t="s">
        <v>690</v>
      </c>
      <c r="E67" t="s">
        <v>691</v>
      </c>
      <c r="F67" s="3">
        <v>6</v>
      </c>
      <c r="G67" s="12">
        <f t="shared" si="0"/>
        <v>8.14</v>
      </c>
      <c r="H67" s="12">
        <f t="shared" si="1"/>
        <v>6.45</v>
      </c>
      <c r="I67" s="3">
        <v>33.262430700000003</v>
      </c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>
        <v>4.17</v>
      </c>
      <c r="AO67" s="4"/>
      <c r="AP67" s="4">
        <v>6.08</v>
      </c>
      <c r="AQ67" s="4">
        <v>6.45</v>
      </c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>
        <v>6.26</v>
      </c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>
        <v>2.15</v>
      </c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>
        <v>8.14</v>
      </c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</row>
    <row r="68" spans="1:218" hidden="1">
      <c r="A68" t="s">
        <v>678</v>
      </c>
      <c r="B68" t="s">
        <v>679</v>
      </c>
      <c r="C68" t="s">
        <v>443</v>
      </c>
      <c r="D68" t="s">
        <v>680</v>
      </c>
      <c r="E68" t="s">
        <v>681</v>
      </c>
      <c r="F68" s="3">
        <v>6</v>
      </c>
      <c r="G68" s="12">
        <f t="shared" si="0"/>
        <v>9.9</v>
      </c>
      <c r="H68" s="12">
        <f t="shared" si="1"/>
        <v>8.1999999999999993</v>
      </c>
      <c r="I68" s="3">
        <v>37.365690500000007</v>
      </c>
      <c r="K68" s="4"/>
      <c r="L68" s="4"/>
      <c r="M68" s="4"/>
      <c r="N68" s="4">
        <v>8.1999999999999993</v>
      </c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>
        <v>3.79</v>
      </c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>
        <v>7.61</v>
      </c>
      <c r="FU68" s="4"/>
      <c r="FV68" s="4"/>
      <c r="FW68" s="4"/>
      <c r="FX68" s="4"/>
      <c r="FY68" s="4"/>
      <c r="FZ68" s="4"/>
      <c r="GA68" s="4"/>
      <c r="GB68" s="4"/>
      <c r="GC68" s="4"/>
      <c r="GD68" s="4">
        <v>3.78</v>
      </c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>
        <v>9.9</v>
      </c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>
        <v>4.09</v>
      </c>
      <c r="HJ68" s="4"/>
    </row>
    <row r="69" spans="1:218" hidden="1">
      <c r="A69" t="s">
        <v>704</v>
      </c>
      <c r="B69" t="s">
        <v>705</v>
      </c>
      <c r="C69" t="s">
        <v>443</v>
      </c>
      <c r="D69" t="s">
        <v>706</v>
      </c>
      <c r="E69" t="s">
        <v>707</v>
      </c>
      <c r="F69" s="3">
        <v>6</v>
      </c>
      <c r="G69" s="12">
        <f t="shared" si="0"/>
        <v>4.53</v>
      </c>
      <c r="H69" s="12">
        <f t="shared" si="1"/>
        <v>4.5199999999999996</v>
      </c>
      <c r="I69" s="3">
        <v>24.149969299999999</v>
      </c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>
        <v>2.89</v>
      </c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>
        <v>4.5199999999999996</v>
      </c>
      <c r="CM69" s="4">
        <v>4.53</v>
      </c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>
        <v>4.34</v>
      </c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>
        <v>4.33</v>
      </c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>
        <v>3.54</v>
      </c>
    </row>
    <row r="70" spans="1:218" hidden="1">
      <c r="A70" t="s">
        <v>692</v>
      </c>
      <c r="B70" t="s">
        <v>693</v>
      </c>
      <c r="C70" t="s">
        <v>505</v>
      </c>
      <c r="D70" t="s">
        <v>694</v>
      </c>
      <c r="E70" t="s">
        <v>695</v>
      </c>
      <c r="F70" s="3">
        <v>6</v>
      </c>
      <c r="G70" s="12">
        <f t="shared" si="0"/>
        <v>7.69</v>
      </c>
      <c r="H70" s="12">
        <f t="shared" si="1"/>
        <v>6.9</v>
      </c>
      <c r="I70" s="3">
        <v>33.028740399999997</v>
      </c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>
        <v>6.9</v>
      </c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>
        <v>5.05</v>
      </c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>
        <v>3.89</v>
      </c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>
        <v>4.3</v>
      </c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>
        <v>7.69</v>
      </c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>
        <v>5.19</v>
      </c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</row>
    <row r="71" spans="1:218" hidden="1">
      <c r="A71" t="s">
        <v>708</v>
      </c>
      <c r="B71" t="s">
        <v>709</v>
      </c>
      <c r="C71" t="s">
        <v>443</v>
      </c>
      <c r="D71" t="s">
        <v>710</v>
      </c>
      <c r="E71" t="s">
        <v>711</v>
      </c>
      <c r="F71" s="3">
        <v>6</v>
      </c>
      <c r="G71" s="12">
        <f t="shared" ref="G71:G134" si="2">LARGE($J71:$HJ71,1)</f>
        <v>6.6</v>
      </c>
      <c r="H71" s="12">
        <f t="shared" ref="H71:H134" si="3">LARGE($J71:$HJ71,2)</f>
        <v>4.59</v>
      </c>
      <c r="I71" s="3">
        <v>23.99813</v>
      </c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>
        <v>4.22</v>
      </c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>
        <v>3.66</v>
      </c>
      <c r="DW71" s="4"/>
      <c r="DX71" s="4"/>
      <c r="DY71" s="4"/>
      <c r="DZ71" s="4"/>
      <c r="EA71" s="4"/>
      <c r="EB71" s="4">
        <v>6.6</v>
      </c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>
        <v>4.59</v>
      </c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>
        <v>2.14</v>
      </c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>
        <v>2.8</v>
      </c>
      <c r="HH71" s="4"/>
      <c r="HI71" s="4"/>
      <c r="HJ71" s="4"/>
    </row>
    <row r="72" spans="1:218" hidden="1">
      <c r="A72" t="s">
        <v>712</v>
      </c>
      <c r="B72" t="s">
        <v>713</v>
      </c>
      <c r="C72" t="s">
        <v>443</v>
      </c>
      <c r="D72" t="s">
        <v>714</v>
      </c>
      <c r="E72" t="s">
        <v>715</v>
      </c>
      <c r="F72" s="3">
        <v>6</v>
      </c>
      <c r="G72" s="12">
        <f t="shared" si="2"/>
        <v>5.45</v>
      </c>
      <c r="H72" s="12">
        <f t="shared" si="3"/>
        <v>4.16</v>
      </c>
      <c r="I72" s="3">
        <v>23.639190200000002</v>
      </c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>
        <v>5.45</v>
      </c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>
        <v>2.86</v>
      </c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>
        <v>4.16</v>
      </c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>
        <v>4.04</v>
      </c>
      <c r="FQ72" s="4"/>
      <c r="FR72" s="4"/>
      <c r="FS72" s="4">
        <v>3.96</v>
      </c>
      <c r="FT72" s="4"/>
      <c r="FU72" s="4"/>
      <c r="FV72" s="4">
        <v>3.16</v>
      </c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</row>
    <row r="73" spans="1:218" hidden="1">
      <c r="A73" t="s">
        <v>716</v>
      </c>
      <c r="B73" t="s">
        <v>717</v>
      </c>
      <c r="C73" t="s">
        <v>505</v>
      </c>
      <c r="D73" t="s">
        <v>718</v>
      </c>
      <c r="E73" t="s">
        <v>719</v>
      </c>
      <c r="F73" s="3">
        <v>6</v>
      </c>
      <c r="G73" s="12">
        <f t="shared" si="2"/>
        <v>4.8</v>
      </c>
      <c r="H73" s="12">
        <f t="shared" si="3"/>
        <v>4.78</v>
      </c>
      <c r="I73" s="3">
        <v>23.1329593</v>
      </c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>
        <v>3.36</v>
      </c>
      <c r="AG73" s="4">
        <v>3.75</v>
      </c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>
        <v>4.8</v>
      </c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>
        <v>4.78</v>
      </c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>
        <v>2.4</v>
      </c>
      <c r="EG73" s="4">
        <v>4.03</v>
      </c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</row>
    <row r="74" spans="1:218" hidden="1">
      <c r="A74" t="s">
        <v>698</v>
      </c>
      <c r="B74" t="s">
        <v>699</v>
      </c>
      <c r="C74" t="s">
        <v>505</v>
      </c>
      <c r="D74" t="s">
        <v>700</v>
      </c>
      <c r="E74" t="s">
        <v>701</v>
      </c>
      <c r="F74" s="3">
        <v>6</v>
      </c>
      <c r="G74" s="12">
        <f t="shared" si="2"/>
        <v>7.91</v>
      </c>
      <c r="H74" s="12">
        <f t="shared" si="3"/>
        <v>5.27</v>
      </c>
      <c r="I74" s="3">
        <v>27.103369600000001</v>
      </c>
      <c r="K74" s="4"/>
      <c r="L74" s="4"/>
      <c r="M74" s="4"/>
      <c r="N74" s="4"/>
      <c r="O74" s="4">
        <v>7.91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>
        <v>1.4</v>
      </c>
      <c r="CD74" s="4"/>
      <c r="CE74" s="4"/>
      <c r="CF74" s="4"/>
      <c r="CG74" s="4"/>
      <c r="CH74" s="4">
        <v>4.62</v>
      </c>
      <c r="CI74" s="4"/>
      <c r="CJ74" s="4"/>
      <c r="CK74" s="4"/>
      <c r="CL74" s="4"/>
      <c r="CM74" s="4"/>
      <c r="CN74" s="4"/>
      <c r="CO74" s="4"/>
      <c r="CP74" s="4"/>
      <c r="CQ74" s="4"/>
      <c r="CR74" s="4">
        <v>5.27</v>
      </c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>
        <v>4.34</v>
      </c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>
        <v>3.57</v>
      </c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</row>
    <row r="75" spans="1:218" hidden="1">
      <c r="A75" t="s">
        <v>702</v>
      </c>
      <c r="B75" t="s">
        <v>703</v>
      </c>
      <c r="C75" t="s">
        <v>489</v>
      </c>
      <c r="D75" t="s">
        <v>490</v>
      </c>
      <c r="E75" t="s">
        <v>490</v>
      </c>
      <c r="F75" s="3">
        <v>6</v>
      </c>
      <c r="G75" s="12">
        <f t="shared" si="2"/>
        <v>6.34</v>
      </c>
      <c r="H75" s="12">
        <f t="shared" si="3"/>
        <v>5.34</v>
      </c>
      <c r="I75" s="3">
        <v>25.289489700000001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>
        <v>6.34</v>
      </c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>
        <v>3.78</v>
      </c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>
        <v>4.13</v>
      </c>
      <c r="EY75" s="4"/>
      <c r="EZ75" s="4"/>
      <c r="FA75" s="4"/>
      <c r="FB75" s="4"/>
      <c r="FC75" s="4">
        <v>1.33</v>
      </c>
      <c r="FD75" s="4"/>
      <c r="FE75" s="4"/>
      <c r="FF75" s="4"/>
      <c r="FG75" s="4"/>
      <c r="FH75" s="4"/>
      <c r="FI75" s="4"/>
      <c r="FJ75" s="4"/>
      <c r="FK75" s="4">
        <v>5.34</v>
      </c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>
        <v>4.37</v>
      </c>
      <c r="HG75" s="4"/>
      <c r="HH75" s="4"/>
      <c r="HI75" s="4"/>
      <c r="HJ75" s="4"/>
    </row>
    <row r="76" spans="1:218" hidden="1">
      <c r="A76" t="s">
        <v>682</v>
      </c>
      <c r="B76" t="s">
        <v>683</v>
      </c>
      <c r="C76" t="s">
        <v>585</v>
      </c>
      <c r="D76" t="s">
        <v>684</v>
      </c>
      <c r="E76" t="s">
        <v>685</v>
      </c>
      <c r="F76" s="3">
        <v>6</v>
      </c>
      <c r="G76" s="12">
        <f t="shared" si="2"/>
        <v>15.16</v>
      </c>
      <c r="H76" s="12">
        <f t="shared" si="3"/>
        <v>6.64</v>
      </c>
      <c r="I76" s="3">
        <v>35.578550099999987</v>
      </c>
      <c r="K76" s="4">
        <v>2.62</v>
      </c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>
        <v>3.94</v>
      </c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>
        <v>3.62</v>
      </c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>
        <v>15.16</v>
      </c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>
        <v>3.6</v>
      </c>
      <c r="BR76" s="4"/>
      <c r="BS76" s="4">
        <v>6.64</v>
      </c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</row>
    <row r="77" spans="1:218" hidden="1">
      <c r="A77" t="s">
        <v>686</v>
      </c>
      <c r="B77" t="s">
        <v>687</v>
      </c>
      <c r="C77" t="s">
        <v>489</v>
      </c>
      <c r="D77" t="s">
        <v>490</v>
      </c>
      <c r="E77" t="s">
        <v>490</v>
      </c>
      <c r="F77" s="3">
        <v>6</v>
      </c>
      <c r="G77" s="12">
        <f t="shared" si="2"/>
        <v>9.25</v>
      </c>
      <c r="H77" s="12">
        <f t="shared" si="3"/>
        <v>7.8</v>
      </c>
      <c r="I77" s="3">
        <v>35.348370299999999</v>
      </c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>
        <v>5.21</v>
      </c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>
        <v>9.25</v>
      </c>
      <c r="EA77" s="4"/>
      <c r="EB77" s="4"/>
      <c r="EC77" s="4"/>
      <c r="ED77" s="4"/>
      <c r="EE77" s="4"/>
      <c r="EF77" s="4"/>
      <c r="EG77" s="4">
        <v>3.61</v>
      </c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>
        <v>5.28</v>
      </c>
      <c r="GG77" s="4"/>
      <c r="GH77" s="4"/>
      <c r="GI77" s="4"/>
      <c r="GJ77" s="4"/>
      <c r="GK77" s="4"/>
      <c r="GL77" s="4">
        <v>7.8</v>
      </c>
      <c r="GM77" s="4">
        <v>4.1900000000000004</v>
      </c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</row>
    <row r="78" spans="1:218" hidden="1">
      <c r="A78" t="s">
        <v>696</v>
      </c>
      <c r="B78" t="s">
        <v>697</v>
      </c>
      <c r="C78" t="s">
        <v>489</v>
      </c>
      <c r="D78" t="s">
        <v>490</v>
      </c>
      <c r="E78" t="s">
        <v>490</v>
      </c>
      <c r="F78" s="3">
        <v>6</v>
      </c>
      <c r="G78" s="12">
        <f t="shared" si="2"/>
        <v>7.07</v>
      </c>
      <c r="H78" s="12">
        <f t="shared" si="3"/>
        <v>5.71</v>
      </c>
      <c r="I78" s="3">
        <v>30.206080499999992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>
        <v>4.12</v>
      </c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>
        <v>4.3</v>
      </c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>
        <v>4.3600000000000003</v>
      </c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>
        <v>5.71</v>
      </c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>
        <v>7.07</v>
      </c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>
        <v>4.6500000000000004</v>
      </c>
    </row>
    <row r="79" spans="1:218" hidden="1">
      <c r="A79" t="s">
        <v>809</v>
      </c>
      <c r="B79" t="s">
        <v>810</v>
      </c>
      <c r="C79" t="s">
        <v>505</v>
      </c>
      <c r="D79" t="s">
        <v>811</v>
      </c>
      <c r="E79" t="s">
        <v>812</v>
      </c>
      <c r="F79" s="3">
        <v>5</v>
      </c>
      <c r="G79" s="12">
        <f t="shared" si="2"/>
        <v>4.38</v>
      </c>
      <c r="H79" s="12">
        <f t="shared" si="3"/>
        <v>4.34</v>
      </c>
      <c r="I79" s="3">
        <v>20.416170600000001</v>
      </c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>
        <v>3.97</v>
      </c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>
        <v>4.12</v>
      </c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>
        <v>4.34</v>
      </c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>
        <v>3.61</v>
      </c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>
        <v>4.38</v>
      </c>
      <c r="HG79" s="4"/>
      <c r="HH79" s="4"/>
      <c r="HI79" s="4"/>
      <c r="HJ79" s="4"/>
    </row>
    <row r="80" spans="1:218" hidden="1">
      <c r="A80" t="s">
        <v>728</v>
      </c>
      <c r="B80" t="s">
        <v>729</v>
      </c>
      <c r="C80" t="s">
        <v>505</v>
      </c>
      <c r="D80" t="s">
        <v>730</v>
      </c>
      <c r="E80" t="s">
        <v>731</v>
      </c>
      <c r="F80" s="3">
        <v>5</v>
      </c>
      <c r="G80" s="12">
        <f t="shared" si="2"/>
        <v>14.15</v>
      </c>
      <c r="H80" s="12">
        <f t="shared" si="3"/>
        <v>10.77</v>
      </c>
      <c r="I80" s="3">
        <v>46.7182101</v>
      </c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>
        <v>9.6300000000000008</v>
      </c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>
        <v>4.34</v>
      </c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>
        <v>7.83</v>
      </c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>
        <v>14.15</v>
      </c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>
        <v>10.77</v>
      </c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</row>
    <row r="81" spans="1:218" hidden="1">
      <c r="A81" t="s">
        <v>771</v>
      </c>
      <c r="B81" t="s">
        <v>772</v>
      </c>
      <c r="C81" t="s">
        <v>443</v>
      </c>
      <c r="D81" t="s">
        <v>773</v>
      </c>
      <c r="E81" t="s">
        <v>774</v>
      </c>
      <c r="F81" s="3">
        <v>5</v>
      </c>
      <c r="G81" s="12">
        <f t="shared" si="2"/>
        <v>8.52</v>
      </c>
      <c r="H81" s="12">
        <f t="shared" si="3"/>
        <v>4.45</v>
      </c>
      <c r="I81" s="3">
        <v>24.619749800000001</v>
      </c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>
        <v>8.52</v>
      </c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>
        <v>3.97</v>
      </c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>
        <v>3.88</v>
      </c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>
        <v>3.8</v>
      </c>
      <c r="FQ81" s="4"/>
      <c r="FR81" s="4"/>
      <c r="FS81" s="4"/>
      <c r="FT81" s="4"/>
      <c r="FU81" s="4"/>
      <c r="FV81" s="4"/>
      <c r="FW81" s="4">
        <v>4.45</v>
      </c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</row>
    <row r="82" spans="1:218" hidden="1">
      <c r="A82" t="s">
        <v>815</v>
      </c>
      <c r="B82" t="s">
        <v>816</v>
      </c>
      <c r="C82" t="s">
        <v>505</v>
      </c>
      <c r="D82" t="s">
        <v>817</v>
      </c>
      <c r="E82" t="s">
        <v>818</v>
      </c>
      <c r="F82" s="3">
        <v>5</v>
      </c>
      <c r="G82" s="12">
        <f t="shared" si="2"/>
        <v>4.7699999999999996</v>
      </c>
      <c r="H82" s="12">
        <f t="shared" si="3"/>
        <v>4.49</v>
      </c>
      <c r="I82" s="3">
        <v>18.023910000000001</v>
      </c>
      <c r="K82" s="4"/>
      <c r="L82" s="4"/>
      <c r="M82" s="4">
        <v>4.7699999999999996</v>
      </c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>
        <v>4.49</v>
      </c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>
        <v>2.73</v>
      </c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>
        <v>3.36</v>
      </c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>
        <v>2.68</v>
      </c>
      <c r="HE82" s="4"/>
      <c r="HF82" s="4"/>
      <c r="HG82" s="4"/>
      <c r="HH82" s="4"/>
      <c r="HI82" s="4"/>
      <c r="HJ82" s="4"/>
    </row>
    <row r="83" spans="1:218" hidden="1">
      <c r="A83" t="s">
        <v>761</v>
      </c>
      <c r="B83" t="s">
        <v>762</v>
      </c>
      <c r="C83" t="s">
        <v>505</v>
      </c>
      <c r="D83" t="s">
        <v>763</v>
      </c>
      <c r="E83" t="s">
        <v>764</v>
      </c>
      <c r="F83" s="3">
        <v>5</v>
      </c>
      <c r="G83" s="12">
        <f t="shared" si="2"/>
        <v>6.36</v>
      </c>
      <c r="H83" s="12">
        <f t="shared" si="3"/>
        <v>6.11</v>
      </c>
      <c r="I83" s="3">
        <v>25.869930100000001</v>
      </c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>
        <v>3.47</v>
      </c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>
        <v>6.36</v>
      </c>
      <c r="EA83" s="4"/>
      <c r="EB83" s="4"/>
      <c r="EC83" s="4">
        <v>5.19</v>
      </c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>
        <v>4.75</v>
      </c>
      <c r="GG83" s="4"/>
      <c r="GH83" s="4"/>
      <c r="GI83" s="4"/>
      <c r="GJ83" s="4"/>
      <c r="GK83" s="4"/>
      <c r="GL83" s="4">
        <v>6.11</v>
      </c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</row>
    <row r="84" spans="1:218" hidden="1">
      <c r="A84" t="s">
        <v>724</v>
      </c>
      <c r="B84" t="s">
        <v>725</v>
      </c>
      <c r="C84" t="s">
        <v>505</v>
      </c>
      <c r="D84" t="s">
        <v>726</v>
      </c>
      <c r="E84" t="s">
        <v>727</v>
      </c>
      <c r="F84" s="3">
        <v>5</v>
      </c>
      <c r="G84" s="12">
        <f t="shared" si="2"/>
        <v>16.72</v>
      </c>
      <c r="H84" s="12">
        <f t="shared" si="3"/>
        <v>14.55</v>
      </c>
      <c r="I84" s="3">
        <v>46.820129999999999</v>
      </c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>
        <v>14.55</v>
      </c>
      <c r="BX84" s="4"/>
      <c r="BY84" s="4"/>
      <c r="BZ84" s="4"/>
      <c r="CA84" s="4"/>
      <c r="CB84" s="4">
        <v>7.35</v>
      </c>
      <c r="CC84" s="4"/>
      <c r="CD84" s="4"/>
      <c r="CE84" s="4"/>
      <c r="CF84" s="4"/>
      <c r="CG84" s="4"/>
      <c r="CH84" s="4"/>
      <c r="CI84" s="4"/>
      <c r="CJ84" s="4"/>
      <c r="CK84" s="4">
        <v>16.72</v>
      </c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>
        <v>3.33</v>
      </c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>
        <v>4.87</v>
      </c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</row>
    <row r="85" spans="1:218" hidden="1">
      <c r="A85" t="s">
        <v>801</v>
      </c>
      <c r="B85" t="s">
        <v>802</v>
      </c>
      <c r="C85" t="s">
        <v>505</v>
      </c>
      <c r="D85" t="s">
        <v>803</v>
      </c>
      <c r="E85" t="s">
        <v>804</v>
      </c>
      <c r="F85" s="3">
        <v>5</v>
      </c>
      <c r="G85" s="12">
        <f t="shared" si="2"/>
        <v>5.41</v>
      </c>
      <c r="H85" s="12">
        <f t="shared" si="3"/>
        <v>5.08</v>
      </c>
      <c r="I85" s="3">
        <v>21.290339899999999</v>
      </c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>
        <v>3.22</v>
      </c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>
        <v>3</v>
      </c>
      <c r="CY85" s="4"/>
      <c r="CZ85" s="4">
        <v>5.41</v>
      </c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>
        <v>5.08</v>
      </c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>
        <v>4.57</v>
      </c>
    </row>
    <row r="86" spans="1:218" hidden="1">
      <c r="A86" t="s">
        <v>786</v>
      </c>
      <c r="B86" t="s">
        <v>787</v>
      </c>
      <c r="C86" t="s">
        <v>505</v>
      </c>
      <c r="D86" t="s">
        <v>788</v>
      </c>
      <c r="E86" t="s">
        <v>789</v>
      </c>
      <c r="F86" s="3">
        <v>5</v>
      </c>
      <c r="G86" s="12">
        <f t="shared" si="2"/>
        <v>6.74</v>
      </c>
      <c r="H86" s="12">
        <f t="shared" si="3"/>
        <v>6.59</v>
      </c>
      <c r="I86" s="3">
        <v>22.347029800000001</v>
      </c>
      <c r="K86" s="4"/>
      <c r="L86" s="4"/>
      <c r="M86" s="4"/>
      <c r="N86" s="4"/>
      <c r="O86" s="4"/>
      <c r="P86" s="4"/>
      <c r="Q86" s="4">
        <v>4.2</v>
      </c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>
        <v>1.43</v>
      </c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>
        <v>6.74</v>
      </c>
      <c r="CR86" s="4">
        <v>3.39</v>
      </c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>
        <v>6.59</v>
      </c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</row>
    <row r="87" spans="1:218" hidden="1">
      <c r="A87" t="s">
        <v>777</v>
      </c>
      <c r="B87" t="s">
        <v>778</v>
      </c>
      <c r="C87" t="s">
        <v>443</v>
      </c>
      <c r="D87" t="s">
        <v>779</v>
      </c>
      <c r="E87" t="s">
        <v>780</v>
      </c>
      <c r="F87" s="3">
        <v>5</v>
      </c>
      <c r="G87" s="12">
        <f t="shared" si="2"/>
        <v>8.11</v>
      </c>
      <c r="H87" s="12">
        <f t="shared" si="3"/>
        <v>4.67</v>
      </c>
      <c r="I87" s="3">
        <v>22.6961999</v>
      </c>
      <c r="K87" s="4"/>
      <c r="L87" s="4"/>
      <c r="M87" s="4"/>
      <c r="N87" s="4"/>
      <c r="O87" s="4">
        <v>3.07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>
        <v>2.31</v>
      </c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>
        <v>8.11</v>
      </c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>
        <v>4.67</v>
      </c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>
        <v>4.53</v>
      </c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</row>
    <row r="88" spans="1:218" hidden="1">
      <c r="A88" t="s">
        <v>767</v>
      </c>
      <c r="B88" t="s">
        <v>768</v>
      </c>
      <c r="C88" t="s">
        <v>505</v>
      </c>
      <c r="D88" t="s">
        <v>769</v>
      </c>
      <c r="E88" t="s">
        <v>770</v>
      </c>
      <c r="F88" s="3">
        <v>5</v>
      </c>
      <c r="G88" s="12">
        <f t="shared" si="2"/>
        <v>8.91</v>
      </c>
      <c r="H88" s="12">
        <f t="shared" si="3"/>
        <v>5.34</v>
      </c>
      <c r="I88" s="3">
        <v>24.957210499999999</v>
      </c>
      <c r="K88" s="4"/>
      <c r="L88" s="4"/>
      <c r="M88" s="4"/>
      <c r="N88" s="4"/>
      <c r="O88" s="4"/>
      <c r="P88" s="4"/>
      <c r="Q88" s="4"/>
      <c r="R88" s="4"/>
      <c r="S88" s="4"/>
      <c r="T88" s="4">
        <v>3.34</v>
      </c>
      <c r="U88" s="4"/>
      <c r="V88" s="4"/>
      <c r="W88" s="4"/>
      <c r="X88" s="4"/>
      <c r="Y88" s="4">
        <v>3.38</v>
      </c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>
        <v>5.34</v>
      </c>
      <c r="FM88" s="4"/>
      <c r="FN88" s="4"/>
      <c r="FO88" s="4"/>
      <c r="FP88" s="4"/>
      <c r="FQ88" s="4"/>
      <c r="FR88" s="4">
        <v>3.99</v>
      </c>
      <c r="FS88" s="4"/>
      <c r="FT88" s="4"/>
      <c r="FU88" s="4"/>
      <c r="FV88" s="4"/>
      <c r="FW88" s="4"/>
      <c r="FX88" s="4"/>
      <c r="FY88" s="4"/>
      <c r="FZ88" s="4"/>
      <c r="GA88" s="4"/>
      <c r="GB88" s="4">
        <v>8.91</v>
      </c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</row>
    <row r="89" spans="1:218" hidden="1">
      <c r="A89" t="s">
        <v>732</v>
      </c>
      <c r="B89" t="s">
        <v>733</v>
      </c>
      <c r="C89" t="s">
        <v>505</v>
      </c>
      <c r="D89" t="s">
        <v>734</v>
      </c>
      <c r="E89" t="s">
        <v>735</v>
      </c>
      <c r="F89" s="3">
        <v>5</v>
      </c>
      <c r="G89" s="12">
        <f t="shared" si="2"/>
        <v>14.77</v>
      </c>
      <c r="H89" s="12">
        <f t="shared" si="3"/>
        <v>10.91</v>
      </c>
      <c r="I89" s="3">
        <v>45.416490000000003</v>
      </c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>
        <v>3.44</v>
      </c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>
        <v>10.91</v>
      </c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>
        <v>7.31</v>
      </c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>
        <v>14.77</v>
      </c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>
        <v>9</v>
      </c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</row>
    <row r="90" spans="1:218" hidden="1">
      <c r="A90" t="s">
        <v>720</v>
      </c>
      <c r="B90" t="s">
        <v>721</v>
      </c>
      <c r="C90" t="s">
        <v>443</v>
      </c>
      <c r="D90" t="s">
        <v>722</v>
      </c>
      <c r="E90" t="s">
        <v>723</v>
      </c>
      <c r="F90" s="3">
        <v>5</v>
      </c>
      <c r="G90" s="12">
        <f t="shared" si="2"/>
        <v>15.37</v>
      </c>
      <c r="H90" s="12">
        <f t="shared" si="3"/>
        <v>12.22</v>
      </c>
      <c r="I90" s="3">
        <v>51.30198</v>
      </c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>
        <v>12.22</v>
      </c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>
        <v>8.33</v>
      </c>
      <c r="DA90" s="4"/>
      <c r="DB90" s="4"/>
      <c r="DC90" s="4"/>
      <c r="DD90" s="4"/>
      <c r="DE90" s="4"/>
      <c r="DF90" s="4"/>
      <c r="DG90" s="4"/>
      <c r="DH90" s="4">
        <v>3.83</v>
      </c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>
        <v>15.37</v>
      </c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>
        <v>11.56</v>
      </c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</row>
    <row r="91" spans="1:218" hidden="1">
      <c r="A91" t="s">
        <v>819</v>
      </c>
      <c r="B91" t="s">
        <v>820</v>
      </c>
      <c r="C91" t="s">
        <v>821</v>
      </c>
      <c r="D91" t="s">
        <v>822</v>
      </c>
      <c r="E91" t="s">
        <v>823</v>
      </c>
      <c r="F91" s="3">
        <v>5</v>
      </c>
      <c r="G91" s="12">
        <f t="shared" si="2"/>
        <v>3.84</v>
      </c>
      <c r="H91" s="12">
        <f t="shared" si="3"/>
        <v>3.82</v>
      </c>
      <c r="I91" s="3">
        <v>16.4540902</v>
      </c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>
        <v>3.54</v>
      </c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>
        <v>3.84</v>
      </c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>
        <v>3.82</v>
      </c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>
        <v>2.1800000000000002</v>
      </c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>
        <v>3.07</v>
      </c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</row>
    <row r="92" spans="1:218" hidden="1">
      <c r="A92" t="s">
        <v>824</v>
      </c>
      <c r="B92" t="s">
        <v>825</v>
      </c>
      <c r="C92" t="s">
        <v>826</v>
      </c>
      <c r="D92" t="s">
        <v>827</v>
      </c>
      <c r="E92" t="s">
        <v>828</v>
      </c>
      <c r="F92" s="3">
        <v>5</v>
      </c>
      <c r="G92" s="12">
        <f t="shared" si="2"/>
        <v>2.99</v>
      </c>
      <c r="H92" s="12">
        <f t="shared" si="3"/>
        <v>2.37</v>
      </c>
      <c r="I92" s="3">
        <v>12.84042</v>
      </c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>
        <v>2.3199999999999998</v>
      </c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>
        <v>1.91</v>
      </c>
      <c r="FC92" s="4"/>
      <c r="FD92" s="4"/>
      <c r="FE92" s="4"/>
      <c r="FF92" s="4">
        <v>2.37</v>
      </c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>
        <v>2.99</v>
      </c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</row>
    <row r="93" spans="1:218" hidden="1">
      <c r="A93" t="s">
        <v>744</v>
      </c>
      <c r="B93" t="s">
        <v>745</v>
      </c>
      <c r="C93" t="s">
        <v>505</v>
      </c>
      <c r="D93" t="s">
        <v>746</v>
      </c>
      <c r="E93" t="s">
        <v>747</v>
      </c>
      <c r="F93" s="3">
        <v>5</v>
      </c>
      <c r="G93" s="12">
        <f t="shared" si="2"/>
        <v>7.11</v>
      </c>
      <c r="H93" s="12">
        <f t="shared" si="3"/>
        <v>6.94</v>
      </c>
      <c r="I93" s="3">
        <v>26.317439799999999</v>
      </c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>
        <v>7.11</v>
      </c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>
        <v>6.94</v>
      </c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>
        <v>3.61</v>
      </c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>
        <v>4.7</v>
      </c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>
        <v>3.97</v>
      </c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</row>
    <row r="94" spans="1:218" hidden="1">
      <c r="A94" t="s">
        <v>795</v>
      </c>
      <c r="B94" t="s">
        <v>796</v>
      </c>
      <c r="C94" t="s">
        <v>505</v>
      </c>
      <c r="D94" t="s">
        <v>797</v>
      </c>
      <c r="E94" t="s">
        <v>798</v>
      </c>
      <c r="F94" s="3">
        <v>5</v>
      </c>
      <c r="G94" s="12">
        <f t="shared" si="2"/>
        <v>5.71</v>
      </c>
      <c r="H94" s="12">
        <f t="shared" si="3"/>
        <v>4.8499999999999996</v>
      </c>
      <c r="I94" s="3">
        <v>21.99558</v>
      </c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>
        <v>3.14</v>
      </c>
      <c r="BX94" s="4"/>
      <c r="BY94" s="4"/>
      <c r="BZ94" s="4"/>
      <c r="CA94" s="4"/>
      <c r="CB94" s="4">
        <v>4.72</v>
      </c>
      <c r="CC94" s="4"/>
      <c r="CD94" s="4"/>
      <c r="CE94" s="4"/>
      <c r="CF94" s="4"/>
      <c r="CG94" s="4"/>
      <c r="CH94" s="4"/>
      <c r="CI94" s="4"/>
      <c r="CJ94" s="4"/>
      <c r="CK94" s="4">
        <v>3.57</v>
      </c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>
        <v>5.71</v>
      </c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>
        <v>4.8499999999999996</v>
      </c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</row>
    <row r="95" spans="1:218" hidden="1">
      <c r="A95" t="s">
        <v>736</v>
      </c>
      <c r="B95" t="s">
        <v>737</v>
      </c>
      <c r="C95" t="s">
        <v>505</v>
      </c>
      <c r="D95" t="s">
        <v>738</v>
      </c>
      <c r="E95" t="s">
        <v>739</v>
      </c>
      <c r="F95" s="3">
        <v>5</v>
      </c>
      <c r="G95" s="12">
        <f t="shared" si="2"/>
        <v>10.220000000000001</v>
      </c>
      <c r="H95" s="12">
        <f t="shared" si="3"/>
        <v>7.67</v>
      </c>
      <c r="I95" s="3">
        <v>36.592278999999998</v>
      </c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>
        <v>7.67</v>
      </c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>
        <v>10.220000000000001</v>
      </c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>
        <v>3.81</v>
      </c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>
        <v>7.6</v>
      </c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>
        <v>7.29</v>
      </c>
      <c r="HG95" s="4"/>
      <c r="HH95" s="4"/>
      <c r="HI95" s="4"/>
      <c r="HJ95" s="4"/>
    </row>
    <row r="96" spans="1:218" hidden="1">
      <c r="A96" t="s">
        <v>781</v>
      </c>
      <c r="B96" t="s">
        <v>782</v>
      </c>
      <c r="C96" t="s">
        <v>783</v>
      </c>
      <c r="D96" t="s">
        <v>784</v>
      </c>
      <c r="E96" t="s">
        <v>785</v>
      </c>
      <c r="F96" s="3">
        <v>5</v>
      </c>
      <c r="G96" s="12">
        <f t="shared" si="2"/>
        <v>5.33</v>
      </c>
      <c r="H96" s="12">
        <f t="shared" si="3"/>
        <v>5.3</v>
      </c>
      <c r="I96" s="3">
        <v>22.548450500000001</v>
      </c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>
        <v>5.3</v>
      </c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>
        <v>4.75</v>
      </c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>
        <v>4.12</v>
      </c>
      <c r="FY96" s="4"/>
      <c r="FZ96" s="4">
        <v>3.05</v>
      </c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>
        <v>5.33</v>
      </c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</row>
    <row r="97" spans="1:218" hidden="1">
      <c r="A97" t="s">
        <v>740</v>
      </c>
      <c r="B97" t="s">
        <v>741</v>
      </c>
      <c r="C97" t="s">
        <v>443</v>
      </c>
      <c r="D97" t="s">
        <v>742</v>
      </c>
      <c r="E97" t="s">
        <v>743</v>
      </c>
      <c r="F97" s="3">
        <v>5</v>
      </c>
      <c r="G97" s="12">
        <f t="shared" si="2"/>
        <v>9.81</v>
      </c>
      <c r="H97" s="12">
        <f t="shared" si="3"/>
        <v>8.4</v>
      </c>
      <c r="I97" s="3">
        <v>31.850690950000001</v>
      </c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>
        <v>8.4</v>
      </c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>
        <v>4.3099999999999996</v>
      </c>
      <c r="EZ97" s="4"/>
      <c r="FA97" s="4"/>
      <c r="FB97" s="4"/>
      <c r="FC97" s="4">
        <v>1.34</v>
      </c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>
        <v>9.81</v>
      </c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>
        <v>8</v>
      </c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</row>
    <row r="98" spans="1:218" hidden="1">
      <c r="A98" t="s">
        <v>748</v>
      </c>
      <c r="B98" t="s">
        <v>749</v>
      </c>
      <c r="C98" t="s">
        <v>505</v>
      </c>
      <c r="D98" t="s">
        <v>750</v>
      </c>
      <c r="E98" t="s">
        <v>751</v>
      </c>
      <c r="F98" s="3">
        <v>5</v>
      </c>
      <c r="G98" s="12">
        <f t="shared" si="2"/>
        <v>6.84</v>
      </c>
      <c r="H98" s="12">
        <f t="shared" si="3"/>
        <v>5.8</v>
      </c>
      <c r="I98" s="3">
        <v>26.253070000000001</v>
      </c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>
        <v>6.84</v>
      </c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>
        <v>5.8</v>
      </c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>
        <v>4.54</v>
      </c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>
        <v>4.09</v>
      </c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>
        <v>4.9800000000000004</v>
      </c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</row>
    <row r="99" spans="1:218" hidden="1">
      <c r="A99" t="s">
        <v>805</v>
      </c>
      <c r="B99" t="s">
        <v>806</v>
      </c>
      <c r="C99" t="s">
        <v>443</v>
      </c>
      <c r="D99" t="s">
        <v>807</v>
      </c>
      <c r="E99" t="s">
        <v>808</v>
      </c>
      <c r="F99" s="3">
        <v>5</v>
      </c>
      <c r="G99" s="12">
        <f t="shared" si="2"/>
        <v>10.5</v>
      </c>
      <c r="H99" s="12">
        <f t="shared" si="3"/>
        <v>4.32</v>
      </c>
      <c r="I99" s="3">
        <v>20.862539600000002</v>
      </c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>
        <v>4.32</v>
      </c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>
        <v>1.1200000000000001</v>
      </c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>
        <v>10.5</v>
      </c>
      <c r="EZ99" s="4"/>
      <c r="FA99" s="4"/>
      <c r="FB99" s="4">
        <v>1.89</v>
      </c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>
        <v>3.02</v>
      </c>
      <c r="HJ99" s="4"/>
    </row>
    <row r="100" spans="1:218" hidden="1">
      <c r="A100" t="s">
        <v>790</v>
      </c>
      <c r="B100" t="s">
        <v>791</v>
      </c>
      <c r="C100" t="s">
        <v>792</v>
      </c>
      <c r="D100" t="s">
        <v>793</v>
      </c>
      <c r="E100" t="s">
        <v>794</v>
      </c>
      <c r="F100" s="3">
        <v>5</v>
      </c>
      <c r="G100" s="12">
        <f t="shared" si="2"/>
        <v>10.66</v>
      </c>
      <c r="H100" s="12">
        <f t="shared" si="3"/>
        <v>3.64</v>
      </c>
      <c r="I100" s="3">
        <v>22.274819999999998</v>
      </c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>
        <v>10.66</v>
      </c>
      <c r="CT100" s="4"/>
      <c r="CU100" s="4"/>
      <c r="CV100" s="4"/>
      <c r="CW100" s="4">
        <v>3.64</v>
      </c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>
        <v>1.61</v>
      </c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>
        <v>2.72</v>
      </c>
      <c r="GI100" s="4"/>
      <c r="GJ100" s="4"/>
      <c r="GK100" s="4"/>
      <c r="GL100" s="4"/>
      <c r="GM100" s="4"/>
      <c r="GN100" s="4"/>
      <c r="GO100" s="4">
        <v>3.64</v>
      </c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</row>
    <row r="101" spans="1:218" hidden="1">
      <c r="A101" t="s">
        <v>757</v>
      </c>
      <c r="B101" t="s">
        <v>758</v>
      </c>
      <c r="C101" t="s">
        <v>505</v>
      </c>
      <c r="D101" t="s">
        <v>759</v>
      </c>
      <c r="E101" t="s">
        <v>760</v>
      </c>
      <c r="F101" s="3">
        <v>5</v>
      </c>
      <c r="G101" s="12">
        <f t="shared" si="2"/>
        <v>6.94</v>
      </c>
      <c r="H101" s="12">
        <f t="shared" si="3"/>
        <v>5.86</v>
      </c>
      <c r="I101" s="3">
        <v>26.128030299999999</v>
      </c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>
        <v>5.16</v>
      </c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>
        <v>4.08</v>
      </c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>
        <v>4.09</v>
      </c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>
        <v>6.94</v>
      </c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>
        <v>5.86</v>
      </c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</row>
    <row r="102" spans="1:218" hidden="1">
      <c r="A102" t="s">
        <v>752</v>
      </c>
      <c r="B102" t="s">
        <v>753</v>
      </c>
      <c r="C102" t="s">
        <v>754</v>
      </c>
      <c r="D102" t="s">
        <v>755</v>
      </c>
      <c r="E102" t="s">
        <v>756</v>
      </c>
      <c r="F102" s="3">
        <v>5</v>
      </c>
      <c r="G102" s="12">
        <f t="shared" si="2"/>
        <v>8.6199999999999992</v>
      </c>
      <c r="H102" s="12">
        <f t="shared" si="3"/>
        <v>6.63</v>
      </c>
      <c r="I102" s="3">
        <v>26.253049399999998</v>
      </c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>
        <v>2.92</v>
      </c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>
        <v>6.63</v>
      </c>
      <c r="EC102" s="4"/>
      <c r="ED102" s="4"/>
      <c r="EE102" s="4"/>
      <c r="EF102" s="4"/>
      <c r="EG102" s="4"/>
      <c r="EH102" s="4"/>
      <c r="EI102" s="4"/>
      <c r="EJ102" s="4">
        <v>3.01</v>
      </c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>
        <v>5.07</v>
      </c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>
        <v>8.6199999999999992</v>
      </c>
      <c r="HF102" s="4"/>
      <c r="HG102" s="4"/>
      <c r="HH102" s="4"/>
      <c r="HI102" s="4"/>
      <c r="HJ102" s="4"/>
    </row>
    <row r="103" spans="1:218" hidden="1">
      <c r="A103" t="s">
        <v>799</v>
      </c>
      <c r="B103" t="s">
        <v>800</v>
      </c>
      <c r="C103" t="s">
        <v>489</v>
      </c>
      <c r="D103" t="s">
        <v>490</v>
      </c>
      <c r="E103" t="s">
        <v>490</v>
      </c>
      <c r="F103" s="3">
        <v>5</v>
      </c>
      <c r="G103" s="12">
        <f t="shared" si="2"/>
        <v>5.65</v>
      </c>
      <c r="H103" s="12">
        <f t="shared" si="3"/>
        <v>4.5</v>
      </c>
      <c r="I103" s="3">
        <v>21.35707</v>
      </c>
      <c r="K103" s="4"/>
      <c r="L103" s="4"/>
      <c r="M103" s="4"/>
      <c r="N103" s="4">
        <v>4.5</v>
      </c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>
        <v>3.7</v>
      </c>
      <c r="AD103" s="4"/>
      <c r="AE103" s="4"/>
      <c r="AF103" s="4"/>
      <c r="AG103" s="4"/>
      <c r="AH103" s="4"/>
      <c r="AI103" s="4"/>
      <c r="AJ103" s="4"/>
      <c r="AK103" s="4"/>
      <c r="AL103" s="4">
        <v>3.86</v>
      </c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>
        <v>3.65</v>
      </c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>
        <v>5.65</v>
      </c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</row>
    <row r="104" spans="1:218" hidden="1">
      <c r="A104" t="s">
        <v>765</v>
      </c>
      <c r="B104" t="s">
        <v>766</v>
      </c>
      <c r="C104" t="s">
        <v>489</v>
      </c>
      <c r="D104" t="s">
        <v>490</v>
      </c>
      <c r="E104" t="s">
        <v>490</v>
      </c>
      <c r="F104" s="3">
        <v>5</v>
      </c>
      <c r="G104" s="12">
        <f t="shared" si="2"/>
        <v>7.5</v>
      </c>
      <c r="H104" s="12">
        <f t="shared" si="3"/>
        <v>6.19</v>
      </c>
      <c r="I104" s="3">
        <v>25.807920200000002</v>
      </c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>
        <v>7.5</v>
      </c>
      <c r="AA104" s="4"/>
      <c r="AB104" s="4">
        <v>6.19</v>
      </c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>
        <v>4.42</v>
      </c>
      <c r="BP104" s="4"/>
      <c r="BQ104" s="4"/>
      <c r="BR104" s="4"/>
      <c r="BS104" s="4">
        <v>5.87</v>
      </c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>
        <v>1.83</v>
      </c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</row>
    <row r="105" spans="1:218" hidden="1">
      <c r="A105" t="s">
        <v>775</v>
      </c>
      <c r="B105" t="s">
        <v>776</v>
      </c>
      <c r="C105" t="s">
        <v>489</v>
      </c>
      <c r="D105" t="s">
        <v>490</v>
      </c>
      <c r="E105" t="s">
        <v>490</v>
      </c>
      <c r="F105" s="3">
        <v>5</v>
      </c>
      <c r="G105" s="12">
        <f t="shared" si="2"/>
        <v>5.85</v>
      </c>
      <c r="H105" s="12">
        <f t="shared" si="3"/>
        <v>5.25</v>
      </c>
      <c r="I105" s="3">
        <v>23.871230199999999</v>
      </c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>
        <v>4.5999999999999996</v>
      </c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>
        <v>3.21</v>
      </c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>
        <v>4.95</v>
      </c>
      <c r="GF105" s="4"/>
      <c r="GG105" s="4"/>
      <c r="GH105" s="4"/>
      <c r="GI105" s="4">
        <v>5.85</v>
      </c>
      <c r="GJ105" s="4"/>
      <c r="GK105" s="4">
        <v>5.25</v>
      </c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</row>
    <row r="106" spans="1:218" hidden="1">
      <c r="A106" t="s">
        <v>813</v>
      </c>
      <c r="B106" t="s">
        <v>814</v>
      </c>
      <c r="C106" t="s">
        <v>489</v>
      </c>
      <c r="D106" t="s">
        <v>490</v>
      </c>
      <c r="E106" t="s">
        <v>490</v>
      </c>
      <c r="F106" s="3">
        <v>5</v>
      </c>
      <c r="G106" s="12">
        <f t="shared" si="2"/>
        <v>4.71</v>
      </c>
      <c r="H106" s="12">
        <f t="shared" si="3"/>
        <v>4.58</v>
      </c>
      <c r="I106" s="3">
        <v>18.061020200000002</v>
      </c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>
        <v>2.39</v>
      </c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>
        <v>4.71</v>
      </c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>
        <v>4.0199999999999996</v>
      </c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>
        <v>2.37</v>
      </c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>
        <v>4.58</v>
      </c>
      <c r="HG106" s="4"/>
      <c r="HH106" s="4"/>
      <c r="HI106" s="4"/>
      <c r="HJ106" s="4"/>
    </row>
    <row r="107" spans="1:218" hidden="1">
      <c r="A107" t="s">
        <v>848</v>
      </c>
      <c r="B107" t="s">
        <v>849</v>
      </c>
      <c r="C107" t="s">
        <v>850</v>
      </c>
      <c r="D107" t="s">
        <v>851</v>
      </c>
      <c r="E107" t="s">
        <v>852</v>
      </c>
      <c r="F107" s="3">
        <v>4</v>
      </c>
      <c r="G107" s="12">
        <f t="shared" si="2"/>
        <v>9.8800000000000008</v>
      </c>
      <c r="H107" s="12">
        <f t="shared" si="3"/>
        <v>9.02</v>
      </c>
      <c r="I107" s="3">
        <v>26.425899999999999</v>
      </c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>
        <v>9.02</v>
      </c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>
        <v>1.67</v>
      </c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>
        <v>5.85</v>
      </c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>
        <v>9.8800000000000008</v>
      </c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</row>
    <row r="108" spans="1:218" hidden="1">
      <c r="A108" t="s">
        <v>843</v>
      </c>
      <c r="B108" t="s">
        <v>844</v>
      </c>
      <c r="C108" t="s">
        <v>845</v>
      </c>
      <c r="D108" t="s">
        <v>846</v>
      </c>
      <c r="E108" t="s">
        <v>847</v>
      </c>
      <c r="F108" s="3">
        <v>4</v>
      </c>
      <c r="G108" s="12">
        <f t="shared" si="2"/>
        <v>9.65</v>
      </c>
      <c r="H108" s="12">
        <f t="shared" si="3"/>
        <v>9.4600000000000009</v>
      </c>
      <c r="I108" s="3">
        <v>27.900289600000001</v>
      </c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>
        <v>2.0299999999999998</v>
      </c>
      <c r="BG108" s="4"/>
      <c r="BH108" s="4"/>
      <c r="BI108" s="4"/>
      <c r="BJ108" s="4"/>
      <c r="BK108" s="4"/>
      <c r="BL108" s="4">
        <v>6.76</v>
      </c>
      <c r="BM108" s="4"/>
      <c r="BN108" s="4"/>
      <c r="BO108" s="4"/>
      <c r="BP108" s="4"/>
      <c r="BQ108" s="4"/>
      <c r="BR108" s="4"/>
      <c r="BS108" s="4"/>
      <c r="BT108" s="4"/>
      <c r="BU108" s="4">
        <v>9.65</v>
      </c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>
        <v>9.4600000000000009</v>
      </c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</row>
    <row r="109" spans="1:218" hidden="1">
      <c r="A109" t="s">
        <v>891</v>
      </c>
      <c r="B109" t="s">
        <v>892</v>
      </c>
      <c r="C109" t="s">
        <v>443</v>
      </c>
      <c r="D109" t="s">
        <v>893</v>
      </c>
      <c r="E109" t="s">
        <v>894</v>
      </c>
      <c r="F109" s="3">
        <v>4</v>
      </c>
      <c r="G109" s="12">
        <f t="shared" si="2"/>
        <v>5.65</v>
      </c>
      <c r="H109" s="12">
        <f t="shared" si="3"/>
        <v>5.51</v>
      </c>
      <c r="I109" s="3">
        <v>18.006750100000001</v>
      </c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>
        <v>5.51</v>
      </c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>
        <v>3.55</v>
      </c>
      <c r="EF109" s="4"/>
      <c r="EG109" s="4"/>
      <c r="EH109" s="4"/>
      <c r="EI109" s="4"/>
      <c r="EJ109" s="4"/>
      <c r="EK109" s="4">
        <v>3.3</v>
      </c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>
        <v>5.65</v>
      </c>
      <c r="HE109" s="4"/>
      <c r="HF109" s="4"/>
      <c r="HG109" s="4"/>
      <c r="HH109" s="4"/>
      <c r="HI109" s="4"/>
      <c r="HJ109" s="4"/>
    </row>
    <row r="110" spans="1:218" hidden="1">
      <c r="A110" t="s">
        <v>865</v>
      </c>
      <c r="B110" t="s">
        <v>866</v>
      </c>
      <c r="C110" t="s">
        <v>754</v>
      </c>
      <c r="D110" t="s">
        <v>867</v>
      </c>
      <c r="E110" t="s">
        <v>868</v>
      </c>
      <c r="F110" s="3">
        <v>4</v>
      </c>
      <c r="G110" s="12">
        <f t="shared" si="2"/>
        <v>7.28</v>
      </c>
      <c r="H110" s="12">
        <f t="shared" si="3"/>
        <v>5.09</v>
      </c>
      <c r="I110" s="3">
        <v>20.966799699999999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>
        <v>3.7</v>
      </c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>
        <v>4.8899999999999997</v>
      </c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>
        <v>5.09</v>
      </c>
      <c r="GZ110" s="4"/>
      <c r="HA110" s="4"/>
      <c r="HB110" s="4"/>
      <c r="HC110" s="4"/>
      <c r="HD110" s="4"/>
      <c r="HE110" s="4">
        <v>7.28</v>
      </c>
      <c r="HF110" s="4"/>
      <c r="HG110" s="4"/>
      <c r="HH110" s="4"/>
      <c r="HI110" s="4"/>
      <c r="HJ110" s="4"/>
    </row>
    <row r="111" spans="1:218" hidden="1">
      <c r="A111" t="s">
        <v>924</v>
      </c>
      <c r="B111" t="s">
        <v>925</v>
      </c>
      <c r="C111" t="s">
        <v>443</v>
      </c>
      <c r="D111" t="s">
        <v>926</v>
      </c>
      <c r="E111" t="s">
        <v>927</v>
      </c>
      <c r="F111" s="3">
        <v>4</v>
      </c>
      <c r="G111" s="12">
        <f t="shared" si="2"/>
        <v>4.88</v>
      </c>
      <c r="H111" s="12">
        <f t="shared" si="3"/>
        <v>3.44</v>
      </c>
      <c r="I111" s="3">
        <v>13.957100000000001</v>
      </c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>
        <v>2.62</v>
      </c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>
        <v>3.02</v>
      </c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>
        <v>3.44</v>
      </c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>
        <v>4.88</v>
      </c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</row>
    <row r="112" spans="1:218" hidden="1">
      <c r="A112" t="s">
        <v>932</v>
      </c>
      <c r="B112" t="s">
        <v>933</v>
      </c>
      <c r="C112" t="s">
        <v>443</v>
      </c>
      <c r="D112" t="s">
        <v>934</v>
      </c>
      <c r="E112" t="s">
        <v>935</v>
      </c>
      <c r="F112" s="3">
        <v>4</v>
      </c>
      <c r="G112" s="12">
        <f t="shared" si="2"/>
        <v>3.89</v>
      </c>
      <c r="H112" s="12">
        <f t="shared" si="3"/>
        <v>3.76</v>
      </c>
      <c r="I112" s="3">
        <v>13.661330299999999</v>
      </c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>
        <v>3.89</v>
      </c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>
        <v>3.76</v>
      </c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>
        <v>2.41</v>
      </c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>
        <v>3.6</v>
      </c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</row>
    <row r="113" spans="1:218" hidden="1">
      <c r="A113" t="s">
        <v>875</v>
      </c>
      <c r="B113" t="s">
        <v>876</v>
      </c>
      <c r="C113" t="s">
        <v>590</v>
      </c>
      <c r="D113" t="s">
        <v>877</v>
      </c>
      <c r="E113" t="s">
        <v>878</v>
      </c>
      <c r="F113" s="3">
        <v>4</v>
      </c>
      <c r="G113" s="12">
        <f t="shared" si="2"/>
        <v>8.73</v>
      </c>
      <c r="H113" s="12">
        <f t="shared" si="3"/>
        <v>3.9</v>
      </c>
      <c r="I113" s="3">
        <v>19.537740100000001</v>
      </c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>
        <v>8.73</v>
      </c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>
        <v>3.12</v>
      </c>
      <c r="EG113" s="4">
        <v>3.9</v>
      </c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>
        <v>3.78</v>
      </c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</row>
    <row r="114" spans="1:218" hidden="1">
      <c r="A114" t="s">
        <v>944</v>
      </c>
      <c r="B114" t="s">
        <v>945</v>
      </c>
      <c r="C114" t="s">
        <v>505</v>
      </c>
      <c r="D114" t="s">
        <v>946</v>
      </c>
      <c r="E114" t="s">
        <v>947</v>
      </c>
      <c r="F114" s="3">
        <v>4</v>
      </c>
      <c r="G114" s="12">
        <f t="shared" si="2"/>
        <v>3.76</v>
      </c>
      <c r="H114" s="12">
        <f t="shared" si="3"/>
        <v>3.75</v>
      </c>
      <c r="I114" s="3">
        <v>11.871</v>
      </c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>
        <v>1.23</v>
      </c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>
        <v>3.75</v>
      </c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>
        <v>3.76</v>
      </c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>
        <v>3.14</v>
      </c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</row>
    <row r="115" spans="1:218" hidden="1">
      <c r="A115" t="s">
        <v>920</v>
      </c>
      <c r="B115" t="s">
        <v>921</v>
      </c>
      <c r="C115" t="s">
        <v>505</v>
      </c>
      <c r="D115" t="s">
        <v>922</v>
      </c>
      <c r="E115" t="s">
        <v>923</v>
      </c>
      <c r="F115" s="3">
        <v>4</v>
      </c>
      <c r="G115" s="12">
        <f t="shared" si="2"/>
        <v>4.34</v>
      </c>
      <c r="H115" s="12">
        <f t="shared" si="3"/>
        <v>3.39</v>
      </c>
      <c r="I115" s="3">
        <v>14.37387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>
        <v>3.39</v>
      </c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>
        <v>3.28</v>
      </c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>
        <v>3.37</v>
      </c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>
        <v>4.34</v>
      </c>
      <c r="HG115" s="4"/>
      <c r="HH115" s="4"/>
      <c r="HI115" s="4"/>
      <c r="HJ115" s="4"/>
    </row>
    <row r="116" spans="1:218" hidden="1">
      <c r="A116" t="s">
        <v>907</v>
      </c>
      <c r="B116" t="s">
        <v>908</v>
      </c>
      <c r="C116" t="s">
        <v>909</v>
      </c>
      <c r="D116" t="s">
        <v>910</v>
      </c>
      <c r="E116" t="s">
        <v>911</v>
      </c>
      <c r="F116" s="3">
        <v>4</v>
      </c>
      <c r="G116" s="12">
        <f t="shared" si="2"/>
        <v>7.06</v>
      </c>
      <c r="H116" s="12">
        <f t="shared" si="3"/>
        <v>3.03</v>
      </c>
      <c r="I116" s="3">
        <v>16.621600099999998</v>
      </c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>
        <v>7.06</v>
      </c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>
        <v>2.83</v>
      </c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>
        <v>3.03</v>
      </c>
      <c r="HJ116" s="4"/>
    </row>
    <row r="117" spans="1:218" hidden="1">
      <c r="A117" t="s">
        <v>903</v>
      </c>
      <c r="B117" t="s">
        <v>904</v>
      </c>
      <c r="C117" t="s">
        <v>443</v>
      </c>
      <c r="D117" t="s">
        <v>905</v>
      </c>
      <c r="E117" t="s">
        <v>906</v>
      </c>
      <c r="F117" s="3">
        <v>4</v>
      </c>
      <c r="G117" s="12">
        <f t="shared" si="2"/>
        <v>4.54</v>
      </c>
      <c r="H117" s="12">
        <f t="shared" si="3"/>
        <v>4.4400000000000004</v>
      </c>
      <c r="I117" s="3">
        <v>17.155650099999999</v>
      </c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>
        <v>4.54</v>
      </c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>
        <v>4.4400000000000004</v>
      </c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>
        <v>3.79</v>
      </c>
      <c r="FM117" s="4"/>
      <c r="FN117" s="4"/>
      <c r="FO117" s="4"/>
      <c r="FP117" s="4"/>
      <c r="FQ117" s="4">
        <v>4.3899999999999997</v>
      </c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</row>
    <row r="118" spans="1:218" hidden="1">
      <c r="A118" t="s">
        <v>879</v>
      </c>
      <c r="B118" t="s">
        <v>880</v>
      </c>
      <c r="C118" t="s">
        <v>505</v>
      </c>
      <c r="D118" t="s">
        <v>881</v>
      </c>
      <c r="E118" t="s">
        <v>882</v>
      </c>
      <c r="F118" s="3">
        <v>4</v>
      </c>
      <c r="G118" s="12">
        <f t="shared" si="2"/>
        <v>5.48</v>
      </c>
      <c r="H118" s="12">
        <f t="shared" si="3"/>
        <v>5.29</v>
      </c>
      <c r="I118" s="3">
        <v>19.2327394</v>
      </c>
      <c r="K118" s="4"/>
      <c r="L118" s="4"/>
      <c r="M118" s="4">
        <v>5.29</v>
      </c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>
        <v>5.48</v>
      </c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>
        <v>5.29</v>
      </c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>
        <v>3.17</v>
      </c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</row>
    <row r="119" spans="1:218" hidden="1">
      <c r="A119" t="s">
        <v>871</v>
      </c>
      <c r="B119" t="s">
        <v>872</v>
      </c>
      <c r="C119" t="s">
        <v>505</v>
      </c>
      <c r="D119" t="s">
        <v>873</v>
      </c>
      <c r="E119" t="s">
        <v>874</v>
      </c>
      <c r="F119" s="3">
        <v>4</v>
      </c>
      <c r="G119" s="12">
        <f t="shared" si="2"/>
        <v>6.05</v>
      </c>
      <c r="H119" s="12">
        <f t="shared" si="3"/>
        <v>5.0999999999999996</v>
      </c>
      <c r="I119" s="3">
        <v>19.64669</v>
      </c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>
        <v>5.0999999999999996</v>
      </c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>
        <v>4.53</v>
      </c>
      <c r="EA119" s="4"/>
      <c r="EB119" s="4"/>
      <c r="EC119" s="4">
        <v>6.05</v>
      </c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>
        <v>3.96</v>
      </c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</row>
    <row r="120" spans="1:218" hidden="1">
      <c r="A120" t="s">
        <v>869</v>
      </c>
      <c r="B120" t="s">
        <v>870</v>
      </c>
      <c r="C120" t="s">
        <v>489</v>
      </c>
      <c r="D120" t="s">
        <v>490</v>
      </c>
      <c r="E120" t="s">
        <v>490</v>
      </c>
      <c r="F120" s="3">
        <v>4</v>
      </c>
      <c r="G120" s="12">
        <f t="shared" si="2"/>
        <v>7.22</v>
      </c>
      <c r="H120" s="12">
        <f t="shared" si="3"/>
        <v>5.41</v>
      </c>
      <c r="I120" s="3">
        <v>20.090420000000002</v>
      </c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>
        <v>4.04</v>
      </c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>
        <v>7.22</v>
      </c>
      <c r="DX120" s="4"/>
      <c r="DY120" s="4"/>
      <c r="DZ120" s="4"/>
      <c r="EA120" s="4"/>
      <c r="EB120" s="4"/>
      <c r="EC120" s="4"/>
      <c r="ED120" s="4"/>
      <c r="EE120" s="4">
        <v>3.42</v>
      </c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>
        <v>5.41</v>
      </c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</row>
    <row r="121" spans="1:218" hidden="1">
      <c r="A121" t="s">
        <v>861</v>
      </c>
      <c r="B121" t="s">
        <v>862</v>
      </c>
      <c r="C121" t="s">
        <v>576</v>
      </c>
      <c r="D121" t="s">
        <v>863</v>
      </c>
      <c r="E121" t="s">
        <v>864</v>
      </c>
      <c r="F121" s="3">
        <v>4</v>
      </c>
      <c r="G121" s="12">
        <f t="shared" si="2"/>
        <v>8.75</v>
      </c>
      <c r="H121" s="12">
        <f t="shared" si="3"/>
        <v>5.92</v>
      </c>
      <c r="I121" s="3">
        <v>21.615319</v>
      </c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>
        <v>1.32</v>
      </c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>
        <v>5.92</v>
      </c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>
        <v>8.75</v>
      </c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>
        <v>5.63</v>
      </c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</row>
    <row r="122" spans="1:218" hidden="1">
      <c r="A122" t="s">
        <v>835</v>
      </c>
      <c r="B122" t="s">
        <v>836</v>
      </c>
      <c r="C122" t="s">
        <v>505</v>
      </c>
      <c r="D122" t="s">
        <v>837</v>
      </c>
      <c r="E122" t="s">
        <v>838</v>
      </c>
      <c r="F122" s="3">
        <v>4</v>
      </c>
      <c r="G122" s="12">
        <f t="shared" si="2"/>
        <v>7.62</v>
      </c>
      <c r="H122" s="12">
        <f t="shared" si="3"/>
        <v>7.53</v>
      </c>
      <c r="I122" s="3">
        <v>29.366959999999999</v>
      </c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>
        <v>7.08</v>
      </c>
      <c r="BL122" s="4"/>
      <c r="BM122" s="4">
        <v>7.14</v>
      </c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>
        <v>7.62</v>
      </c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>
        <v>7.53</v>
      </c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</row>
    <row r="123" spans="1:218" hidden="1">
      <c r="A123" t="s">
        <v>829</v>
      </c>
      <c r="B123" t="s">
        <v>830</v>
      </c>
      <c r="C123" t="s">
        <v>489</v>
      </c>
      <c r="D123" t="s">
        <v>490</v>
      </c>
      <c r="E123" t="s">
        <v>490</v>
      </c>
      <c r="F123" s="3">
        <v>4</v>
      </c>
      <c r="G123" s="12">
        <f t="shared" si="2"/>
        <v>29.34</v>
      </c>
      <c r="H123" s="12">
        <f t="shared" si="3"/>
        <v>21.07</v>
      </c>
      <c r="I123" s="3">
        <v>62.427690000000013</v>
      </c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>
        <v>21.07</v>
      </c>
      <c r="BX123" s="4"/>
      <c r="BY123" s="4"/>
      <c r="BZ123" s="4"/>
      <c r="CA123" s="4"/>
      <c r="CB123" s="4">
        <v>7.16</v>
      </c>
      <c r="CC123" s="4"/>
      <c r="CD123" s="4"/>
      <c r="CE123" s="4"/>
      <c r="CF123" s="4"/>
      <c r="CG123" s="4"/>
      <c r="CH123" s="4"/>
      <c r="CI123" s="4"/>
      <c r="CJ123" s="4"/>
      <c r="CK123" s="4">
        <v>29.34</v>
      </c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>
        <v>4.8499999999999996</v>
      </c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</row>
    <row r="124" spans="1:218" hidden="1">
      <c r="A124" t="s">
        <v>831</v>
      </c>
      <c r="B124" t="s">
        <v>832</v>
      </c>
      <c r="C124" t="s">
        <v>833</v>
      </c>
      <c r="D124" t="s">
        <v>490</v>
      </c>
      <c r="E124" t="s">
        <v>834</v>
      </c>
      <c r="F124" s="3">
        <v>4</v>
      </c>
      <c r="G124" s="12">
        <f t="shared" si="2"/>
        <v>19.739999999999998</v>
      </c>
      <c r="H124" s="12">
        <f t="shared" si="3"/>
        <v>14.9</v>
      </c>
      <c r="I124" s="3">
        <v>48.757568999999997</v>
      </c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>
        <v>7.34</v>
      </c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>
        <v>6.77</v>
      </c>
      <c r="AV124" s="4"/>
      <c r="AW124" s="4">
        <v>19.739999999999998</v>
      </c>
      <c r="AX124" s="4">
        <v>14.9</v>
      </c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</row>
    <row r="125" spans="1:218" hidden="1">
      <c r="A125" t="s">
        <v>857</v>
      </c>
      <c r="B125" t="s">
        <v>858</v>
      </c>
      <c r="C125" t="s">
        <v>505</v>
      </c>
      <c r="D125" t="s">
        <v>859</v>
      </c>
      <c r="E125" t="s">
        <v>860</v>
      </c>
      <c r="F125" s="3">
        <v>4</v>
      </c>
      <c r="G125" s="12">
        <f t="shared" si="2"/>
        <v>7.43</v>
      </c>
      <c r="H125" s="12">
        <f t="shared" si="3"/>
        <v>7.04</v>
      </c>
      <c r="I125" s="3">
        <v>22.304020000000001</v>
      </c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>
        <v>3.62</v>
      </c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>
        <v>7.43</v>
      </c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>
        <v>4.22</v>
      </c>
      <c r="GM125" s="4">
        <v>7.04</v>
      </c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</row>
    <row r="126" spans="1:218" hidden="1">
      <c r="A126" t="s">
        <v>899</v>
      </c>
      <c r="B126" t="s">
        <v>900</v>
      </c>
      <c r="C126" t="s">
        <v>590</v>
      </c>
      <c r="D126" t="s">
        <v>901</v>
      </c>
      <c r="E126" t="s">
        <v>902</v>
      </c>
      <c r="F126" s="3">
        <v>4</v>
      </c>
      <c r="G126" s="12">
        <f t="shared" si="2"/>
        <v>4.87</v>
      </c>
      <c r="H126" s="12">
        <f t="shared" si="3"/>
        <v>4.75</v>
      </c>
      <c r="I126" s="3">
        <v>17.23556</v>
      </c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>
        <v>4.87</v>
      </c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>
        <v>3.74</v>
      </c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>
        <v>3.88</v>
      </c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>
        <v>4.75</v>
      </c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</row>
    <row r="127" spans="1:218" hidden="1">
      <c r="A127" t="s">
        <v>940</v>
      </c>
      <c r="B127" t="s">
        <v>941</v>
      </c>
      <c r="C127" t="s">
        <v>443</v>
      </c>
      <c r="D127" t="s">
        <v>942</v>
      </c>
      <c r="E127" t="s">
        <v>943</v>
      </c>
      <c r="F127" s="3">
        <v>4</v>
      </c>
      <c r="G127" s="12">
        <f t="shared" si="2"/>
        <v>4.8099999999999996</v>
      </c>
      <c r="H127" s="12">
        <f t="shared" si="3"/>
        <v>3.28</v>
      </c>
      <c r="I127" s="3">
        <v>12.342639999999999</v>
      </c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>
        <v>1.77</v>
      </c>
      <c r="EO127" s="4"/>
      <c r="EP127" s="4">
        <v>4.8099999999999996</v>
      </c>
      <c r="EQ127" s="4"/>
      <c r="ER127" s="4"/>
      <c r="ES127" s="4">
        <v>2.48</v>
      </c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>
        <v>3.28</v>
      </c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</row>
    <row r="128" spans="1:218" hidden="1">
      <c r="A128" t="s">
        <v>883</v>
      </c>
      <c r="B128" t="s">
        <v>884</v>
      </c>
      <c r="C128" t="s">
        <v>754</v>
      </c>
      <c r="D128" t="s">
        <v>885</v>
      </c>
      <c r="E128" t="s">
        <v>886</v>
      </c>
      <c r="F128" s="3">
        <v>4</v>
      </c>
      <c r="G128" s="12">
        <f t="shared" si="2"/>
        <v>7.68</v>
      </c>
      <c r="H128" s="12">
        <f t="shared" si="3"/>
        <v>4.91</v>
      </c>
      <c r="I128" s="3">
        <v>19.0473696</v>
      </c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>
        <v>3.1</v>
      </c>
      <c r="AG128" s="4">
        <v>3.35</v>
      </c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>
        <v>7.68</v>
      </c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>
        <v>4.91</v>
      </c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</row>
    <row r="129" spans="1:218" hidden="1">
      <c r="A129" t="s">
        <v>839</v>
      </c>
      <c r="B129" t="s">
        <v>840</v>
      </c>
      <c r="C129" t="s">
        <v>783</v>
      </c>
      <c r="D129" t="s">
        <v>841</v>
      </c>
      <c r="E129" t="s">
        <v>842</v>
      </c>
      <c r="F129" s="3">
        <v>4</v>
      </c>
      <c r="G129" s="12">
        <f t="shared" si="2"/>
        <v>15.65</v>
      </c>
      <c r="H129" s="12">
        <f t="shared" si="3"/>
        <v>4.75</v>
      </c>
      <c r="I129" s="3">
        <v>28.083919900000009</v>
      </c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>
        <v>4.37</v>
      </c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>
        <v>3.32</v>
      </c>
      <c r="GJ129" s="4">
        <v>15.65</v>
      </c>
      <c r="GK129" s="4">
        <v>4.75</v>
      </c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</row>
    <row r="130" spans="1:218" hidden="1">
      <c r="A130" t="s">
        <v>928</v>
      </c>
      <c r="B130" t="s">
        <v>929</v>
      </c>
      <c r="C130" t="s">
        <v>505</v>
      </c>
      <c r="D130" t="s">
        <v>930</v>
      </c>
      <c r="E130" t="s">
        <v>931</v>
      </c>
      <c r="F130" s="3">
        <v>4</v>
      </c>
      <c r="G130" s="12">
        <f t="shared" si="2"/>
        <v>3.83</v>
      </c>
      <c r="H130" s="12">
        <f t="shared" si="3"/>
        <v>3.8</v>
      </c>
      <c r="I130" s="3">
        <v>13.938420000000001</v>
      </c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>
        <v>3.8</v>
      </c>
      <c r="AT130" s="4">
        <v>3.67</v>
      </c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>
        <v>3.83</v>
      </c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>
        <v>2.64</v>
      </c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</row>
    <row r="131" spans="1:218" hidden="1">
      <c r="A131" t="s">
        <v>897</v>
      </c>
      <c r="B131" t="s">
        <v>898</v>
      </c>
      <c r="C131" t="s">
        <v>489</v>
      </c>
      <c r="D131" t="s">
        <v>490</v>
      </c>
      <c r="E131" t="s">
        <v>490</v>
      </c>
      <c r="F131" s="3">
        <v>4</v>
      </c>
      <c r="G131" s="12">
        <f t="shared" si="2"/>
        <v>5.57</v>
      </c>
      <c r="H131" s="12">
        <f t="shared" si="3"/>
        <v>5.1100000000000003</v>
      </c>
      <c r="I131" s="3">
        <v>17.324179999999998</v>
      </c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>
        <v>5.1100000000000003</v>
      </c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>
        <v>5.57</v>
      </c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>
        <v>3.46</v>
      </c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>
        <v>3.19</v>
      </c>
      <c r="HB131" s="4"/>
      <c r="HC131" s="4"/>
      <c r="HD131" s="4"/>
      <c r="HE131" s="4"/>
      <c r="HF131" s="4"/>
      <c r="HG131" s="4"/>
      <c r="HH131" s="4"/>
      <c r="HI131" s="4"/>
      <c r="HJ131" s="4"/>
    </row>
    <row r="132" spans="1:218" hidden="1">
      <c r="A132" t="s">
        <v>895</v>
      </c>
      <c r="B132" t="s">
        <v>896</v>
      </c>
      <c r="C132" t="s">
        <v>489</v>
      </c>
      <c r="D132" t="s">
        <v>490</v>
      </c>
      <c r="E132" t="s">
        <v>490</v>
      </c>
      <c r="F132" s="3">
        <v>4</v>
      </c>
      <c r="G132" s="12">
        <f t="shared" si="2"/>
        <v>5.63</v>
      </c>
      <c r="H132" s="12">
        <f t="shared" si="3"/>
        <v>4.5199999999999996</v>
      </c>
      <c r="I132" s="3">
        <v>17.627969499999999</v>
      </c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>
        <v>3.62</v>
      </c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>
        <v>5.63</v>
      </c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>
        <v>4.5199999999999996</v>
      </c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>
        <v>3.85</v>
      </c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</row>
    <row r="133" spans="1:218" hidden="1">
      <c r="A133" t="s">
        <v>916</v>
      </c>
      <c r="B133" t="s">
        <v>917</v>
      </c>
      <c r="C133" t="s">
        <v>489</v>
      </c>
      <c r="D133" t="s">
        <v>490</v>
      </c>
      <c r="E133" t="s">
        <v>490</v>
      </c>
      <c r="F133" s="3">
        <v>4</v>
      </c>
      <c r="G133" s="12">
        <f t="shared" si="2"/>
        <v>5.62</v>
      </c>
      <c r="H133" s="12">
        <f t="shared" si="3"/>
        <v>4.3099999999999996</v>
      </c>
      <c r="I133" s="3">
        <v>15.5206996</v>
      </c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>
        <v>4.0199999999999996</v>
      </c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>
        <v>4.3099999999999996</v>
      </c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>
        <v>1.57</v>
      </c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>
        <v>5.62</v>
      </c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</row>
    <row r="134" spans="1:218" hidden="1">
      <c r="A134" t="s">
        <v>887</v>
      </c>
      <c r="B134" t="s">
        <v>888</v>
      </c>
      <c r="C134" t="s">
        <v>505</v>
      </c>
      <c r="D134" t="s">
        <v>889</v>
      </c>
      <c r="E134" t="s">
        <v>890</v>
      </c>
      <c r="F134" s="3">
        <v>4</v>
      </c>
      <c r="G134" s="12">
        <f t="shared" si="2"/>
        <v>5.08</v>
      </c>
      <c r="H134" s="12">
        <f t="shared" si="3"/>
        <v>4.7699999999999996</v>
      </c>
      <c r="I134" s="3">
        <v>18.189699600000001</v>
      </c>
      <c r="K134" s="4"/>
      <c r="L134" s="4"/>
      <c r="M134" s="4"/>
      <c r="N134" s="4"/>
      <c r="O134" s="4"/>
      <c r="P134" s="4"/>
      <c r="Q134" s="4"/>
      <c r="R134" s="4"/>
      <c r="S134" s="4">
        <v>5.08</v>
      </c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>
        <v>3.62</v>
      </c>
      <c r="AM134" s="4"/>
      <c r="AN134" s="4"/>
      <c r="AO134" s="4"/>
      <c r="AP134" s="4"/>
      <c r="AQ134" s="4"/>
      <c r="AR134" s="4"/>
      <c r="AS134" s="4">
        <v>4.7300000000000004</v>
      </c>
      <c r="AT134" s="4">
        <v>4.7699999999999996</v>
      </c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</row>
    <row r="135" spans="1:218" hidden="1">
      <c r="A135" t="s">
        <v>853</v>
      </c>
      <c r="B135" t="s">
        <v>854</v>
      </c>
      <c r="C135" t="s">
        <v>845</v>
      </c>
      <c r="D135" t="s">
        <v>855</v>
      </c>
      <c r="E135" t="s">
        <v>856</v>
      </c>
      <c r="F135" s="3">
        <v>4</v>
      </c>
      <c r="G135" s="12">
        <f t="shared" ref="G135:G198" si="4">LARGE($J135:$HJ135,1)</f>
        <v>9.3000000000000007</v>
      </c>
      <c r="H135" s="12">
        <f t="shared" ref="H135:H198" si="5">LARGE($J135:$HJ135,2)</f>
        <v>8.23</v>
      </c>
      <c r="I135" s="3">
        <v>26.293780399999999</v>
      </c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>
        <v>2.85</v>
      </c>
      <c r="BG135" s="4"/>
      <c r="BH135" s="4"/>
      <c r="BI135" s="4"/>
      <c r="BJ135" s="4"/>
      <c r="BK135" s="4"/>
      <c r="BL135" s="4">
        <v>5.92</v>
      </c>
      <c r="BM135" s="4"/>
      <c r="BN135" s="4"/>
      <c r="BO135" s="4"/>
      <c r="BP135" s="4"/>
      <c r="BQ135" s="4"/>
      <c r="BR135" s="4"/>
      <c r="BS135" s="4"/>
      <c r="BT135" s="4"/>
      <c r="BU135" s="4">
        <v>8.23</v>
      </c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>
        <v>9.3000000000000007</v>
      </c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</row>
    <row r="136" spans="1:218" hidden="1">
      <c r="A136" t="s">
        <v>938</v>
      </c>
      <c r="B136" t="s">
        <v>939</v>
      </c>
      <c r="C136" t="s">
        <v>489</v>
      </c>
      <c r="D136" t="s">
        <v>490</v>
      </c>
      <c r="E136" t="s">
        <v>490</v>
      </c>
      <c r="F136" s="3">
        <v>4</v>
      </c>
      <c r="G136" s="12">
        <f t="shared" si="4"/>
        <v>4.5999999999999996</v>
      </c>
      <c r="H136" s="12">
        <f t="shared" si="5"/>
        <v>3.58</v>
      </c>
      <c r="I136" s="3">
        <v>12.6313899</v>
      </c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>
        <v>4.5999999999999996</v>
      </c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>
        <v>3.58</v>
      </c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>
        <v>1.77</v>
      </c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>
        <v>2.68</v>
      </c>
      <c r="HH136" s="4"/>
      <c r="HI136" s="4"/>
      <c r="HJ136" s="4"/>
    </row>
    <row r="137" spans="1:218" hidden="1">
      <c r="A137" t="s">
        <v>918</v>
      </c>
      <c r="B137" t="s">
        <v>919</v>
      </c>
      <c r="C137" t="s">
        <v>489</v>
      </c>
      <c r="D137" t="s">
        <v>490</v>
      </c>
      <c r="E137" t="s">
        <v>490</v>
      </c>
      <c r="F137" s="3">
        <v>4</v>
      </c>
      <c r="G137" s="12">
        <f t="shared" si="4"/>
        <v>5</v>
      </c>
      <c r="H137" s="12">
        <f t="shared" si="5"/>
        <v>3.62</v>
      </c>
      <c r="I137" s="3">
        <v>15.338840299999999</v>
      </c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>
        <v>3.15</v>
      </c>
      <c r="BX137" s="4"/>
      <c r="BY137" s="4"/>
      <c r="BZ137" s="4"/>
      <c r="CA137" s="4"/>
      <c r="CB137" s="4">
        <v>3.62</v>
      </c>
      <c r="CC137" s="4"/>
      <c r="CD137" s="4"/>
      <c r="CE137" s="4"/>
      <c r="CF137" s="4"/>
      <c r="CG137" s="4"/>
      <c r="CH137" s="4"/>
      <c r="CI137" s="4"/>
      <c r="CJ137" s="4"/>
      <c r="CK137" s="4">
        <v>3.58</v>
      </c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>
        <v>5</v>
      </c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</row>
    <row r="138" spans="1:218" hidden="1">
      <c r="A138" t="s">
        <v>936</v>
      </c>
      <c r="B138" t="s">
        <v>937</v>
      </c>
      <c r="C138" t="s">
        <v>489</v>
      </c>
      <c r="D138" t="s">
        <v>490</v>
      </c>
      <c r="E138" t="s">
        <v>490</v>
      </c>
      <c r="F138" s="3">
        <v>4</v>
      </c>
      <c r="G138" s="12">
        <f t="shared" si="4"/>
        <v>5.0199999999999996</v>
      </c>
      <c r="H138" s="12">
        <f t="shared" si="5"/>
        <v>3.57</v>
      </c>
      <c r="I138" s="3">
        <v>13.2261504</v>
      </c>
      <c r="K138" s="4"/>
      <c r="L138" s="4"/>
      <c r="M138" s="4"/>
      <c r="N138" s="4"/>
      <c r="O138" s="4"/>
      <c r="P138" s="4"/>
      <c r="Q138" s="4"/>
      <c r="R138" s="4">
        <v>3.57</v>
      </c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>
        <v>1.65</v>
      </c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>
        <v>5.0199999999999996</v>
      </c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>
        <v>2.99</v>
      </c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</row>
    <row r="139" spans="1:218" hidden="1">
      <c r="A139" t="s">
        <v>914</v>
      </c>
      <c r="B139" t="s">
        <v>915</v>
      </c>
      <c r="C139" t="s">
        <v>489</v>
      </c>
      <c r="D139" t="s">
        <v>490</v>
      </c>
      <c r="E139" t="s">
        <v>490</v>
      </c>
      <c r="F139" s="3">
        <v>4</v>
      </c>
      <c r="G139" s="12">
        <f t="shared" si="4"/>
        <v>4.7</v>
      </c>
      <c r="H139" s="12">
        <f t="shared" si="5"/>
        <v>4.67</v>
      </c>
      <c r="I139" s="3">
        <v>16.079670199999999</v>
      </c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>
        <v>2.74</v>
      </c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>
        <v>4.7</v>
      </c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>
        <v>4.67</v>
      </c>
      <c r="GF139" s="4">
        <v>3.97</v>
      </c>
      <c r="GG139" s="4"/>
      <c r="GH139" s="4"/>
      <c r="GI139" s="4"/>
      <c r="GJ139" s="4"/>
      <c r="GK139" s="4"/>
      <c r="GL139" s="4"/>
      <c r="GM139" s="4"/>
      <c r="GN139" s="4"/>
      <c r="GO139" s="4"/>
      <c r="GP139" s="4"/>
      <c r="GQ139" s="4"/>
      <c r="GR139" s="4"/>
      <c r="GS139" s="4"/>
      <c r="GT139" s="4"/>
      <c r="GU139" s="4"/>
      <c r="GV139" s="4"/>
      <c r="GW139" s="4"/>
      <c r="GX139" s="4"/>
      <c r="GY139" s="4"/>
      <c r="GZ139" s="4"/>
      <c r="HA139" s="4"/>
      <c r="HB139" s="4"/>
      <c r="HC139" s="4"/>
      <c r="HD139" s="4"/>
      <c r="HE139" s="4"/>
      <c r="HF139" s="4"/>
      <c r="HG139" s="4"/>
      <c r="HH139" s="4"/>
      <c r="HI139" s="4"/>
      <c r="HJ139" s="4"/>
    </row>
    <row r="140" spans="1:218">
      <c r="A140" t="s">
        <v>912</v>
      </c>
      <c r="B140" t="s">
        <v>913</v>
      </c>
      <c r="C140" t="s">
        <v>489</v>
      </c>
      <c r="D140" t="s">
        <v>490</v>
      </c>
      <c r="E140" t="s">
        <v>490</v>
      </c>
      <c r="F140" s="3">
        <v>4</v>
      </c>
      <c r="G140" s="12">
        <f t="shared" si="4"/>
        <v>5.12</v>
      </c>
      <c r="H140" s="12">
        <f t="shared" si="5"/>
        <v>4.33</v>
      </c>
      <c r="I140" s="3">
        <v>16.2055498</v>
      </c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>
        <v>4.33</v>
      </c>
      <c r="Y140" s="4">
        <v>2.75</v>
      </c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>
        <v>4</v>
      </c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>
        <v>5.12</v>
      </c>
      <c r="GC140" s="4"/>
      <c r="GD140" s="4"/>
      <c r="GE140" s="4"/>
      <c r="GF140" s="4"/>
      <c r="GG140" s="4"/>
      <c r="GH140" s="4"/>
      <c r="GI140" s="4"/>
      <c r="GJ140" s="4"/>
      <c r="GK140" s="4"/>
      <c r="GL140" s="4"/>
      <c r="GM140" s="4"/>
      <c r="GN140" s="4"/>
      <c r="GO140" s="4"/>
      <c r="GP140" s="4"/>
      <c r="GQ140" s="4"/>
      <c r="GR140" s="4"/>
      <c r="GS140" s="4"/>
      <c r="GT140" s="4"/>
      <c r="GU140" s="4"/>
      <c r="GV140" s="4"/>
      <c r="GW140" s="4"/>
      <c r="GX140" s="4"/>
      <c r="GY140" s="4"/>
      <c r="GZ140" s="4"/>
      <c r="HA140" s="4"/>
      <c r="HB140" s="4"/>
      <c r="HC140" s="4"/>
      <c r="HD140" s="4"/>
      <c r="HE140" s="4"/>
      <c r="HF140" s="4"/>
      <c r="HG140" s="4"/>
      <c r="HH140" s="4"/>
      <c r="HI140" s="4"/>
      <c r="HJ140" s="4"/>
    </row>
    <row r="141" spans="1:218" hidden="1">
      <c r="A141" t="s">
        <v>1045</v>
      </c>
      <c r="B141" t="s">
        <v>1046</v>
      </c>
      <c r="C141" t="s">
        <v>821</v>
      </c>
      <c r="D141" t="s">
        <v>1047</v>
      </c>
      <c r="E141" t="s">
        <v>1048</v>
      </c>
      <c r="F141" s="3">
        <v>3</v>
      </c>
      <c r="G141" s="12">
        <f t="shared" si="4"/>
        <v>4.92</v>
      </c>
      <c r="H141" s="12">
        <f t="shared" si="5"/>
        <v>4.9000000000000004</v>
      </c>
      <c r="I141" s="3">
        <v>14.239900199999999</v>
      </c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>
        <v>4.92</v>
      </c>
      <c r="CG141" s="4">
        <v>4.42</v>
      </c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>
        <v>4.9000000000000004</v>
      </c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 s="4"/>
      <c r="GM141" s="4"/>
      <c r="GN141" s="4"/>
      <c r="GO141" s="4"/>
      <c r="GP141" s="4"/>
      <c r="GQ141" s="4"/>
      <c r="GR141" s="4"/>
      <c r="GS141" s="4"/>
      <c r="GT141" s="4"/>
      <c r="GU141" s="4"/>
      <c r="GV141" s="4"/>
      <c r="GW141" s="4"/>
      <c r="GX141" s="4"/>
      <c r="GY141" s="4"/>
      <c r="GZ141" s="4"/>
      <c r="HA141" s="4"/>
      <c r="HB141" s="4"/>
      <c r="HC141" s="4"/>
      <c r="HD141" s="4"/>
      <c r="HE141" s="4"/>
      <c r="HF141" s="4"/>
      <c r="HG141" s="4"/>
      <c r="HH141" s="4"/>
      <c r="HI141" s="4"/>
      <c r="HJ141" s="4"/>
    </row>
    <row r="142" spans="1:218" hidden="1">
      <c r="A142" t="s">
        <v>1104</v>
      </c>
      <c r="B142" t="s">
        <v>1105</v>
      </c>
      <c r="C142" t="s">
        <v>505</v>
      </c>
      <c r="D142" t="s">
        <v>1106</v>
      </c>
      <c r="E142" t="s">
        <v>1107</v>
      </c>
      <c r="F142" s="3">
        <v>3</v>
      </c>
      <c r="G142" s="12">
        <f t="shared" si="4"/>
        <v>4.75</v>
      </c>
      <c r="H142" s="12">
        <f t="shared" si="5"/>
        <v>3.97</v>
      </c>
      <c r="I142" s="3">
        <v>12.6841898</v>
      </c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>
        <v>3.96</v>
      </c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>
        <v>3.97</v>
      </c>
      <c r="FL142" s="4"/>
      <c r="FM142" s="4"/>
      <c r="FN142" s="4">
        <v>4.75</v>
      </c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 s="4"/>
      <c r="GM142" s="4"/>
      <c r="GN142" s="4"/>
      <c r="GO142" s="4"/>
      <c r="GP142" s="4"/>
      <c r="GQ142" s="4"/>
      <c r="GR142" s="4"/>
      <c r="GS142" s="4"/>
      <c r="GT142" s="4"/>
      <c r="GU142" s="4"/>
      <c r="GV142" s="4"/>
      <c r="GW142" s="4"/>
      <c r="GX142" s="4"/>
      <c r="GY142" s="4"/>
      <c r="GZ142" s="4"/>
      <c r="HA142" s="4"/>
      <c r="HB142" s="4"/>
      <c r="HC142" s="4"/>
      <c r="HD142" s="4"/>
      <c r="HE142" s="4"/>
      <c r="HF142" s="4"/>
      <c r="HG142" s="4"/>
      <c r="HH142" s="4"/>
      <c r="HI142" s="4"/>
      <c r="HJ142" s="4"/>
    </row>
    <row r="143" spans="1:218" hidden="1">
      <c r="A143" t="s">
        <v>1112</v>
      </c>
      <c r="B143" t="s">
        <v>1113</v>
      </c>
      <c r="C143" t="s">
        <v>505</v>
      </c>
      <c r="D143" t="s">
        <v>1114</v>
      </c>
      <c r="E143" t="s">
        <v>1115</v>
      </c>
      <c r="F143" s="3">
        <v>3</v>
      </c>
      <c r="G143" s="12">
        <f t="shared" si="4"/>
        <v>4.43</v>
      </c>
      <c r="H143" s="12">
        <f t="shared" si="5"/>
        <v>4.3600000000000003</v>
      </c>
      <c r="I143" s="3">
        <v>12.3967104</v>
      </c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>
        <v>4.3600000000000003</v>
      </c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>
        <v>3.61</v>
      </c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>
        <v>4.43</v>
      </c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 s="4"/>
      <c r="GM143" s="4"/>
      <c r="GN143" s="4"/>
      <c r="GO143" s="4"/>
      <c r="GP143" s="4"/>
      <c r="GQ143" s="4"/>
      <c r="GR143" s="4"/>
      <c r="GS143" s="4"/>
      <c r="GT143" s="4"/>
      <c r="GU143" s="4"/>
      <c r="GV143" s="4"/>
      <c r="GW143" s="4"/>
      <c r="GX143" s="4"/>
      <c r="GY143" s="4"/>
      <c r="GZ143" s="4"/>
      <c r="HA143" s="4"/>
      <c r="HB143" s="4"/>
      <c r="HC143" s="4"/>
      <c r="HD143" s="4"/>
      <c r="HE143" s="4"/>
      <c r="HF143" s="4"/>
      <c r="HG143" s="4"/>
      <c r="HH143" s="4"/>
      <c r="HI143" s="4"/>
      <c r="HJ143" s="4"/>
    </row>
    <row r="144" spans="1:218" hidden="1">
      <c r="A144" t="s">
        <v>1174</v>
      </c>
      <c r="B144" t="s">
        <v>1175</v>
      </c>
      <c r="C144" t="s">
        <v>443</v>
      </c>
      <c r="D144" t="s">
        <v>1176</v>
      </c>
      <c r="E144" t="s">
        <v>1177</v>
      </c>
      <c r="F144" s="3">
        <v>3</v>
      </c>
      <c r="G144" s="12">
        <f t="shared" si="4"/>
        <v>4.9400000000000004</v>
      </c>
      <c r="H144" s="12">
        <f t="shared" si="5"/>
        <v>3.25</v>
      </c>
      <c r="I144" s="3">
        <v>10.22889</v>
      </c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>
        <v>2.04</v>
      </c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>
        <v>4.9400000000000004</v>
      </c>
      <c r="FK144" s="4"/>
      <c r="FL144" s="4">
        <v>3.25</v>
      </c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 s="4"/>
      <c r="GM144" s="4"/>
      <c r="GN144" s="4"/>
      <c r="GO144" s="4"/>
      <c r="GP144" s="4"/>
      <c r="GQ144" s="4"/>
      <c r="GR144" s="4"/>
      <c r="GS144" s="4"/>
      <c r="GT144" s="4"/>
      <c r="GU144" s="4"/>
      <c r="GV144" s="4"/>
      <c r="GW144" s="4"/>
      <c r="GX144" s="4"/>
      <c r="GY144" s="4"/>
      <c r="GZ144" s="4"/>
      <c r="HA144" s="4"/>
      <c r="HB144" s="4"/>
      <c r="HC144" s="4"/>
      <c r="HD144" s="4"/>
      <c r="HE144" s="4"/>
      <c r="HF144" s="4"/>
      <c r="HG144" s="4"/>
      <c r="HH144" s="4"/>
      <c r="HI144" s="4"/>
      <c r="HJ144" s="4"/>
    </row>
    <row r="145" spans="1:218" hidden="1">
      <c r="A145" t="s">
        <v>1178</v>
      </c>
      <c r="B145" t="s">
        <v>1179</v>
      </c>
      <c r="C145" t="s">
        <v>505</v>
      </c>
      <c r="D145" t="s">
        <v>1180</v>
      </c>
      <c r="E145" t="s">
        <v>1181</v>
      </c>
      <c r="F145" s="3">
        <v>3</v>
      </c>
      <c r="G145" s="12">
        <f t="shared" si="4"/>
        <v>4.08</v>
      </c>
      <c r="H145" s="12">
        <f t="shared" si="5"/>
        <v>3.1</v>
      </c>
      <c r="I145" s="3">
        <v>10.2285597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>
        <v>3.05</v>
      </c>
      <c r="AA145" s="4"/>
      <c r="AB145" s="4">
        <v>4.08</v>
      </c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 s="4"/>
      <c r="GM145" s="4"/>
      <c r="GN145" s="4"/>
      <c r="GO145" s="4"/>
      <c r="GP145" s="4"/>
      <c r="GQ145" s="4"/>
      <c r="GR145" s="4"/>
      <c r="GS145" s="4"/>
      <c r="GT145" s="4"/>
      <c r="GU145" s="4"/>
      <c r="GV145" s="4"/>
      <c r="GW145" s="4"/>
      <c r="GX145" s="4"/>
      <c r="GY145" s="4"/>
      <c r="GZ145" s="4"/>
      <c r="HA145" s="4"/>
      <c r="HB145" s="4"/>
      <c r="HC145" s="4">
        <v>3.1</v>
      </c>
      <c r="HD145" s="4"/>
      <c r="HE145" s="4"/>
      <c r="HF145" s="4"/>
      <c r="HG145" s="4"/>
      <c r="HH145" s="4"/>
      <c r="HI145" s="4"/>
      <c r="HJ145" s="4"/>
    </row>
    <row r="146" spans="1:218" hidden="1">
      <c r="A146" t="s">
        <v>1153</v>
      </c>
      <c r="B146" t="s">
        <v>1154</v>
      </c>
      <c r="C146" t="s">
        <v>505</v>
      </c>
      <c r="D146" t="s">
        <v>1131</v>
      </c>
      <c r="E146" t="s">
        <v>1155</v>
      </c>
      <c r="F146" s="3">
        <v>3</v>
      </c>
      <c r="G146" s="12">
        <f t="shared" si="4"/>
        <v>4.3</v>
      </c>
      <c r="H146" s="12">
        <f t="shared" si="5"/>
        <v>4.08</v>
      </c>
      <c r="I146" s="3">
        <v>11.560309699999999</v>
      </c>
      <c r="K146" s="4"/>
      <c r="L146" s="4"/>
      <c r="M146" s="4"/>
      <c r="N146" s="4"/>
      <c r="O146" s="4"/>
      <c r="P146" s="4"/>
      <c r="Q146" s="4">
        <v>4.08</v>
      </c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>
        <v>4.3</v>
      </c>
      <c r="EQ146" s="4"/>
      <c r="ER146" s="4"/>
      <c r="ES146" s="4">
        <v>3.18</v>
      </c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 s="4"/>
      <c r="GM146" s="4"/>
      <c r="GN146" s="4"/>
      <c r="GO146" s="4"/>
      <c r="GP146" s="4"/>
      <c r="GQ146" s="4"/>
      <c r="GR146" s="4"/>
      <c r="GS146" s="4"/>
      <c r="GT146" s="4"/>
      <c r="GU146" s="4"/>
      <c r="GV146" s="4"/>
      <c r="GW146" s="4"/>
      <c r="GX146" s="4"/>
      <c r="GY146" s="4"/>
      <c r="GZ146" s="4"/>
      <c r="HA146" s="4"/>
      <c r="HB146" s="4"/>
      <c r="HC146" s="4"/>
      <c r="HD146" s="4"/>
      <c r="HE146" s="4"/>
      <c r="HF146" s="4"/>
      <c r="HG146" s="4"/>
      <c r="HH146" s="4"/>
      <c r="HI146" s="4"/>
      <c r="HJ146" s="4"/>
    </row>
    <row r="147" spans="1:218" hidden="1">
      <c r="A147" t="s">
        <v>1062</v>
      </c>
      <c r="B147" t="s">
        <v>1063</v>
      </c>
      <c r="C147" t="s">
        <v>505</v>
      </c>
      <c r="D147" t="s">
        <v>1064</v>
      </c>
      <c r="E147" t="s">
        <v>1065</v>
      </c>
      <c r="F147" s="3">
        <v>3</v>
      </c>
      <c r="G147" s="12">
        <f t="shared" si="4"/>
        <v>5.45</v>
      </c>
      <c r="H147" s="12">
        <f t="shared" si="5"/>
        <v>5.15</v>
      </c>
      <c r="I147" s="3">
        <v>13.85834</v>
      </c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>
        <v>5.45</v>
      </c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>
        <v>5.15</v>
      </c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 s="4"/>
      <c r="GM147" s="4"/>
      <c r="GN147" s="4"/>
      <c r="GO147" s="4"/>
      <c r="GP147" s="4"/>
      <c r="GQ147" s="4"/>
      <c r="GR147" s="4"/>
      <c r="GS147" s="4"/>
      <c r="GT147" s="4"/>
      <c r="GU147" s="4"/>
      <c r="GV147" s="4"/>
      <c r="GW147" s="4"/>
      <c r="GX147" s="4"/>
      <c r="GY147" s="4"/>
      <c r="GZ147" s="4"/>
      <c r="HA147" s="4"/>
      <c r="HB147" s="4"/>
      <c r="HC147" s="4">
        <v>3.25</v>
      </c>
      <c r="HD147" s="4"/>
      <c r="HE147" s="4"/>
      <c r="HF147" s="4"/>
      <c r="HG147" s="4"/>
      <c r="HH147" s="4"/>
      <c r="HI147" s="4"/>
      <c r="HJ147" s="4"/>
    </row>
    <row r="148" spans="1:218" hidden="1">
      <c r="A148" t="s">
        <v>1190</v>
      </c>
      <c r="B148" t="s">
        <v>1191</v>
      </c>
      <c r="C148" t="s">
        <v>1192</v>
      </c>
      <c r="D148" t="s">
        <v>1193</v>
      </c>
      <c r="E148" t="s">
        <v>1194</v>
      </c>
      <c r="F148" s="3">
        <v>3</v>
      </c>
      <c r="G148" s="12">
        <f t="shared" si="4"/>
        <v>3.43</v>
      </c>
      <c r="H148" s="12">
        <f t="shared" si="5"/>
        <v>3.2</v>
      </c>
      <c r="I148" s="3">
        <v>9.8119999999999994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>
        <v>3.43</v>
      </c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>
        <v>3.2</v>
      </c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>
        <v>3.19</v>
      </c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 s="4"/>
      <c r="GM148" s="4"/>
      <c r="GN148" s="4"/>
      <c r="GO148" s="4"/>
      <c r="GP148" s="4"/>
      <c r="GQ148" s="4"/>
      <c r="GR148" s="4"/>
      <c r="GS148" s="4"/>
      <c r="GT148" s="4"/>
      <c r="GU148" s="4"/>
      <c r="GV148" s="4"/>
      <c r="GW148" s="4"/>
      <c r="GX148" s="4"/>
      <c r="GY148" s="4"/>
      <c r="GZ148" s="4"/>
      <c r="HA148" s="4"/>
      <c r="HB148" s="4"/>
      <c r="HC148" s="4"/>
      <c r="HD148" s="4"/>
      <c r="HE148" s="4"/>
      <c r="HF148" s="4"/>
      <c r="HG148" s="4"/>
      <c r="HH148" s="4"/>
      <c r="HI148" s="4"/>
      <c r="HJ148" s="4"/>
    </row>
    <row r="149" spans="1:218" hidden="1">
      <c r="A149" t="s">
        <v>1072</v>
      </c>
      <c r="B149" t="s">
        <v>1073</v>
      </c>
      <c r="C149" t="s">
        <v>1074</v>
      </c>
      <c r="D149" t="s">
        <v>1075</v>
      </c>
      <c r="E149" t="s">
        <v>1076</v>
      </c>
      <c r="F149" s="3">
        <v>3</v>
      </c>
      <c r="G149" s="12">
        <f t="shared" si="4"/>
        <v>6.6</v>
      </c>
      <c r="H149" s="12">
        <f t="shared" si="5"/>
        <v>5.09</v>
      </c>
      <c r="I149" s="3">
        <v>13.740930000000001</v>
      </c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>
        <v>5.09</v>
      </c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>
        <v>6.6</v>
      </c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>
        <v>2.0499999999999998</v>
      </c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 s="4"/>
      <c r="GM149" s="4"/>
      <c r="GN149" s="4"/>
      <c r="GO149" s="4"/>
      <c r="GP149" s="4"/>
      <c r="GQ149" s="4"/>
      <c r="GR149" s="4"/>
      <c r="GS149" s="4"/>
      <c r="GT149" s="4"/>
      <c r="GU149" s="4"/>
      <c r="GV149" s="4"/>
      <c r="GW149" s="4"/>
      <c r="GX149" s="4"/>
      <c r="GY149" s="4"/>
      <c r="GZ149" s="4"/>
      <c r="HA149" s="4"/>
      <c r="HB149" s="4"/>
      <c r="HC149" s="4"/>
      <c r="HD149" s="4"/>
      <c r="HE149" s="4"/>
      <c r="HF149" s="4"/>
      <c r="HG149" s="4"/>
      <c r="HH149" s="4"/>
      <c r="HI149" s="4"/>
      <c r="HJ149" s="4"/>
    </row>
    <row r="150" spans="1:218" hidden="1">
      <c r="A150" t="s">
        <v>1066</v>
      </c>
      <c r="B150" t="s">
        <v>1067</v>
      </c>
      <c r="C150" t="s">
        <v>590</v>
      </c>
      <c r="D150" t="s">
        <v>1068</v>
      </c>
      <c r="E150" t="s">
        <v>1069</v>
      </c>
      <c r="F150" s="3">
        <v>3</v>
      </c>
      <c r="G150" s="12">
        <f t="shared" si="4"/>
        <v>9.0299999999999994</v>
      </c>
      <c r="H150" s="12">
        <f t="shared" si="5"/>
        <v>2.56</v>
      </c>
      <c r="I150" s="3">
        <v>13.847619999999999</v>
      </c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>
        <v>9.0299999999999994</v>
      </c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>
        <v>2.2599999999999998</v>
      </c>
      <c r="EN150" s="4">
        <v>2.56</v>
      </c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 s="4"/>
      <c r="GM150" s="4"/>
      <c r="GN150" s="4"/>
      <c r="GO150" s="4"/>
      <c r="GP150" s="4"/>
      <c r="GQ150" s="4"/>
      <c r="GR150" s="4"/>
      <c r="GS150" s="4"/>
      <c r="GT150" s="4"/>
      <c r="GU150" s="4"/>
      <c r="GV150" s="4"/>
      <c r="GW150" s="4"/>
      <c r="GX150" s="4"/>
      <c r="GY150" s="4"/>
      <c r="GZ150" s="4"/>
      <c r="HA150" s="4"/>
      <c r="HB150" s="4"/>
      <c r="HC150" s="4"/>
      <c r="HD150" s="4"/>
      <c r="HE150" s="4"/>
      <c r="HF150" s="4"/>
      <c r="HG150" s="4"/>
      <c r="HH150" s="4"/>
      <c r="HI150" s="4"/>
      <c r="HJ150" s="4"/>
    </row>
    <row r="151" spans="1:218" hidden="1">
      <c r="A151" t="s">
        <v>1195</v>
      </c>
      <c r="B151" t="s">
        <v>1196</v>
      </c>
      <c r="C151" t="s">
        <v>505</v>
      </c>
      <c r="D151" t="s">
        <v>1197</v>
      </c>
      <c r="E151" t="s">
        <v>1198</v>
      </c>
      <c r="F151" s="3">
        <v>3</v>
      </c>
      <c r="G151" s="12">
        <f t="shared" si="4"/>
        <v>3.92</v>
      </c>
      <c r="H151" s="12">
        <f t="shared" si="5"/>
        <v>3.8</v>
      </c>
      <c r="I151" s="3">
        <v>9.5103600000000004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>
        <v>3.8</v>
      </c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 s="4"/>
      <c r="GM151" s="4"/>
      <c r="GN151" s="4"/>
      <c r="GO151" s="4"/>
      <c r="GP151" s="4"/>
      <c r="GQ151" s="4"/>
      <c r="GR151" s="4">
        <v>1.8</v>
      </c>
      <c r="GS151" s="4"/>
      <c r="GT151" s="4"/>
      <c r="GU151" s="4"/>
      <c r="GV151" s="4"/>
      <c r="GW151" s="4"/>
      <c r="GX151" s="4"/>
      <c r="GY151" s="4"/>
      <c r="GZ151" s="4"/>
      <c r="HA151" s="4"/>
      <c r="HB151" s="4">
        <v>3.92</v>
      </c>
      <c r="HC151" s="4"/>
      <c r="HD151" s="4"/>
      <c r="HE151" s="4"/>
      <c r="HF151" s="4"/>
      <c r="HG151" s="4"/>
      <c r="HH151" s="4"/>
      <c r="HI151" s="4"/>
      <c r="HJ151" s="4"/>
    </row>
    <row r="152" spans="1:218" hidden="1">
      <c r="A152" t="s">
        <v>1100</v>
      </c>
      <c r="B152" t="s">
        <v>1101</v>
      </c>
      <c r="C152" t="s">
        <v>505</v>
      </c>
      <c r="D152" t="s">
        <v>1102</v>
      </c>
      <c r="E152" t="s">
        <v>1103</v>
      </c>
      <c r="F152" s="3">
        <v>3</v>
      </c>
      <c r="G152" s="12">
        <f t="shared" si="4"/>
        <v>6.93</v>
      </c>
      <c r="H152" s="12">
        <f t="shared" si="5"/>
        <v>3.36</v>
      </c>
      <c r="I152" s="3">
        <v>12.75956</v>
      </c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>
        <v>2.4700000000000002</v>
      </c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>
        <v>6.93</v>
      </c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 s="4"/>
      <c r="GM152" s="4"/>
      <c r="GN152" s="4"/>
      <c r="GO152" s="4"/>
      <c r="GP152" s="4"/>
      <c r="GQ152" s="4"/>
      <c r="GR152" s="4"/>
      <c r="GS152" s="4"/>
      <c r="GT152" s="4"/>
      <c r="GU152" s="4"/>
      <c r="GV152" s="4"/>
      <c r="GW152" s="4"/>
      <c r="GX152" s="4"/>
      <c r="GY152" s="4"/>
      <c r="GZ152" s="4"/>
      <c r="HA152" s="4"/>
      <c r="HB152" s="4"/>
      <c r="HC152" s="4">
        <v>3.36</v>
      </c>
      <c r="HD152" s="4"/>
      <c r="HE152" s="4"/>
      <c r="HF152" s="4"/>
      <c r="HG152" s="4"/>
      <c r="HH152" s="4"/>
      <c r="HI152" s="4"/>
      <c r="HJ152" s="4"/>
    </row>
    <row r="153" spans="1:218" hidden="1">
      <c r="A153" t="s">
        <v>1156</v>
      </c>
      <c r="B153" t="s">
        <v>1157</v>
      </c>
      <c r="C153" t="s">
        <v>754</v>
      </c>
      <c r="D153" t="s">
        <v>1158</v>
      </c>
      <c r="E153" t="s">
        <v>1159</v>
      </c>
      <c r="F153" s="3">
        <v>3</v>
      </c>
      <c r="G153" s="12">
        <f t="shared" si="4"/>
        <v>5.59</v>
      </c>
      <c r="H153" s="12">
        <f t="shared" si="5"/>
        <v>3.76</v>
      </c>
      <c r="I153" s="3">
        <v>11.4787</v>
      </c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>
        <v>5.59</v>
      </c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>
        <v>2.12</v>
      </c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 s="4"/>
      <c r="GM153" s="4"/>
      <c r="GN153" s="4"/>
      <c r="GO153" s="4">
        <v>3.76</v>
      </c>
      <c r="GP153" s="4"/>
      <c r="GQ153" s="4"/>
      <c r="GR153" s="4"/>
      <c r="GS153" s="4"/>
      <c r="GT153" s="4"/>
      <c r="GU153" s="4"/>
      <c r="GV153" s="4"/>
      <c r="GW153" s="4"/>
      <c r="GX153" s="4"/>
      <c r="GY153" s="4"/>
      <c r="GZ153" s="4"/>
      <c r="HA153" s="4"/>
      <c r="HB153" s="4"/>
      <c r="HC153" s="4"/>
      <c r="HD153" s="4"/>
      <c r="HE153" s="4"/>
      <c r="HF153" s="4"/>
      <c r="HG153" s="4"/>
      <c r="HH153" s="4"/>
      <c r="HI153" s="4"/>
      <c r="HJ153" s="4"/>
    </row>
    <row r="154" spans="1:218" hidden="1">
      <c r="A154" t="s">
        <v>1026</v>
      </c>
      <c r="B154" t="s">
        <v>1027</v>
      </c>
      <c r="C154" t="s">
        <v>1028</v>
      </c>
      <c r="D154" t="s">
        <v>1029</v>
      </c>
      <c r="E154" t="s">
        <v>1030</v>
      </c>
      <c r="F154" s="3">
        <v>3</v>
      </c>
      <c r="G154" s="12">
        <f t="shared" si="4"/>
        <v>5.31</v>
      </c>
      <c r="H154" s="12">
        <f t="shared" si="5"/>
        <v>4.95</v>
      </c>
      <c r="I154" s="3">
        <v>15.1916704</v>
      </c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>
        <v>5.31</v>
      </c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>
        <v>4.95</v>
      </c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 s="4"/>
      <c r="GM154" s="4"/>
      <c r="GN154" s="4"/>
      <c r="GO154" s="4">
        <v>4.92</v>
      </c>
      <c r="GP154" s="4"/>
      <c r="GQ154" s="4"/>
      <c r="GR154" s="4"/>
      <c r="GS154" s="4"/>
      <c r="GT154" s="4"/>
      <c r="GU154" s="4"/>
      <c r="GV154" s="4"/>
      <c r="GW154" s="4"/>
      <c r="GX154" s="4"/>
      <c r="GY154" s="4"/>
      <c r="GZ154" s="4"/>
      <c r="HA154" s="4"/>
      <c r="HB154" s="4"/>
      <c r="HC154" s="4"/>
      <c r="HD154" s="4"/>
      <c r="HE154" s="4"/>
      <c r="HF154" s="4"/>
      <c r="HG154" s="4"/>
      <c r="HH154" s="4"/>
      <c r="HI154" s="4"/>
      <c r="HJ154" s="4"/>
    </row>
    <row r="155" spans="1:218" hidden="1">
      <c r="A155" t="s">
        <v>1085</v>
      </c>
      <c r="B155" t="s">
        <v>1086</v>
      </c>
      <c r="C155" t="s">
        <v>505</v>
      </c>
      <c r="D155" t="s">
        <v>1087</v>
      </c>
      <c r="E155" t="s">
        <v>1088</v>
      </c>
      <c r="F155" s="3">
        <v>3</v>
      </c>
      <c r="G155" s="12">
        <f t="shared" si="4"/>
        <v>5.6</v>
      </c>
      <c r="H155" s="12">
        <f t="shared" si="5"/>
        <v>4.34</v>
      </c>
      <c r="I155" s="3">
        <v>13.5598802</v>
      </c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>
        <v>4.34</v>
      </c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>
        <v>5.6</v>
      </c>
      <c r="GG155" s="4"/>
      <c r="GH155" s="4"/>
      <c r="GI155" s="4"/>
      <c r="GJ155" s="4"/>
      <c r="GK155" s="4"/>
      <c r="GL155" s="4"/>
      <c r="GM155" s="4"/>
      <c r="GN155" s="4"/>
      <c r="GO155" s="4">
        <v>3.62</v>
      </c>
      <c r="GP155" s="4"/>
      <c r="GQ155" s="4"/>
      <c r="GR155" s="4"/>
      <c r="GS155" s="4"/>
      <c r="GT155" s="4"/>
      <c r="GU155" s="4"/>
      <c r="GV155" s="4"/>
      <c r="GW155" s="4"/>
      <c r="GX155" s="4"/>
      <c r="GY155" s="4"/>
      <c r="GZ155" s="4"/>
      <c r="HA155" s="4"/>
      <c r="HB155" s="4"/>
      <c r="HC155" s="4"/>
      <c r="HD155" s="4"/>
      <c r="HE155" s="4"/>
      <c r="HF155" s="4"/>
      <c r="HG155" s="4"/>
      <c r="HH155" s="4"/>
      <c r="HI155" s="4"/>
      <c r="HJ155" s="4"/>
    </row>
    <row r="156" spans="1:218" hidden="1">
      <c r="A156" t="s">
        <v>980</v>
      </c>
      <c r="B156" t="s">
        <v>981</v>
      </c>
      <c r="C156" t="s">
        <v>505</v>
      </c>
      <c r="D156" t="s">
        <v>982</v>
      </c>
      <c r="E156" t="s">
        <v>983</v>
      </c>
      <c r="F156" s="3">
        <v>3</v>
      </c>
      <c r="G156" s="12">
        <f t="shared" si="4"/>
        <v>7.56</v>
      </c>
      <c r="H156" s="12">
        <f t="shared" si="5"/>
        <v>6.75</v>
      </c>
      <c r="I156" s="3">
        <v>20.176259999999999</v>
      </c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>
        <v>5.87</v>
      </c>
      <c r="BX156" s="4"/>
      <c r="BY156" s="4"/>
      <c r="BZ156" s="4"/>
      <c r="CA156" s="4"/>
      <c r="CB156" s="4">
        <v>7.56</v>
      </c>
      <c r="CC156" s="4"/>
      <c r="CD156" s="4"/>
      <c r="CE156" s="4"/>
      <c r="CF156" s="4"/>
      <c r="CG156" s="4"/>
      <c r="CH156" s="4"/>
      <c r="CI156" s="4"/>
      <c r="CJ156" s="4"/>
      <c r="CK156" s="4">
        <v>6.75</v>
      </c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 s="4"/>
      <c r="GM156" s="4"/>
      <c r="GN156" s="4"/>
      <c r="GO156" s="4"/>
      <c r="GP156" s="4"/>
      <c r="GQ156" s="4"/>
      <c r="GR156" s="4"/>
      <c r="GS156" s="4"/>
      <c r="GT156" s="4"/>
      <c r="GU156" s="4"/>
      <c r="GV156" s="4"/>
      <c r="GW156" s="4"/>
      <c r="GX156" s="4"/>
      <c r="GY156" s="4"/>
      <c r="GZ156" s="4"/>
      <c r="HA156" s="4"/>
      <c r="HB156" s="4"/>
      <c r="HC156" s="4"/>
      <c r="HD156" s="4"/>
      <c r="HE156" s="4"/>
      <c r="HF156" s="4"/>
      <c r="HG156" s="4"/>
      <c r="HH156" s="4"/>
      <c r="HI156" s="4"/>
      <c r="HJ156" s="4"/>
    </row>
    <row r="157" spans="1:218" hidden="1">
      <c r="A157" t="s">
        <v>957</v>
      </c>
      <c r="B157" t="s">
        <v>958</v>
      </c>
      <c r="C157" t="s">
        <v>505</v>
      </c>
      <c r="D157" t="s">
        <v>959</v>
      </c>
      <c r="E157" t="s">
        <v>960</v>
      </c>
      <c r="F157" s="3">
        <v>3</v>
      </c>
      <c r="G157" s="12">
        <f t="shared" si="4"/>
        <v>10.72</v>
      </c>
      <c r="H157" s="12">
        <f t="shared" si="5"/>
        <v>7.08</v>
      </c>
      <c r="I157" s="3">
        <v>22.1716598</v>
      </c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>
        <v>7.08</v>
      </c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>
        <v>4.38</v>
      </c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 s="4"/>
      <c r="GM157" s="4"/>
      <c r="GN157" s="4"/>
      <c r="GO157" s="4"/>
      <c r="GP157" s="4"/>
      <c r="GQ157" s="4"/>
      <c r="GR157" s="4"/>
      <c r="GS157" s="4">
        <v>10.72</v>
      </c>
      <c r="GT157" s="4"/>
      <c r="GU157" s="4"/>
      <c r="GV157" s="4"/>
      <c r="GW157" s="4"/>
      <c r="GX157" s="4"/>
      <c r="GY157" s="4"/>
      <c r="GZ157" s="4"/>
      <c r="HA157" s="4"/>
      <c r="HB157" s="4"/>
      <c r="HC157" s="4"/>
      <c r="HD157" s="4"/>
      <c r="HE157" s="4"/>
      <c r="HF157" s="4"/>
      <c r="HG157" s="4"/>
      <c r="HH157" s="4"/>
      <c r="HI157" s="4"/>
      <c r="HJ157" s="4"/>
    </row>
    <row r="158" spans="1:218" hidden="1">
      <c r="A158" t="s">
        <v>1016</v>
      </c>
      <c r="B158" t="s">
        <v>1017</v>
      </c>
      <c r="C158" t="s">
        <v>505</v>
      </c>
      <c r="D158" t="s">
        <v>1018</v>
      </c>
      <c r="E158" t="s">
        <v>1019</v>
      </c>
      <c r="F158" s="3">
        <v>3</v>
      </c>
      <c r="G158" s="12">
        <f t="shared" si="4"/>
        <v>8.11</v>
      </c>
      <c r="H158" s="12">
        <f t="shared" si="5"/>
        <v>4.22</v>
      </c>
      <c r="I158" s="3">
        <v>15.4886</v>
      </c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>
        <v>4.22</v>
      </c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>
        <v>8.11</v>
      </c>
      <c r="GF158" s="4"/>
      <c r="GG158" s="4"/>
      <c r="GH158" s="4"/>
      <c r="GI158" s="4"/>
      <c r="GJ158" s="4"/>
      <c r="GK158" s="4"/>
      <c r="GL158" s="4"/>
      <c r="GM158" s="4"/>
      <c r="GN158" s="4"/>
      <c r="GO158" s="4"/>
      <c r="GP158" s="4"/>
      <c r="GQ158" s="4"/>
      <c r="GR158" s="4"/>
      <c r="GS158" s="4"/>
      <c r="GT158" s="4"/>
      <c r="GU158" s="4"/>
      <c r="GV158" s="4"/>
      <c r="GW158" s="4"/>
      <c r="GX158" s="4"/>
      <c r="GY158" s="4"/>
      <c r="GZ158" s="4"/>
      <c r="HA158" s="4"/>
      <c r="HB158" s="4"/>
      <c r="HC158" s="4">
        <v>3.16</v>
      </c>
      <c r="HD158" s="4"/>
      <c r="HE158" s="4"/>
      <c r="HF158" s="4"/>
      <c r="HG158" s="4"/>
      <c r="HH158" s="4"/>
      <c r="HI158" s="4"/>
      <c r="HJ158" s="4"/>
    </row>
    <row r="159" spans="1:218" hidden="1">
      <c r="A159" t="s">
        <v>1232</v>
      </c>
      <c r="B159" t="s">
        <v>1233</v>
      </c>
      <c r="C159" t="s">
        <v>585</v>
      </c>
      <c r="D159" t="s">
        <v>1234</v>
      </c>
      <c r="E159" t="s">
        <v>1235</v>
      </c>
      <c r="F159" s="3">
        <v>3</v>
      </c>
      <c r="G159" s="12">
        <f t="shared" si="4"/>
        <v>1.83</v>
      </c>
      <c r="H159" s="12">
        <f t="shared" si="5"/>
        <v>1.4</v>
      </c>
      <c r="I159" s="3">
        <v>4.5516999</v>
      </c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>
        <v>1.32</v>
      </c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>
        <v>1.4</v>
      </c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>
        <v>1.83</v>
      </c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 s="4"/>
      <c r="GM159" s="4"/>
      <c r="GN159" s="4"/>
      <c r="GO159" s="4"/>
      <c r="GP159" s="4"/>
      <c r="GQ159" s="4"/>
      <c r="GR159" s="4"/>
      <c r="GS159" s="4"/>
      <c r="GT159" s="4"/>
      <c r="GU159" s="4"/>
      <c r="GV159" s="4"/>
      <c r="GW159" s="4"/>
      <c r="GX159" s="4"/>
      <c r="GY159" s="4"/>
      <c r="GZ159" s="4"/>
      <c r="HA159" s="4"/>
      <c r="HB159" s="4"/>
      <c r="HC159" s="4"/>
      <c r="HD159" s="4"/>
      <c r="HE159" s="4"/>
      <c r="HF159" s="4"/>
      <c r="HG159" s="4"/>
      <c r="HH159" s="4"/>
      <c r="HI159" s="4"/>
      <c r="HJ159" s="4"/>
    </row>
    <row r="160" spans="1:218" hidden="1">
      <c r="A160" t="s">
        <v>976</v>
      </c>
      <c r="B160" t="s">
        <v>977</v>
      </c>
      <c r="C160" t="s">
        <v>505</v>
      </c>
      <c r="D160" t="s">
        <v>978</v>
      </c>
      <c r="E160" t="s">
        <v>979</v>
      </c>
      <c r="F160" s="3">
        <v>3</v>
      </c>
      <c r="G160" s="12">
        <f t="shared" si="4"/>
        <v>10.92</v>
      </c>
      <c r="H160" s="12">
        <f t="shared" si="5"/>
        <v>5.1100000000000003</v>
      </c>
      <c r="I160" s="3">
        <v>20.380950299999999</v>
      </c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>
        <v>4.3600000000000003</v>
      </c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>
        <v>5.1100000000000003</v>
      </c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>
        <v>10.92</v>
      </c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 s="4"/>
      <c r="GM160" s="4"/>
      <c r="GN160" s="4"/>
      <c r="GO160" s="4"/>
      <c r="GP160" s="4"/>
      <c r="GQ160" s="4"/>
      <c r="GR160" s="4"/>
      <c r="GS160" s="4"/>
      <c r="GT160" s="4"/>
      <c r="GU160" s="4"/>
      <c r="GV160" s="4"/>
      <c r="GW160" s="4"/>
      <c r="GX160" s="4"/>
      <c r="GY160" s="4"/>
      <c r="GZ160" s="4"/>
      <c r="HA160" s="4"/>
      <c r="HB160" s="4"/>
      <c r="HC160" s="4"/>
      <c r="HD160" s="4"/>
      <c r="HE160" s="4"/>
      <c r="HF160" s="4"/>
      <c r="HG160" s="4"/>
      <c r="HH160" s="4"/>
      <c r="HI160" s="4"/>
      <c r="HJ160" s="4"/>
    </row>
    <row r="161" spans="1:218" hidden="1">
      <c r="A161" t="s">
        <v>1186</v>
      </c>
      <c r="B161" t="s">
        <v>1187</v>
      </c>
      <c r="C161" t="s">
        <v>443</v>
      </c>
      <c r="D161" t="s">
        <v>1188</v>
      </c>
      <c r="E161" t="s">
        <v>1189</v>
      </c>
      <c r="F161" s="3">
        <v>3</v>
      </c>
      <c r="G161" s="12">
        <f t="shared" si="4"/>
        <v>5.58</v>
      </c>
      <c r="H161" s="12">
        <f t="shared" si="5"/>
        <v>2.4500000000000002</v>
      </c>
      <c r="I161" s="3">
        <v>9.8984999000000009</v>
      </c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>
        <v>5.58</v>
      </c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>
        <v>2.4500000000000002</v>
      </c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>
        <v>1.88</v>
      </c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 s="4"/>
      <c r="GM161" s="4"/>
      <c r="GN161" s="4"/>
      <c r="GO161" s="4"/>
      <c r="GP161" s="4"/>
      <c r="GQ161" s="4"/>
      <c r="GR161" s="4"/>
      <c r="GS161" s="4"/>
      <c r="GT161" s="4"/>
      <c r="GU161" s="4"/>
      <c r="GV161" s="4"/>
      <c r="GW161" s="4"/>
      <c r="GX161" s="4"/>
      <c r="GY161" s="4"/>
      <c r="GZ161" s="4"/>
      <c r="HA161" s="4"/>
      <c r="HB161" s="4"/>
      <c r="HC161" s="4"/>
      <c r="HD161" s="4"/>
      <c r="HE161" s="4"/>
      <c r="HF161" s="4"/>
      <c r="HG161" s="4"/>
      <c r="HH161" s="4"/>
      <c r="HI161" s="4"/>
      <c r="HJ161" s="4"/>
    </row>
    <row r="162" spans="1:218" hidden="1">
      <c r="A162" t="s">
        <v>1058</v>
      </c>
      <c r="B162" t="s">
        <v>1059</v>
      </c>
      <c r="C162" t="s">
        <v>505</v>
      </c>
      <c r="D162" t="s">
        <v>1060</v>
      </c>
      <c r="E162" t="s">
        <v>1061</v>
      </c>
      <c r="F162" s="3">
        <v>3</v>
      </c>
      <c r="G162" s="12">
        <f t="shared" si="4"/>
        <v>5.6</v>
      </c>
      <c r="H162" s="12">
        <f t="shared" si="5"/>
        <v>4.18</v>
      </c>
      <c r="I162" s="3">
        <v>13.9482398</v>
      </c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>
        <v>4.18</v>
      </c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>
        <v>5.6</v>
      </c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 s="4"/>
      <c r="GM162" s="4"/>
      <c r="GN162" s="4">
        <v>4.17</v>
      </c>
      <c r="GO162" s="4"/>
      <c r="GP162" s="4"/>
      <c r="GQ162" s="4"/>
      <c r="GR162" s="4"/>
      <c r="GS162" s="4"/>
      <c r="GT162" s="4"/>
      <c r="GU162" s="4"/>
      <c r="GV162" s="4"/>
      <c r="GW162" s="4"/>
      <c r="GX162" s="4"/>
      <c r="GY162" s="4"/>
      <c r="GZ162" s="4"/>
      <c r="HA162" s="4"/>
      <c r="HB162" s="4"/>
      <c r="HC162" s="4"/>
      <c r="HD162" s="4"/>
      <c r="HE162" s="4"/>
      <c r="HF162" s="4"/>
      <c r="HG162" s="4"/>
      <c r="HH162" s="4"/>
      <c r="HI162" s="4"/>
      <c r="HJ162" s="4"/>
    </row>
    <row r="163" spans="1:218" hidden="1">
      <c r="A163" t="s">
        <v>1221</v>
      </c>
      <c r="B163" t="s">
        <v>1222</v>
      </c>
      <c r="C163" t="s">
        <v>963</v>
      </c>
      <c r="D163" t="s">
        <v>1223</v>
      </c>
      <c r="E163" t="s">
        <v>1224</v>
      </c>
      <c r="F163" s="3">
        <v>3</v>
      </c>
      <c r="G163" s="12">
        <f t="shared" si="4"/>
        <v>3.54</v>
      </c>
      <c r="H163" s="12">
        <f t="shared" si="5"/>
        <v>2.02</v>
      </c>
      <c r="I163" s="3">
        <v>7.1864299999999997</v>
      </c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>
        <v>2.02</v>
      </c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>
        <v>1.63</v>
      </c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>
        <v>3.54</v>
      </c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 s="4"/>
      <c r="GM163" s="4"/>
      <c r="GN163" s="4"/>
      <c r="GO163" s="4"/>
      <c r="GP163" s="4"/>
      <c r="GQ163" s="4"/>
      <c r="GR163" s="4"/>
      <c r="GS163" s="4"/>
      <c r="GT163" s="4"/>
      <c r="GU163" s="4"/>
      <c r="GV163" s="4"/>
      <c r="GW163" s="4"/>
      <c r="GX163" s="4"/>
      <c r="GY163" s="4"/>
      <c r="GZ163" s="4"/>
      <c r="HA163" s="4"/>
      <c r="HB163" s="4"/>
      <c r="HC163" s="4"/>
      <c r="HD163" s="4"/>
      <c r="HE163" s="4"/>
      <c r="HF163" s="4"/>
      <c r="HG163" s="4"/>
      <c r="HH163" s="4"/>
      <c r="HI163" s="4"/>
      <c r="HJ163" s="4"/>
    </row>
    <row r="164" spans="1:218" hidden="1">
      <c r="A164" t="s">
        <v>1213</v>
      </c>
      <c r="B164" t="s">
        <v>1214</v>
      </c>
      <c r="C164" t="s">
        <v>505</v>
      </c>
      <c r="D164" t="s">
        <v>1215</v>
      </c>
      <c r="E164" t="s">
        <v>1216</v>
      </c>
      <c r="F164" s="3">
        <v>3</v>
      </c>
      <c r="G164" s="12">
        <f t="shared" si="4"/>
        <v>3.4</v>
      </c>
      <c r="H164" s="12">
        <f t="shared" si="5"/>
        <v>2.64</v>
      </c>
      <c r="I164" s="3">
        <v>8.1723700000000008</v>
      </c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>
        <v>2.64</v>
      </c>
      <c r="CI164" s="4"/>
      <c r="CJ164" s="4">
        <v>3.4</v>
      </c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>
        <v>2.13</v>
      </c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 s="4"/>
      <c r="GM164" s="4"/>
      <c r="GN164" s="4"/>
      <c r="GO164" s="4"/>
      <c r="GP164" s="4"/>
      <c r="GQ164" s="4"/>
      <c r="GR164" s="4"/>
      <c r="GS164" s="4"/>
      <c r="GT164" s="4"/>
      <c r="GU164" s="4"/>
      <c r="GV164" s="4"/>
      <c r="GW164" s="4"/>
      <c r="GX164" s="4"/>
      <c r="GY164" s="4"/>
      <c r="GZ164" s="4"/>
      <c r="HA164" s="4"/>
      <c r="HB164" s="4"/>
      <c r="HC164" s="4"/>
      <c r="HD164" s="4"/>
      <c r="HE164" s="4"/>
      <c r="HF164" s="4"/>
      <c r="HG164" s="4"/>
      <c r="HH164" s="4"/>
      <c r="HI164" s="4"/>
      <c r="HJ164" s="4"/>
    </row>
    <row r="165" spans="1:218" hidden="1">
      <c r="A165" t="s">
        <v>966</v>
      </c>
      <c r="B165" t="s">
        <v>967</v>
      </c>
      <c r="C165" t="s">
        <v>968</v>
      </c>
      <c r="D165" t="s">
        <v>969</v>
      </c>
      <c r="E165" t="s">
        <v>970</v>
      </c>
      <c r="F165" s="3">
        <v>3</v>
      </c>
      <c r="G165" s="12">
        <f t="shared" si="4"/>
        <v>12.95</v>
      </c>
      <c r="H165" s="12">
        <f t="shared" si="5"/>
        <v>4.72</v>
      </c>
      <c r="I165" s="3">
        <v>21.591030199999999</v>
      </c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>
        <v>3.92</v>
      </c>
      <c r="GJ165" s="4">
        <v>12.95</v>
      </c>
      <c r="GK165" s="4">
        <v>4.72</v>
      </c>
      <c r="GL165" s="4"/>
      <c r="GM165" s="4"/>
      <c r="GN165" s="4"/>
      <c r="GO165" s="4"/>
      <c r="GP165" s="4"/>
      <c r="GQ165" s="4"/>
      <c r="GR165" s="4"/>
      <c r="GS165" s="4"/>
      <c r="GT165" s="4"/>
      <c r="GU165" s="4"/>
      <c r="GV165" s="4"/>
      <c r="GW165" s="4"/>
      <c r="GX165" s="4"/>
      <c r="GY165" s="4"/>
      <c r="GZ165" s="4"/>
      <c r="HA165" s="4"/>
      <c r="HB165" s="4"/>
      <c r="HC165" s="4"/>
      <c r="HD165" s="4"/>
      <c r="HE165" s="4"/>
      <c r="HF165" s="4"/>
      <c r="HG165" s="4"/>
      <c r="HH165" s="4"/>
      <c r="HI165" s="4"/>
      <c r="HJ165" s="4"/>
    </row>
    <row r="166" spans="1:218" hidden="1">
      <c r="A166" t="s">
        <v>961</v>
      </c>
      <c r="B166" t="s">
        <v>962</v>
      </c>
      <c r="C166" t="s">
        <v>963</v>
      </c>
      <c r="D166" t="s">
        <v>964</v>
      </c>
      <c r="E166" t="s">
        <v>965</v>
      </c>
      <c r="F166" s="3">
        <v>3</v>
      </c>
      <c r="G166" s="12">
        <f t="shared" si="4"/>
        <v>8.2100000000000009</v>
      </c>
      <c r="H166" s="12">
        <f t="shared" si="5"/>
        <v>7.58</v>
      </c>
      <c r="I166" s="3">
        <v>21.591939100000001</v>
      </c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>
        <v>5.8</v>
      </c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>
        <v>8.2100000000000009</v>
      </c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>
        <v>7.58</v>
      </c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 s="4"/>
      <c r="GM166" s="4"/>
      <c r="GN166" s="4"/>
      <c r="GO166" s="4"/>
      <c r="GP166" s="4"/>
      <c r="GQ166" s="4"/>
      <c r="GR166" s="4"/>
      <c r="GS166" s="4"/>
      <c r="GT166" s="4"/>
      <c r="GU166" s="4"/>
      <c r="GV166" s="4"/>
      <c r="GW166" s="4"/>
      <c r="GX166" s="4"/>
      <c r="GY166" s="4"/>
      <c r="GZ166" s="4"/>
      <c r="HA166" s="4"/>
      <c r="HB166" s="4"/>
      <c r="HC166" s="4"/>
      <c r="HD166" s="4"/>
      <c r="HE166" s="4"/>
      <c r="HF166" s="4"/>
      <c r="HG166" s="4"/>
      <c r="HH166" s="4"/>
      <c r="HI166" s="4"/>
      <c r="HJ166" s="4"/>
    </row>
    <row r="167" spans="1:218" hidden="1">
      <c r="A167" t="s">
        <v>1108</v>
      </c>
      <c r="B167" t="s">
        <v>1109</v>
      </c>
      <c r="C167" t="s">
        <v>505</v>
      </c>
      <c r="D167" t="s">
        <v>1110</v>
      </c>
      <c r="E167" t="s">
        <v>1111</v>
      </c>
      <c r="F167" s="3">
        <v>3</v>
      </c>
      <c r="G167" s="12">
        <f t="shared" si="4"/>
        <v>5.87</v>
      </c>
      <c r="H167" s="12">
        <f t="shared" si="5"/>
        <v>4.2</v>
      </c>
      <c r="I167" s="3">
        <v>12.406060399999999</v>
      </c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>
        <v>2.33</v>
      </c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>
        <v>4.2</v>
      </c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>
        <v>5.87</v>
      </c>
      <c r="GG167" s="4"/>
      <c r="GH167" s="4"/>
      <c r="GI167" s="4"/>
      <c r="GJ167" s="4"/>
      <c r="GK167" s="4"/>
      <c r="GL167" s="4"/>
      <c r="GM167" s="4"/>
      <c r="GN167" s="4"/>
      <c r="GO167" s="4"/>
      <c r="GP167" s="4"/>
      <c r="GQ167" s="4"/>
      <c r="GR167" s="4"/>
      <c r="GS167" s="4"/>
      <c r="GT167" s="4"/>
      <c r="GU167" s="4"/>
      <c r="GV167" s="4"/>
      <c r="GW167" s="4"/>
      <c r="GX167" s="4"/>
      <c r="GY167" s="4"/>
      <c r="GZ167" s="4"/>
      <c r="HA167" s="4"/>
      <c r="HB167" s="4"/>
      <c r="HC167" s="4"/>
      <c r="HD167" s="4"/>
      <c r="HE167" s="4"/>
      <c r="HF167" s="4"/>
      <c r="HG167" s="4"/>
      <c r="HH167" s="4"/>
      <c r="HI167" s="4"/>
      <c r="HJ167" s="4"/>
    </row>
    <row r="168" spans="1:218" hidden="1">
      <c r="A168" t="s">
        <v>1137</v>
      </c>
      <c r="B168" t="s">
        <v>1138</v>
      </c>
      <c r="C168" t="s">
        <v>505</v>
      </c>
      <c r="D168" t="s">
        <v>1139</v>
      </c>
      <c r="E168" t="s">
        <v>1140</v>
      </c>
      <c r="F168" s="3">
        <v>3</v>
      </c>
      <c r="G168" s="12">
        <f t="shared" si="4"/>
        <v>5.47</v>
      </c>
      <c r="H168" s="12">
        <f t="shared" si="5"/>
        <v>3.46</v>
      </c>
      <c r="I168" s="3">
        <v>11.9346602</v>
      </c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>
        <v>3</v>
      </c>
      <c r="BX168" s="4"/>
      <c r="BY168" s="4"/>
      <c r="BZ168" s="4"/>
      <c r="CA168" s="4"/>
      <c r="CB168" s="4">
        <v>5.47</v>
      </c>
      <c r="CC168" s="4"/>
      <c r="CD168" s="4"/>
      <c r="CE168" s="4"/>
      <c r="CF168" s="4"/>
      <c r="CG168" s="4"/>
      <c r="CH168" s="4"/>
      <c r="CI168" s="4"/>
      <c r="CJ168" s="4"/>
      <c r="CK168" s="4">
        <v>3.46</v>
      </c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 s="4"/>
      <c r="GM168" s="4"/>
      <c r="GN168" s="4"/>
      <c r="GO168" s="4"/>
      <c r="GP168" s="4"/>
      <c r="GQ168" s="4"/>
      <c r="GR168" s="4"/>
      <c r="GS168" s="4"/>
      <c r="GT168" s="4"/>
      <c r="GU168" s="4"/>
      <c r="GV168" s="4"/>
      <c r="GW168" s="4"/>
      <c r="GX168" s="4"/>
      <c r="GY168" s="4"/>
      <c r="GZ168" s="4"/>
      <c r="HA168" s="4"/>
      <c r="HB168" s="4"/>
      <c r="HC168" s="4"/>
      <c r="HD168" s="4"/>
      <c r="HE168" s="4"/>
      <c r="HF168" s="4"/>
      <c r="HG168" s="4"/>
      <c r="HH168" s="4"/>
      <c r="HI168" s="4"/>
      <c r="HJ168" s="4"/>
    </row>
    <row r="169" spans="1:218" hidden="1">
      <c r="A169" t="s">
        <v>1053</v>
      </c>
      <c r="B169" t="s">
        <v>1054</v>
      </c>
      <c r="C169" t="s">
        <v>1055</v>
      </c>
      <c r="D169" t="s">
        <v>1056</v>
      </c>
      <c r="E169" t="s">
        <v>1057</v>
      </c>
      <c r="F169" s="3">
        <v>3</v>
      </c>
      <c r="G169" s="12">
        <f t="shared" si="4"/>
        <v>8.9700000000000006</v>
      </c>
      <c r="H169" s="12">
        <f t="shared" si="5"/>
        <v>3.16</v>
      </c>
      <c r="I169" s="3">
        <v>13.9574198</v>
      </c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>
        <v>8.9700000000000006</v>
      </c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>
        <v>3.16</v>
      </c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>
        <v>1.83</v>
      </c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 s="4"/>
      <c r="GM169" s="4"/>
      <c r="GN169" s="4"/>
      <c r="GO169" s="4"/>
      <c r="GP169" s="4"/>
      <c r="GQ169" s="4"/>
      <c r="GR169" s="4"/>
      <c r="GS169" s="4"/>
      <c r="GT169" s="4"/>
      <c r="GU169" s="4"/>
      <c r="GV169" s="4"/>
      <c r="GW169" s="4"/>
      <c r="GX169" s="4"/>
      <c r="GY169" s="4"/>
      <c r="GZ169" s="4"/>
      <c r="HA169" s="4"/>
      <c r="HB169" s="4"/>
      <c r="HC169" s="4"/>
      <c r="HD169" s="4"/>
      <c r="HE169" s="4"/>
      <c r="HF169" s="4"/>
      <c r="HG169" s="4"/>
      <c r="HH169" s="4"/>
      <c r="HI169" s="4"/>
      <c r="HJ169" s="4"/>
    </row>
    <row r="170" spans="1:218" hidden="1">
      <c r="A170" t="s">
        <v>997</v>
      </c>
      <c r="B170" t="s">
        <v>998</v>
      </c>
      <c r="C170" t="s">
        <v>576</v>
      </c>
      <c r="D170" t="s">
        <v>999</v>
      </c>
      <c r="E170" t="s">
        <v>1000</v>
      </c>
      <c r="F170" s="3">
        <v>3</v>
      </c>
      <c r="G170" s="12">
        <f t="shared" si="4"/>
        <v>7.1</v>
      </c>
      <c r="H170" s="12">
        <f t="shared" si="5"/>
        <v>6.24</v>
      </c>
      <c r="I170" s="3">
        <v>16.709949999999999</v>
      </c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>
        <v>7.1</v>
      </c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>
        <v>3.37</v>
      </c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>
        <v>6.24</v>
      </c>
      <c r="GI170" s="4"/>
      <c r="GJ170" s="4"/>
      <c r="GK170" s="4"/>
      <c r="GL170" s="4"/>
      <c r="GM170" s="4"/>
      <c r="GN170" s="4"/>
      <c r="GO170" s="4"/>
      <c r="GP170" s="4"/>
      <c r="GQ170" s="4"/>
      <c r="GR170" s="4"/>
      <c r="GS170" s="4"/>
      <c r="GT170" s="4"/>
      <c r="GU170" s="4"/>
      <c r="GV170" s="4"/>
      <c r="GW170" s="4"/>
      <c r="GX170" s="4"/>
      <c r="GY170" s="4"/>
      <c r="GZ170" s="4"/>
      <c r="HA170" s="4"/>
      <c r="HB170" s="4"/>
      <c r="HC170" s="4"/>
      <c r="HD170" s="4"/>
      <c r="HE170" s="4"/>
      <c r="HF170" s="4"/>
      <c r="HG170" s="4"/>
      <c r="HH170" s="4"/>
      <c r="HI170" s="4"/>
      <c r="HJ170" s="4"/>
    </row>
    <row r="171" spans="1:218" hidden="1">
      <c r="A171" t="s">
        <v>1129</v>
      </c>
      <c r="B171" t="s">
        <v>1130</v>
      </c>
      <c r="C171" t="s">
        <v>443</v>
      </c>
      <c r="D171" t="s">
        <v>1131</v>
      </c>
      <c r="E171" t="s">
        <v>1132</v>
      </c>
      <c r="F171" s="3">
        <v>3</v>
      </c>
      <c r="G171" s="12">
        <f t="shared" si="4"/>
        <v>4.28</v>
      </c>
      <c r="H171" s="12">
        <f t="shared" si="5"/>
        <v>3.91</v>
      </c>
      <c r="I171" s="3">
        <v>12.09606</v>
      </c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>
        <v>3.91</v>
      </c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>
        <v>4.28</v>
      </c>
      <c r="GH171" s="4"/>
      <c r="GI171" s="4"/>
      <c r="GJ171" s="4"/>
      <c r="GK171" s="4"/>
      <c r="GL171" s="4"/>
      <c r="GM171" s="4"/>
      <c r="GN171" s="4"/>
      <c r="GO171" s="4"/>
      <c r="GP171" s="4"/>
      <c r="GQ171" s="4"/>
      <c r="GR171" s="4"/>
      <c r="GS171" s="4"/>
      <c r="GT171" s="4"/>
      <c r="GU171" s="4"/>
      <c r="GV171" s="4"/>
      <c r="GW171" s="4"/>
      <c r="GX171" s="4"/>
      <c r="GY171" s="4"/>
      <c r="GZ171" s="4"/>
      <c r="HA171" s="4"/>
      <c r="HB171" s="4"/>
      <c r="HC171" s="4"/>
      <c r="HD171" s="4"/>
      <c r="HE171" s="4"/>
      <c r="HF171" s="4"/>
      <c r="HG171" s="4"/>
      <c r="HH171" s="4"/>
      <c r="HI171" s="4"/>
      <c r="HJ171" s="4">
        <v>3.91</v>
      </c>
    </row>
    <row r="172" spans="1:218" hidden="1">
      <c r="A172" t="s">
        <v>990</v>
      </c>
      <c r="B172" t="s">
        <v>991</v>
      </c>
      <c r="C172" t="s">
        <v>992</v>
      </c>
      <c r="D172" t="s">
        <v>993</v>
      </c>
      <c r="E172" t="s">
        <v>994</v>
      </c>
      <c r="F172" s="3">
        <v>3</v>
      </c>
      <c r="G172" s="12">
        <f t="shared" si="4"/>
        <v>10.24</v>
      </c>
      <c r="H172" s="12">
        <f t="shared" si="5"/>
        <v>3.67</v>
      </c>
      <c r="I172" s="3">
        <v>17.578209999999999</v>
      </c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>
        <v>10.24</v>
      </c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>
        <v>3.67</v>
      </c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>
        <v>3.66</v>
      </c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 s="4"/>
      <c r="GM172" s="4"/>
      <c r="GN172" s="4"/>
      <c r="GO172" s="4"/>
      <c r="GP172" s="4"/>
      <c r="GQ172" s="4"/>
      <c r="GR172" s="4"/>
      <c r="GS172" s="4"/>
      <c r="GT172" s="4"/>
      <c r="GU172" s="4"/>
      <c r="GV172" s="4"/>
      <c r="GW172" s="4"/>
      <c r="GX172" s="4"/>
      <c r="GY172" s="4"/>
      <c r="GZ172" s="4"/>
      <c r="HA172" s="4"/>
      <c r="HB172" s="4"/>
      <c r="HC172" s="4"/>
      <c r="HD172" s="4"/>
      <c r="HE172" s="4"/>
      <c r="HF172" s="4"/>
      <c r="HG172" s="4"/>
      <c r="HH172" s="4"/>
      <c r="HI172" s="4"/>
      <c r="HJ172" s="4"/>
    </row>
    <row r="173" spans="1:218" hidden="1">
      <c r="A173" t="s">
        <v>948</v>
      </c>
      <c r="B173" t="s">
        <v>949</v>
      </c>
      <c r="C173" t="s">
        <v>484</v>
      </c>
      <c r="D173" t="s">
        <v>950</v>
      </c>
      <c r="E173" t="s">
        <v>951</v>
      </c>
      <c r="F173" s="3">
        <v>3</v>
      </c>
      <c r="G173" s="12">
        <f t="shared" si="4"/>
        <v>18.47</v>
      </c>
      <c r="H173" s="12">
        <f t="shared" si="5"/>
        <v>6.82</v>
      </c>
      <c r="I173" s="3">
        <v>29.704529999999991</v>
      </c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>
        <v>18.47</v>
      </c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>
        <v>4.41</v>
      </c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 s="4"/>
      <c r="GM173" s="4"/>
      <c r="GN173" s="4"/>
      <c r="GO173" s="4"/>
      <c r="GP173" s="4"/>
      <c r="GQ173" s="4"/>
      <c r="GR173" s="4"/>
      <c r="GS173" s="4"/>
      <c r="GT173" s="4"/>
      <c r="GU173" s="4"/>
      <c r="GV173" s="4"/>
      <c r="GW173" s="4"/>
      <c r="GX173" s="4">
        <v>6.82</v>
      </c>
      <c r="GY173" s="4"/>
      <c r="GZ173" s="4"/>
      <c r="HA173" s="4"/>
      <c r="HB173" s="4"/>
      <c r="HC173" s="4"/>
      <c r="HD173" s="4"/>
      <c r="HE173" s="4"/>
      <c r="HF173" s="4"/>
      <c r="HG173" s="4"/>
      <c r="HH173" s="4"/>
      <c r="HI173" s="4"/>
      <c r="HJ173" s="4"/>
    </row>
    <row r="174" spans="1:218" hidden="1">
      <c r="A174" t="s">
        <v>1170</v>
      </c>
      <c r="B174" t="s">
        <v>1171</v>
      </c>
      <c r="C174" t="s">
        <v>1055</v>
      </c>
      <c r="D174" t="s">
        <v>1172</v>
      </c>
      <c r="E174" t="s">
        <v>1173</v>
      </c>
      <c r="F174" s="3">
        <v>3</v>
      </c>
      <c r="G174" s="12">
        <f t="shared" si="4"/>
        <v>4.82</v>
      </c>
      <c r="H174" s="12">
        <f t="shared" si="5"/>
        <v>2.4</v>
      </c>
      <c r="I174" s="3">
        <v>10.306350399999999</v>
      </c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>
        <v>4.82</v>
      </c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>
        <v>2.4</v>
      </c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 s="4"/>
      <c r="GM174" s="4"/>
      <c r="GN174" s="4"/>
      <c r="GO174" s="4"/>
      <c r="GP174" s="4"/>
      <c r="GQ174" s="4"/>
      <c r="GR174" s="4"/>
      <c r="GS174" s="4"/>
      <c r="GT174" s="4"/>
      <c r="GU174" s="4"/>
      <c r="GV174" s="4"/>
      <c r="GW174" s="4"/>
      <c r="GX174" s="4"/>
      <c r="GY174" s="4"/>
      <c r="GZ174" s="4"/>
      <c r="HA174" s="4"/>
      <c r="HB174" s="4"/>
      <c r="HC174" s="4"/>
      <c r="HD174" s="4"/>
      <c r="HE174" s="4"/>
      <c r="HF174" s="4"/>
      <c r="HG174" s="4"/>
      <c r="HH174" s="4"/>
      <c r="HI174" s="4"/>
      <c r="HJ174" s="4"/>
    </row>
    <row r="175" spans="1:218" hidden="1">
      <c r="A175" t="s">
        <v>1077</v>
      </c>
      <c r="B175" t="s">
        <v>1078</v>
      </c>
      <c r="C175" t="s">
        <v>505</v>
      </c>
      <c r="D175" t="s">
        <v>1079</v>
      </c>
      <c r="E175" t="s">
        <v>1080</v>
      </c>
      <c r="F175" s="3">
        <v>3</v>
      </c>
      <c r="G175" s="12">
        <f t="shared" si="4"/>
        <v>4.92</v>
      </c>
      <c r="H175" s="12">
        <f t="shared" si="5"/>
        <v>4.59</v>
      </c>
      <c r="I175" s="3">
        <v>13.695180000000001</v>
      </c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>
        <v>4.92</v>
      </c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>
        <v>4.59</v>
      </c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>
        <v>4.18</v>
      </c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 s="4"/>
      <c r="GM175" s="4"/>
      <c r="GN175" s="4"/>
      <c r="GO175" s="4"/>
      <c r="GP175" s="4"/>
      <c r="GQ175" s="4"/>
      <c r="GR175" s="4"/>
      <c r="GS175" s="4"/>
      <c r="GT175" s="4"/>
      <c r="GU175" s="4"/>
      <c r="GV175" s="4"/>
      <c r="GW175" s="4"/>
      <c r="GX175" s="4"/>
      <c r="GY175" s="4"/>
      <c r="GZ175" s="4"/>
      <c r="HA175" s="4"/>
      <c r="HB175" s="4"/>
      <c r="HC175" s="4"/>
      <c r="HD175" s="4"/>
      <c r="HE175" s="4"/>
      <c r="HF175" s="4"/>
      <c r="HG175" s="4"/>
      <c r="HH175" s="4"/>
      <c r="HI175" s="4"/>
      <c r="HJ175" s="4"/>
    </row>
    <row r="176" spans="1:218" hidden="1">
      <c r="A176" t="s">
        <v>1145</v>
      </c>
      <c r="B176" t="s">
        <v>1146</v>
      </c>
      <c r="C176" t="s">
        <v>505</v>
      </c>
      <c r="D176" t="s">
        <v>1147</v>
      </c>
      <c r="E176" t="s">
        <v>1148</v>
      </c>
      <c r="F176" s="3">
        <v>3</v>
      </c>
      <c r="G176" s="12">
        <f t="shared" si="4"/>
        <v>5.42</v>
      </c>
      <c r="H176" s="12">
        <f t="shared" si="5"/>
        <v>3.48</v>
      </c>
      <c r="I176" s="3">
        <v>11.6559101</v>
      </c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>
        <v>5.42</v>
      </c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>
        <v>2.76</v>
      </c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>
        <v>3.48</v>
      </c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 s="4"/>
      <c r="GM176" s="4"/>
      <c r="GN176" s="4"/>
      <c r="GO176" s="4"/>
      <c r="GP176" s="4"/>
      <c r="GQ176" s="4"/>
      <c r="GR176" s="4"/>
      <c r="GS176" s="4"/>
      <c r="GT176" s="4"/>
      <c r="GU176" s="4"/>
      <c r="GV176" s="4"/>
      <c r="GW176" s="4"/>
      <c r="GX176" s="4"/>
      <c r="GY176" s="4"/>
      <c r="GZ176" s="4"/>
      <c r="HA176" s="4"/>
      <c r="HB176" s="4"/>
      <c r="HC176" s="4"/>
      <c r="HD176" s="4"/>
      <c r="HE176" s="4"/>
      <c r="HF176" s="4"/>
      <c r="HG176" s="4"/>
      <c r="HH176" s="4"/>
      <c r="HI176" s="4"/>
      <c r="HJ176" s="4"/>
    </row>
    <row r="177" spans="1:218" hidden="1">
      <c r="A177" t="s">
        <v>1203</v>
      </c>
      <c r="B177" t="s">
        <v>1204</v>
      </c>
      <c r="C177" t="s">
        <v>505</v>
      </c>
      <c r="D177" t="s">
        <v>1205</v>
      </c>
      <c r="E177" t="s">
        <v>1206</v>
      </c>
      <c r="F177" s="3">
        <v>3</v>
      </c>
      <c r="G177" s="12">
        <f t="shared" si="4"/>
        <v>4.13</v>
      </c>
      <c r="H177" s="12">
        <f t="shared" si="5"/>
        <v>2.78</v>
      </c>
      <c r="I177" s="3">
        <v>9.113499899999999</v>
      </c>
      <c r="K177" s="4"/>
      <c r="L177" s="4"/>
      <c r="M177" s="4"/>
      <c r="N177" s="4">
        <v>4.13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>
        <v>2.21</v>
      </c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>
        <v>2.78</v>
      </c>
      <c r="GE177" s="4"/>
      <c r="GF177" s="4"/>
      <c r="GG177" s="4"/>
      <c r="GH177" s="4"/>
      <c r="GI177" s="4"/>
      <c r="GJ177" s="4"/>
      <c r="GK177" s="4"/>
      <c r="GL177" s="4"/>
      <c r="GM177" s="4"/>
      <c r="GN177" s="4"/>
      <c r="GO177" s="4"/>
      <c r="GP177" s="4"/>
      <c r="GQ177" s="4"/>
      <c r="GR177" s="4"/>
      <c r="GS177" s="4"/>
      <c r="GT177" s="4"/>
      <c r="GU177" s="4"/>
      <c r="GV177" s="4"/>
      <c r="GW177" s="4"/>
      <c r="GX177" s="4"/>
      <c r="GY177" s="4"/>
      <c r="GZ177" s="4"/>
      <c r="HA177" s="4"/>
      <c r="HB177" s="4"/>
      <c r="HC177" s="4"/>
      <c r="HD177" s="4"/>
      <c r="HE177" s="4"/>
      <c r="HF177" s="4"/>
      <c r="HG177" s="4"/>
      <c r="HH177" s="4"/>
      <c r="HI177" s="4"/>
      <c r="HJ177" s="4"/>
    </row>
    <row r="178" spans="1:218" hidden="1">
      <c r="A178" t="s">
        <v>1041</v>
      </c>
      <c r="B178" t="s">
        <v>1042</v>
      </c>
      <c r="C178" t="s">
        <v>443</v>
      </c>
      <c r="D178" t="s">
        <v>1043</v>
      </c>
      <c r="E178" t="s">
        <v>1044</v>
      </c>
      <c r="F178" s="3">
        <v>3</v>
      </c>
      <c r="G178" s="12">
        <f t="shared" si="4"/>
        <v>6.13</v>
      </c>
      <c r="H178" s="12">
        <f t="shared" si="5"/>
        <v>5.34</v>
      </c>
      <c r="I178" s="3">
        <v>14.698320300000001</v>
      </c>
      <c r="K178" s="4"/>
      <c r="L178" s="4"/>
      <c r="M178" s="4"/>
      <c r="N178" s="4"/>
      <c r="O178" s="4"/>
      <c r="P178" s="4"/>
      <c r="Q178" s="4">
        <v>3.22</v>
      </c>
      <c r="R178" s="4"/>
      <c r="S178" s="4"/>
      <c r="T178" s="4"/>
      <c r="U178" s="4"/>
      <c r="V178" s="4"/>
      <c r="W178" s="4"/>
      <c r="X178" s="4"/>
      <c r="Y178" s="4"/>
      <c r="Z178" s="4">
        <v>5.34</v>
      </c>
      <c r="AA178" s="4"/>
      <c r="AB178" s="4">
        <v>6.13</v>
      </c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 s="4"/>
      <c r="GM178" s="4"/>
      <c r="GN178" s="4"/>
      <c r="GO178" s="4"/>
      <c r="GP178" s="4"/>
      <c r="GQ178" s="4"/>
      <c r="GR178" s="4"/>
      <c r="GS178" s="4"/>
      <c r="GT178" s="4"/>
      <c r="GU178" s="4"/>
      <c r="GV178" s="4"/>
      <c r="GW178" s="4"/>
      <c r="GX178" s="4"/>
      <c r="GY178" s="4"/>
      <c r="GZ178" s="4"/>
      <c r="HA178" s="4"/>
      <c r="HB178" s="4"/>
      <c r="HC178" s="4"/>
      <c r="HD178" s="4"/>
      <c r="HE178" s="4"/>
      <c r="HF178" s="4"/>
      <c r="HG178" s="4"/>
      <c r="HH178" s="4"/>
      <c r="HI178" s="4"/>
      <c r="HJ178" s="4"/>
    </row>
    <row r="179" spans="1:218" hidden="1">
      <c r="A179" t="s">
        <v>1123</v>
      </c>
      <c r="B179" t="s">
        <v>1124</v>
      </c>
      <c r="C179" t="s">
        <v>1028</v>
      </c>
      <c r="D179" t="s">
        <v>1125</v>
      </c>
      <c r="E179" t="s">
        <v>1126</v>
      </c>
      <c r="F179" s="3">
        <v>3</v>
      </c>
      <c r="G179" s="12">
        <f t="shared" si="4"/>
        <v>6.1</v>
      </c>
      <c r="H179" s="12">
        <f t="shared" si="5"/>
        <v>3.74</v>
      </c>
      <c r="I179" s="3">
        <v>12.25587</v>
      </c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>
        <v>6.1</v>
      </c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>
        <v>3.74</v>
      </c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 s="4"/>
      <c r="GM179" s="4"/>
      <c r="GN179" s="4"/>
      <c r="GO179" s="4"/>
      <c r="GP179" s="4"/>
      <c r="GQ179" s="4"/>
      <c r="GR179" s="4"/>
      <c r="GS179" s="4"/>
      <c r="GT179" s="4"/>
      <c r="GU179" s="4"/>
      <c r="GV179" s="4"/>
      <c r="GW179" s="4"/>
      <c r="GX179" s="4"/>
      <c r="GY179" s="4"/>
      <c r="GZ179" s="4"/>
      <c r="HA179" s="4"/>
      <c r="HB179" s="4"/>
      <c r="HC179" s="4"/>
      <c r="HD179" s="4"/>
      <c r="HE179" s="4"/>
      <c r="HF179" s="4"/>
      <c r="HG179" s="4"/>
      <c r="HH179" s="4"/>
      <c r="HI179" s="4"/>
      <c r="HJ179" s="4"/>
    </row>
    <row r="180" spans="1:218" hidden="1">
      <c r="A180" t="s">
        <v>1209</v>
      </c>
      <c r="B180" t="s">
        <v>1210</v>
      </c>
      <c r="C180" t="s">
        <v>505</v>
      </c>
      <c r="D180" t="s">
        <v>1211</v>
      </c>
      <c r="E180" t="s">
        <v>1212</v>
      </c>
      <c r="F180" s="3">
        <v>3</v>
      </c>
      <c r="G180" s="12">
        <f t="shared" si="4"/>
        <v>3.93</v>
      </c>
      <c r="H180" s="12">
        <f t="shared" si="5"/>
        <v>3.5</v>
      </c>
      <c r="I180" s="3">
        <v>8.6932799999999997</v>
      </c>
      <c r="K180" s="4"/>
      <c r="L180" s="4"/>
      <c r="M180" s="4"/>
      <c r="N180" s="4"/>
      <c r="O180" s="4"/>
      <c r="P180" s="4"/>
      <c r="Q180" s="4">
        <v>3.93</v>
      </c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>
        <v>3.5</v>
      </c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>
        <v>1.27</v>
      </c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 s="4"/>
      <c r="GM180" s="4"/>
      <c r="GN180" s="4"/>
      <c r="GO180" s="4"/>
      <c r="GP180" s="4"/>
      <c r="GQ180" s="4"/>
      <c r="GR180" s="4"/>
      <c r="GS180" s="4"/>
      <c r="GT180" s="4"/>
      <c r="GU180" s="4"/>
      <c r="GV180" s="4"/>
      <c r="GW180" s="4"/>
      <c r="GX180" s="4"/>
      <c r="GY180" s="4"/>
      <c r="GZ180" s="4"/>
      <c r="HA180" s="4"/>
      <c r="HB180" s="4"/>
      <c r="HC180" s="4"/>
      <c r="HD180" s="4"/>
      <c r="HE180" s="4"/>
      <c r="HF180" s="4"/>
      <c r="HG180" s="4"/>
      <c r="HH180" s="4"/>
      <c r="HI180" s="4"/>
      <c r="HJ180" s="4"/>
    </row>
    <row r="181" spans="1:218" hidden="1">
      <c r="A181" t="s">
        <v>1020</v>
      </c>
      <c r="B181" t="s">
        <v>1021</v>
      </c>
      <c r="C181" t="s">
        <v>845</v>
      </c>
      <c r="D181" t="s">
        <v>1022</v>
      </c>
      <c r="E181" t="s">
        <v>1023</v>
      </c>
      <c r="F181" s="3">
        <v>3</v>
      </c>
      <c r="G181" s="12">
        <f t="shared" si="4"/>
        <v>6.8</v>
      </c>
      <c r="H181" s="12">
        <f t="shared" si="5"/>
        <v>4.54</v>
      </c>
      <c r="I181" s="3">
        <v>15.379150299999999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>
        <v>4.04</v>
      </c>
      <c r="BM181" s="4"/>
      <c r="BN181" s="4"/>
      <c r="BO181" s="4"/>
      <c r="BP181" s="4"/>
      <c r="BQ181" s="4"/>
      <c r="BR181" s="4"/>
      <c r="BS181" s="4"/>
      <c r="BT181" s="4"/>
      <c r="BU181" s="4">
        <v>4.54</v>
      </c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>
        <v>6.8</v>
      </c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 s="4"/>
      <c r="GM181" s="4"/>
      <c r="GN181" s="4"/>
      <c r="GO181" s="4"/>
      <c r="GP181" s="4"/>
      <c r="GQ181" s="4"/>
      <c r="GR181" s="4"/>
      <c r="GS181" s="4"/>
      <c r="GT181" s="4"/>
      <c r="GU181" s="4"/>
      <c r="GV181" s="4"/>
      <c r="GW181" s="4"/>
      <c r="GX181" s="4"/>
      <c r="GY181" s="4"/>
      <c r="GZ181" s="4"/>
      <c r="HA181" s="4"/>
      <c r="HB181" s="4"/>
      <c r="HC181" s="4"/>
      <c r="HD181" s="4"/>
      <c r="HE181" s="4"/>
      <c r="HF181" s="4"/>
      <c r="HG181" s="4"/>
      <c r="HH181" s="4"/>
      <c r="HI181" s="4"/>
      <c r="HJ181" s="4"/>
    </row>
    <row r="182" spans="1:218" hidden="1">
      <c r="A182" t="s">
        <v>971</v>
      </c>
      <c r="B182" t="s">
        <v>972</v>
      </c>
      <c r="C182" t="s">
        <v>973</v>
      </c>
      <c r="D182" t="s">
        <v>974</v>
      </c>
      <c r="E182" t="s">
        <v>975</v>
      </c>
      <c r="F182" s="3">
        <v>3</v>
      </c>
      <c r="G182" s="12">
        <f t="shared" si="4"/>
        <v>8.3699999999999992</v>
      </c>
      <c r="H182" s="12">
        <f t="shared" si="5"/>
        <v>8.14</v>
      </c>
      <c r="I182" s="3">
        <v>20.4046898</v>
      </c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>
        <v>3.9</v>
      </c>
      <c r="BE182" s="4"/>
      <c r="BF182" s="4"/>
      <c r="BG182" s="4"/>
      <c r="BH182" s="4"/>
      <c r="BI182" s="4"/>
      <c r="BJ182" s="4"/>
      <c r="BK182" s="4"/>
      <c r="BL182" s="4">
        <v>8.3699999999999992</v>
      </c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>
        <v>8.14</v>
      </c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 s="4"/>
      <c r="GM182" s="4"/>
      <c r="GN182" s="4"/>
      <c r="GO182" s="4"/>
      <c r="GP182" s="4"/>
      <c r="GQ182" s="4"/>
      <c r="GR182" s="4"/>
      <c r="GS182" s="4"/>
      <c r="GT182" s="4"/>
      <c r="GU182" s="4"/>
      <c r="GV182" s="4"/>
      <c r="GW182" s="4"/>
      <c r="GX182" s="4"/>
      <c r="GY182" s="4"/>
      <c r="GZ182" s="4"/>
      <c r="HA182" s="4"/>
      <c r="HB182" s="4"/>
      <c r="HC182" s="4"/>
      <c r="HD182" s="4"/>
      <c r="HE182" s="4"/>
      <c r="HF182" s="4"/>
      <c r="HG182" s="4"/>
      <c r="HH182" s="4"/>
      <c r="HI182" s="4"/>
      <c r="HJ182" s="4"/>
    </row>
    <row r="183" spans="1:218" hidden="1">
      <c r="A183" t="s">
        <v>1008</v>
      </c>
      <c r="B183" t="s">
        <v>1009</v>
      </c>
      <c r="C183" t="s">
        <v>443</v>
      </c>
      <c r="D183" t="s">
        <v>1010</v>
      </c>
      <c r="E183" t="s">
        <v>1011</v>
      </c>
      <c r="F183" s="3">
        <v>3</v>
      </c>
      <c r="G183" s="12">
        <f t="shared" si="4"/>
        <v>7.93</v>
      </c>
      <c r="H183" s="12">
        <f t="shared" si="5"/>
        <v>4.05</v>
      </c>
      <c r="I183" s="3">
        <v>15.8909299</v>
      </c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>
        <v>3.91</v>
      </c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>
        <v>7.93</v>
      </c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>
        <v>4.05</v>
      </c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 s="4"/>
      <c r="GM183" s="4"/>
      <c r="GN183" s="4"/>
      <c r="GO183" s="4"/>
      <c r="GP183" s="4"/>
      <c r="GQ183" s="4"/>
      <c r="GR183" s="4"/>
      <c r="GS183" s="4"/>
      <c r="GT183" s="4"/>
      <c r="GU183" s="4"/>
      <c r="GV183" s="4"/>
      <c r="GW183" s="4"/>
      <c r="GX183" s="4"/>
      <c r="GY183" s="4"/>
      <c r="GZ183" s="4"/>
      <c r="HA183" s="4"/>
      <c r="HB183" s="4"/>
      <c r="HC183" s="4"/>
      <c r="HD183" s="4"/>
      <c r="HE183" s="4"/>
      <c r="HF183" s="4"/>
      <c r="HG183" s="4"/>
      <c r="HH183" s="4"/>
      <c r="HI183" s="4"/>
      <c r="HJ183" s="4"/>
    </row>
    <row r="184" spans="1:218" hidden="1">
      <c r="A184" t="s">
        <v>1149</v>
      </c>
      <c r="B184" t="s">
        <v>1150</v>
      </c>
      <c r="C184" t="s">
        <v>505</v>
      </c>
      <c r="D184" t="s">
        <v>1151</v>
      </c>
      <c r="E184" t="s">
        <v>1152</v>
      </c>
      <c r="F184" s="3">
        <v>3</v>
      </c>
      <c r="G184" s="12">
        <f t="shared" si="4"/>
        <v>5.32</v>
      </c>
      <c r="H184" s="12">
        <f t="shared" si="5"/>
        <v>3.19</v>
      </c>
      <c r="I184" s="3">
        <v>11.58318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>
        <v>5.32</v>
      </c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>
        <v>3.19</v>
      </c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 s="4"/>
      <c r="GM184" s="4"/>
      <c r="GN184" s="4"/>
      <c r="GO184" s="4"/>
      <c r="GP184" s="4"/>
      <c r="GQ184" s="4"/>
      <c r="GR184" s="4"/>
      <c r="GS184" s="4"/>
      <c r="GT184" s="4"/>
      <c r="GU184" s="4"/>
      <c r="GV184" s="4"/>
      <c r="GW184" s="4"/>
      <c r="GX184" s="4"/>
      <c r="GY184" s="4"/>
      <c r="GZ184" s="4"/>
      <c r="HA184" s="4"/>
      <c r="HB184" s="4"/>
      <c r="HC184" s="4">
        <v>3.08</v>
      </c>
      <c r="HD184" s="4"/>
      <c r="HE184" s="4"/>
      <c r="HF184" s="4"/>
      <c r="HG184" s="4"/>
      <c r="HH184" s="4"/>
      <c r="HI184" s="4"/>
      <c r="HJ184" s="4"/>
    </row>
    <row r="185" spans="1:218" hidden="1">
      <c r="A185" t="s">
        <v>1035</v>
      </c>
      <c r="B185" t="s">
        <v>1036</v>
      </c>
      <c r="C185" t="s">
        <v>505</v>
      </c>
      <c r="D185" t="s">
        <v>1037</v>
      </c>
      <c r="E185" t="s">
        <v>1038</v>
      </c>
      <c r="F185" s="3">
        <v>3</v>
      </c>
      <c r="G185" s="12">
        <f t="shared" si="4"/>
        <v>6.67</v>
      </c>
      <c r="H185" s="12">
        <f t="shared" si="5"/>
        <v>4.43</v>
      </c>
      <c r="I185" s="3">
        <v>15.166520200000001</v>
      </c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>
        <v>4.07</v>
      </c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>
        <v>4.43</v>
      </c>
      <c r="GG185" s="4"/>
      <c r="GH185" s="4"/>
      <c r="GI185" s="4"/>
      <c r="GJ185" s="4"/>
      <c r="GK185" s="4"/>
      <c r="GL185" s="4"/>
      <c r="GM185" s="4">
        <v>6.67</v>
      </c>
      <c r="GN185" s="4"/>
      <c r="GO185" s="4"/>
      <c r="GP185" s="4"/>
      <c r="GQ185" s="4"/>
      <c r="GR185" s="4"/>
      <c r="GS185" s="4"/>
      <c r="GT185" s="4"/>
      <c r="GU185" s="4"/>
      <c r="GV185" s="4"/>
      <c r="GW185" s="4"/>
      <c r="GX185" s="4"/>
      <c r="GY185" s="4"/>
      <c r="GZ185" s="4"/>
      <c r="HA185" s="4"/>
      <c r="HB185" s="4"/>
      <c r="HC185" s="4"/>
      <c r="HD185" s="4"/>
      <c r="HE185" s="4"/>
      <c r="HF185" s="4"/>
      <c r="HG185" s="4"/>
      <c r="HH185" s="4"/>
      <c r="HI185" s="4"/>
      <c r="HJ185" s="4"/>
    </row>
    <row r="186" spans="1:218" hidden="1">
      <c r="A186" t="s">
        <v>1089</v>
      </c>
      <c r="B186" t="s">
        <v>1090</v>
      </c>
      <c r="C186" t="s">
        <v>1091</v>
      </c>
      <c r="D186" t="s">
        <v>490</v>
      </c>
      <c r="E186" t="s">
        <v>490</v>
      </c>
      <c r="F186" s="3">
        <v>3</v>
      </c>
      <c r="G186" s="12">
        <f t="shared" si="4"/>
        <v>4.66</v>
      </c>
      <c r="H186" s="12">
        <f t="shared" si="5"/>
        <v>4.57</v>
      </c>
      <c r="I186" s="3">
        <v>13.555470100000001</v>
      </c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>
        <v>4.57</v>
      </c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>
        <v>4.33</v>
      </c>
      <c r="GJ186" s="4"/>
      <c r="GK186" s="4">
        <v>4.66</v>
      </c>
      <c r="GL186" s="4"/>
      <c r="GM186" s="4"/>
      <c r="GN186" s="4"/>
      <c r="GO186" s="4"/>
      <c r="GP186" s="4"/>
      <c r="GQ186" s="4"/>
      <c r="GR186" s="4"/>
      <c r="GS186" s="4"/>
      <c r="GT186" s="4"/>
      <c r="GU186" s="4"/>
      <c r="GV186" s="4"/>
      <c r="GW186" s="4"/>
      <c r="GX186" s="4"/>
      <c r="GY186" s="4"/>
      <c r="GZ186" s="4"/>
      <c r="HA186" s="4"/>
      <c r="HB186" s="4"/>
      <c r="HC186" s="4"/>
      <c r="HD186" s="4"/>
      <c r="HE186" s="4"/>
      <c r="HF186" s="4"/>
      <c r="HG186" s="4"/>
      <c r="HH186" s="4"/>
      <c r="HI186" s="4"/>
      <c r="HJ186" s="4"/>
    </row>
    <row r="187" spans="1:218" hidden="1">
      <c r="A187" t="s">
        <v>1182</v>
      </c>
      <c r="B187" t="s">
        <v>1183</v>
      </c>
      <c r="C187" t="s">
        <v>576</v>
      </c>
      <c r="D187" t="s">
        <v>1184</v>
      </c>
      <c r="E187" t="s">
        <v>1185</v>
      </c>
      <c r="F187" s="3">
        <v>3</v>
      </c>
      <c r="G187" s="12">
        <f t="shared" si="4"/>
        <v>3.62</v>
      </c>
      <c r="H187" s="12">
        <f t="shared" si="5"/>
        <v>3.33</v>
      </c>
      <c r="I187" s="3">
        <v>9.9799000000000007</v>
      </c>
      <c r="K187" s="4"/>
      <c r="L187" s="4"/>
      <c r="M187" s="4"/>
      <c r="N187" s="4"/>
      <c r="O187" s="4"/>
      <c r="P187" s="4"/>
      <c r="Q187" s="4"/>
      <c r="R187" s="4">
        <v>3.33</v>
      </c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>
        <v>3.03</v>
      </c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 s="4"/>
      <c r="GM187" s="4"/>
      <c r="GN187" s="4"/>
      <c r="GO187" s="4"/>
      <c r="GP187" s="4"/>
      <c r="GQ187" s="4"/>
      <c r="GR187" s="4"/>
      <c r="GS187" s="4"/>
      <c r="GT187" s="4"/>
      <c r="GU187" s="4"/>
      <c r="GV187" s="4"/>
      <c r="GW187" s="4"/>
      <c r="GX187" s="4"/>
      <c r="GY187" s="4"/>
      <c r="GZ187" s="4"/>
      <c r="HA187" s="4"/>
      <c r="HB187" s="4"/>
      <c r="HC187" s="4"/>
      <c r="HD187" s="4"/>
      <c r="HE187" s="4"/>
      <c r="HF187" s="4"/>
      <c r="HG187" s="4"/>
      <c r="HH187" s="4"/>
      <c r="HI187" s="4">
        <v>3.62</v>
      </c>
      <c r="HJ187" s="4"/>
    </row>
    <row r="188" spans="1:218" hidden="1">
      <c r="A188" t="s">
        <v>1031</v>
      </c>
      <c r="B188" t="s">
        <v>1032</v>
      </c>
      <c r="C188" t="s">
        <v>845</v>
      </c>
      <c r="D188" t="s">
        <v>1033</v>
      </c>
      <c r="E188" t="s">
        <v>1034</v>
      </c>
      <c r="F188" s="3">
        <v>3</v>
      </c>
      <c r="G188" s="12">
        <f t="shared" si="4"/>
        <v>7.02</v>
      </c>
      <c r="H188" s="12">
        <f t="shared" si="5"/>
        <v>4.7</v>
      </c>
      <c r="I188" s="3">
        <v>15.17033</v>
      </c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>
        <v>3.45</v>
      </c>
      <c r="BM188" s="4"/>
      <c r="BN188" s="4"/>
      <c r="BO188" s="4"/>
      <c r="BP188" s="4"/>
      <c r="BQ188" s="4"/>
      <c r="BR188" s="4"/>
      <c r="BS188" s="4"/>
      <c r="BT188" s="4"/>
      <c r="BU188" s="4">
        <v>4.7</v>
      </c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>
        <v>7.02</v>
      </c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 s="4"/>
      <c r="GM188" s="4"/>
      <c r="GN188" s="4"/>
      <c r="GO188" s="4"/>
      <c r="GP188" s="4"/>
      <c r="GQ188" s="4"/>
      <c r="GR188" s="4"/>
      <c r="GS188" s="4"/>
      <c r="GT188" s="4"/>
      <c r="GU188" s="4"/>
      <c r="GV188" s="4"/>
      <c r="GW188" s="4"/>
      <c r="GX188" s="4"/>
      <c r="GY188" s="4"/>
      <c r="GZ188" s="4"/>
      <c r="HA188" s="4"/>
      <c r="HB188" s="4"/>
      <c r="HC188" s="4"/>
      <c r="HD188" s="4"/>
      <c r="HE188" s="4"/>
      <c r="HF188" s="4"/>
      <c r="HG188" s="4"/>
      <c r="HH188" s="4"/>
      <c r="HI188" s="4"/>
      <c r="HJ188" s="4"/>
    </row>
    <row r="189" spans="1:218" hidden="1">
      <c r="A189" t="s">
        <v>1160</v>
      </c>
      <c r="B189" t="s">
        <v>1161</v>
      </c>
      <c r="C189" t="s">
        <v>505</v>
      </c>
      <c r="D189" t="s">
        <v>1162</v>
      </c>
      <c r="E189" t="s">
        <v>1163</v>
      </c>
      <c r="F189" s="3">
        <v>3</v>
      </c>
      <c r="G189" s="12">
        <f t="shared" si="4"/>
        <v>4.2</v>
      </c>
      <c r="H189" s="12">
        <f t="shared" si="5"/>
        <v>3.62</v>
      </c>
      <c r="I189" s="3">
        <v>11.391600499999999</v>
      </c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>
        <v>4.2</v>
      </c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>
        <v>3.62</v>
      </c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>
        <v>3.58</v>
      </c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 s="4"/>
      <c r="GM189" s="4"/>
      <c r="GN189" s="4"/>
      <c r="GO189" s="4"/>
      <c r="GP189" s="4"/>
      <c r="GQ189" s="4"/>
      <c r="GR189" s="4"/>
      <c r="GS189" s="4"/>
      <c r="GT189" s="4"/>
      <c r="GU189" s="4"/>
      <c r="GV189" s="4"/>
      <c r="GW189" s="4"/>
      <c r="GX189" s="4"/>
      <c r="GY189" s="4"/>
      <c r="GZ189" s="4"/>
      <c r="HA189" s="4"/>
      <c r="HB189" s="4"/>
      <c r="HC189" s="4"/>
      <c r="HD189" s="4"/>
      <c r="HE189" s="4"/>
      <c r="HF189" s="4"/>
      <c r="HG189" s="4"/>
      <c r="HH189" s="4"/>
      <c r="HI189" s="4"/>
      <c r="HJ189" s="4"/>
    </row>
    <row r="190" spans="1:218" hidden="1">
      <c r="A190" t="s">
        <v>1227</v>
      </c>
      <c r="B190" t="s">
        <v>1228</v>
      </c>
      <c r="C190" t="s">
        <v>1229</v>
      </c>
      <c r="D190" t="s">
        <v>1230</v>
      </c>
      <c r="E190" t="s">
        <v>1231</v>
      </c>
      <c r="F190" s="3">
        <v>3</v>
      </c>
      <c r="G190" s="12">
        <f t="shared" si="4"/>
        <v>3.17</v>
      </c>
      <c r="H190" s="12">
        <f t="shared" si="5"/>
        <v>1.27</v>
      </c>
      <c r="I190" s="3">
        <v>5.69919025</v>
      </c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>
        <v>1.27</v>
      </c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>
        <v>1.26</v>
      </c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>
        <v>3.17</v>
      </c>
      <c r="GC190" s="4"/>
      <c r="GD190" s="4"/>
      <c r="GE190" s="4"/>
      <c r="GF190" s="4"/>
      <c r="GG190" s="4"/>
      <c r="GH190" s="4"/>
      <c r="GI190" s="4"/>
      <c r="GJ190" s="4"/>
      <c r="GK190" s="4"/>
      <c r="GL190" s="4"/>
      <c r="GM190" s="4"/>
      <c r="GN190" s="4"/>
      <c r="GO190" s="4"/>
      <c r="GP190" s="4"/>
      <c r="GQ190" s="4"/>
      <c r="GR190" s="4"/>
      <c r="GS190" s="4"/>
      <c r="GT190" s="4"/>
      <c r="GU190" s="4"/>
      <c r="GV190" s="4"/>
      <c r="GW190" s="4"/>
      <c r="GX190" s="4"/>
      <c r="GY190" s="4"/>
      <c r="GZ190" s="4"/>
      <c r="HA190" s="4"/>
      <c r="HB190" s="4"/>
      <c r="HC190" s="4"/>
      <c r="HD190" s="4"/>
      <c r="HE190" s="4"/>
      <c r="HF190" s="4"/>
      <c r="HG190" s="4"/>
      <c r="HH190" s="4"/>
      <c r="HI190" s="4"/>
      <c r="HJ190" s="4"/>
    </row>
    <row r="191" spans="1:218" hidden="1">
      <c r="A191" t="s">
        <v>1199</v>
      </c>
      <c r="B191" t="s">
        <v>1200</v>
      </c>
      <c r="C191" t="s">
        <v>618</v>
      </c>
      <c r="D191" t="s">
        <v>1201</v>
      </c>
      <c r="E191" t="s">
        <v>1202</v>
      </c>
      <c r="F191" s="3">
        <v>3</v>
      </c>
      <c r="G191" s="12">
        <f t="shared" si="4"/>
        <v>3.49</v>
      </c>
      <c r="H191" s="12">
        <f t="shared" si="5"/>
        <v>3.37</v>
      </c>
      <c r="I191" s="3">
        <v>9.336940199999999</v>
      </c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>
        <v>3.37</v>
      </c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>
        <v>3.49</v>
      </c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 s="4"/>
      <c r="GM191" s="4"/>
      <c r="GN191" s="4"/>
      <c r="GO191" s="4"/>
      <c r="GP191" s="4"/>
      <c r="GQ191" s="4"/>
      <c r="GR191" s="4"/>
      <c r="GS191" s="4"/>
      <c r="GT191" s="4"/>
      <c r="GU191" s="4"/>
      <c r="GV191" s="4"/>
      <c r="GW191" s="4"/>
      <c r="GX191" s="4"/>
      <c r="GY191" s="4"/>
      <c r="GZ191" s="4"/>
      <c r="HA191" s="4"/>
      <c r="HB191" s="4"/>
      <c r="HC191" s="4"/>
      <c r="HD191" s="4"/>
      <c r="HE191" s="4"/>
      <c r="HF191" s="4"/>
      <c r="HG191" s="4"/>
      <c r="HH191" s="4"/>
      <c r="HI191" s="4"/>
      <c r="HJ191" s="4"/>
    </row>
    <row r="192" spans="1:218" hidden="1">
      <c r="A192" t="s">
        <v>1012</v>
      </c>
      <c r="B192" t="s">
        <v>1013</v>
      </c>
      <c r="C192" t="s">
        <v>505</v>
      </c>
      <c r="D192" t="s">
        <v>1014</v>
      </c>
      <c r="E192" t="s">
        <v>1015</v>
      </c>
      <c r="F192" s="3">
        <v>3</v>
      </c>
      <c r="G192" s="12">
        <f t="shared" si="4"/>
        <v>6.58</v>
      </c>
      <c r="H192" s="12">
        <f t="shared" si="5"/>
        <v>4.8899999999999997</v>
      </c>
      <c r="I192" s="3">
        <v>15.73016</v>
      </c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>
        <v>4.8899999999999997</v>
      </c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>
        <v>6.58</v>
      </c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 s="4">
        <v>4.2699999999999996</v>
      </c>
      <c r="GM192" s="4"/>
      <c r="GN192" s="4"/>
      <c r="GO192" s="4"/>
      <c r="GP192" s="4"/>
      <c r="GQ192" s="4"/>
      <c r="GR192" s="4"/>
      <c r="GS192" s="4"/>
      <c r="GT192" s="4"/>
      <c r="GU192" s="4"/>
      <c r="GV192" s="4"/>
      <c r="GW192" s="4"/>
      <c r="GX192" s="4"/>
      <c r="GY192" s="4"/>
      <c r="GZ192" s="4"/>
      <c r="HA192" s="4"/>
      <c r="HB192" s="4"/>
      <c r="HC192" s="4"/>
      <c r="HD192" s="4"/>
      <c r="HE192" s="4"/>
      <c r="HF192" s="4"/>
      <c r="HG192" s="4"/>
      <c r="HH192" s="4"/>
      <c r="HI192" s="4"/>
      <c r="HJ192" s="4"/>
    </row>
    <row r="193" spans="1:218" hidden="1">
      <c r="A193" t="s">
        <v>1001</v>
      </c>
      <c r="B193" t="s">
        <v>1002</v>
      </c>
      <c r="C193" t="s">
        <v>1003</v>
      </c>
      <c r="D193" t="s">
        <v>1004</v>
      </c>
      <c r="E193" t="s">
        <v>1005</v>
      </c>
      <c r="F193" s="3">
        <v>3</v>
      </c>
      <c r="G193" s="12">
        <f t="shared" si="4"/>
        <v>7.66</v>
      </c>
      <c r="H193" s="12">
        <f t="shared" si="5"/>
        <v>6.2</v>
      </c>
      <c r="I193" s="3">
        <v>16.3150598</v>
      </c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>
        <v>6.2</v>
      </c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>
        <v>7.66</v>
      </c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>
        <v>2.4500000000000002</v>
      </c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 s="4"/>
      <c r="GM193" s="4"/>
      <c r="GN193" s="4"/>
      <c r="GO193" s="4"/>
      <c r="GP193" s="4"/>
      <c r="GQ193" s="4"/>
      <c r="GR193" s="4"/>
      <c r="GS193" s="4"/>
      <c r="GT193" s="4"/>
      <c r="GU193" s="4"/>
      <c r="GV193" s="4"/>
      <c r="GW193" s="4"/>
      <c r="GX193" s="4"/>
      <c r="GY193" s="4"/>
      <c r="GZ193" s="4"/>
      <c r="HA193" s="4"/>
      <c r="HB193" s="4"/>
      <c r="HC193" s="4"/>
      <c r="HD193" s="4"/>
      <c r="HE193" s="4"/>
      <c r="HF193" s="4"/>
      <c r="HG193" s="4"/>
      <c r="HH193" s="4"/>
      <c r="HI193" s="4"/>
      <c r="HJ193" s="4"/>
    </row>
    <row r="194" spans="1:218" hidden="1">
      <c r="A194" t="s">
        <v>1081</v>
      </c>
      <c r="B194" t="s">
        <v>1082</v>
      </c>
      <c r="C194" t="s">
        <v>590</v>
      </c>
      <c r="D194" t="s">
        <v>1083</v>
      </c>
      <c r="E194" t="s">
        <v>1084</v>
      </c>
      <c r="F194" s="3">
        <v>3</v>
      </c>
      <c r="G194" s="12">
        <f t="shared" si="4"/>
        <v>5.18</v>
      </c>
      <c r="H194" s="12">
        <f t="shared" si="5"/>
        <v>4.5599999999999996</v>
      </c>
      <c r="I194" s="3">
        <v>13.68432</v>
      </c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>
        <v>5.18</v>
      </c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>
        <v>4.5599999999999996</v>
      </c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 s="4">
        <v>3.95</v>
      </c>
      <c r="GM194" s="4"/>
      <c r="GN194" s="4"/>
      <c r="GO194" s="4"/>
      <c r="GP194" s="4"/>
      <c r="GQ194" s="4"/>
      <c r="GR194" s="4"/>
      <c r="GS194" s="4"/>
      <c r="GT194" s="4"/>
      <c r="GU194" s="4"/>
      <c r="GV194" s="4"/>
      <c r="GW194" s="4"/>
      <c r="GX194" s="4"/>
      <c r="GY194" s="4"/>
      <c r="GZ194" s="4"/>
      <c r="HA194" s="4"/>
      <c r="HB194" s="4"/>
      <c r="HC194" s="4"/>
      <c r="HD194" s="4"/>
      <c r="HE194" s="4"/>
      <c r="HF194" s="4"/>
      <c r="HG194" s="4"/>
      <c r="HH194" s="4"/>
      <c r="HI194" s="4"/>
      <c r="HJ194" s="4"/>
    </row>
    <row r="195" spans="1:218" hidden="1">
      <c r="A195" t="s">
        <v>1164</v>
      </c>
      <c r="B195" t="s">
        <v>1165</v>
      </c>
      <c r="C195" t="s">
        <v>505</v>
      </c>
      <c r="D195" t="s">
        <v>1166</v>
      </c>
      <c r="E195" t="s">
        <v>1167</v>
      </c>
      <c r="F195" s="3">
        <v>3</v>
      </c>
      <c r="G195" s="12">
        <f t="shared" si="4"/>
        <v>5.0599999999999996</v>
      </c>
      <c r="H195" s="12">
        <f t="shared" si="5"/>
        <v>3.38</v>
      </c>
      <c r="I195" s="3">
        <v>11.385759699999999</v>
      </c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>
        <v>2.94</v>
      </c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>
        <v>3.38</v>
      </c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>
        <v>5.0599999999999996</v>
      </c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 s="4"/>
      <c r="GM195" s="4"/>
      <c r="GN195" s="4"/>
      <c r="GO195" s="4"/>
      <c r="GP195" s="4"/>
      <c r="GQ195" s="4"/>
      <c r="GR195" s="4"/>
      <c r="GS195" s="4"/>
      <c r="GT195" s="4"/>
      <c r="GU195" s="4"/>
      <c r="GV195" s="4"/>
      <c r="GW195" s="4"/>
      <c r="GX195" s="4"/>
      <c r="GY195" s="4"/>
      <c r="GZ195" s="4"/>
      <c r="HA195" s="4"/>
      <c r="HB195" s="4"/>
      <c r="HC195" s="4"/>
      <c r="HD195" s="4"/>
      <c r="HE195" s="4"/>
      <c r="HF195" s="4"/>
      <c r="HG195" s="4"/>
      <c r="HH195" s="4"/>
      <c r="HI195" s="4"/>
      <c r="HJ195" s="4"/>
    </row>
    <row r="196" spans="1:218" hidden="1">
      <c r="A196" t="s">
        <v>1096</v>
      </c>
      <c r="B196" t="s">
        <v>1097</v>
      </c>
      <c r="C196" t="s">
        <v>443</v>
      </c>
      <c r="D196" t="s">
        <v>1098</v>
      </c>
      <c r="E196" t="s">
        <v>1099</v>
      </c>
      <c r="F196" s="3">
        <v>3</v>
      </c>
      <c r="G196" s="12">
        <f t="shared" si="4"/>
        <v>5.22</v>
      </c>
      <c r="H196" s="12">
        <f t="shared" si="5"/>
        <v>4.0199999999999996</v>
      </c>
      <c r="I196" s="3">
        <v>13.2424398</v>
      </c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>
        <v>4</v>
      </c>
      <c r="BL196" s="4"/>
      <c r="BM196" s="4">
        <v>5.22</v>
      </c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 s="4"/>
      <c r="GM196" s="4">
        <v>4.0199999999999996</v>
      </c>
      <c r="GN196" s="4"/>
      <c r="GO196" s="4"/>
      <c r="GP196" s="4"/>
      <c r="GQ196" s="4"/>
      <c r="GR196" s="4"/>
      <c r="GS196" s="4"/>
      <c r="GT196" s="4"/>
      <c r="GU196" s="4"/>
      <c r="GV196" s="4"/>
      <c r="GW196" s="4"/>
      <c r="GX196" s="4"/>
      <c r="GY196" s="4"/>
      <c r="GZ196" s="4"/>
      <c r="HA196" s="4"/>
      <c r="HB196" s="4"/>
      <c r="HC196" s="4"/>
      <c r="HD196" s="4"/>
      <c r="HE196" s="4"/>
      <c r="HF196" s="4"/>
      <c r="HG196" s="4"/>
      <c r="HH196" s="4"/>
      <c r="HI196" s="4"/>
      <c r="HJ196" s="4"/>
    </row>
    <row r="197" spans="1:218" hidden="1">
      <c r="A197" t="s">
        <v>1133</v>
      </c>
      <c r="B197" t="s">
        <v>1134</v>
      </c>
      <c r="C197" t="s">
        <v>443</v>
      </c>
      <c r="D197" t="s">
        <v>1135</v>
      </c>
      <c r="E197" t="s">
        <v>1136</v>
      </c>
      <c r="F197" s="3">
        <v>3</v>
      </c>
      <c r="G197" s="12">
        <f t="shared" si="4"/>
        <v>7.81</v>
      </c>
      <c r="H197" s="12">
        <f t="shared" si="5"/>
        <v>2.78</v>
      </c>
      <c r="I197" s="3">
        <v>11.9456401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>
        <v>1.36</v>
      </c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>
        <v>2.78</v>
      </c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>
        <v>7.81</v>
      </c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 s="4"/>
      <c r="GM197" s="4"/>
      <c r="GN197" s="4"/>
      <c r="GO197" s="4"/>
      <c r="GP197" s="4"/>
      <c r="GQ197" s="4"/>
      <c r="GR197" s="4"/>
      <c r="GS197" s="4"/>
      <c r="GT197" s="4"/>
      <c r="GU197" s="4"/>
      <c r="GV197" s="4"/>
      <c r="GW197" s="4"/>
      <c r="GX197" s="4"/>
      <c r="GY197" s="4"/>
      <c r="GZ197" s="4"/>
      <c r="HA197" s="4"/>
      <c r="HB197" s="4"/>
      <c r="HC197" s="4"/>
      <c r="HD197" s="4"/>
      <c r="HE197" s="4"/>
      <c r="HF197" s="4"/>
      <c r="HG197" s="4"/>
      <c r="HH197" s="4"/>
      <c r="HI197" s="4"/>
      <c r="HJ197" s="4"/>
    </row>
    <row r="198" spans="1:218" hidden="1">
      <c r="A198" t="s">
        <v>1049</v>
      </c>
      <c r="B198" t="s">
        <v>1050</v>
      </c>
      <c r="C198" t="s">
        <v>505</v>
      </c>
      <c r="D198" t="s">
        <v>1051</v>
      </c>
      <c r="E198" t="s">
        <v>1052</v>
      </c>
      <c r="F198" s="3">
        <v>3</v>
      </c>
      <c r="G198" s="12">
        <f t="shared" si="4"/>
        <v>5.91</v>
      </c>
      <c r="H198" s="12">
        <f t="shared" si="5"/>
        <v>4.7300000000000004</v>
      </c>
      <c r="I198" s="3">
        <v>14.0548903</v>
      </c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>
        <v>3.42</v>
      </c>
      <c r="EF198" s="4"/>
      <c r="EG198" s="4"/>
      <c r="EH198" s="4">
        <v>5.91</v>
      </c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>
        <v>4.7300000000000004</v>
      </c>
      <c r="GF198" s="4"/>
      <c r="GG198" s="4"/>
      <c r="GH198" s="4"/>
      <c r="GI198" s="4"/>
      <c r="GJ198" s="4"/>
      <c r="GK198" s="4"/>
      <c r="GL198" s="4"/>
      <c r="GM198" s="4"/>
      <c r="GN198" s="4"/>
      <c r="GO198" s="4"/>
      <c r="GP198" s="4"/>
      <c r="GQ198" s="4"/>
      <c r="GR198" s="4"/>
      <c r="GS198" s="4"/>
      <c r="GT198" s="4"/>
      <c r="GU198" s="4"/>
      <c r="GV198" s="4"/>
      <c r="GW198" s="4"/>
      <c r="GX198" s="4"/>
      <c r="GY198" s="4"/>
      <c r="GZ198" s="4"/>
      <c r="HA198" s="4"/>
      <c r="HB198" s="4"/>
      <c r="HC198" s="4"/>
      <c r="HD198" s="4"/>
      <c r="HE198" s="4"/>
      <c r="HF198" s="4"/>
      <c r="HG198" s="4"/>
      <c r="HH198" s="4"/>
      <c r="HI198" s="4"/>
      <c r="HJ198" s="4"/>
    </row>
    <row r="199" spans="1:218" hidden="1">
      <c r="A199" t="s">
        <v>1141</v>
      </c>
      <c r="B199" t="s">
        <v>1142</v>
      </c>
      <c r="C199" t="s">
        <v>1143</v>
      </c>
      <c r="D199" t="s">
        <v>490</v>
      </c>
      <c r="E199" t="s">
        <v>1144</v>
      </c>
      <c r="F199" s="3">
        <v>3</v>
      </c>
      <c r="G199" s="12">
        <f t="shared" ref="G199:G262" si="6">LARGE($J199:$HJ199,1)</f>
        <v>4.6900000000000004</v>
      </c>
      <c r="H199" s="12">
        <f t="shared" ref="H199:H262" si="7">LARGE($J199:$HJ199,2)</f>
        <v>4.28</v>
      </c>
      <c r="I199" s="3">
        <v>11.712490000000001</v>
      </c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>
        <v>4.6900000000000004</v>
      </c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>
        <v>4.28</v>
      </c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>
        <v>2.74</v>
      </c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</row>
    <row r="200" spans="1:218" hidden="1">
      <c r="A200" t="s">
        <v>952</v>
      </c>
      <c r="B200" t="s">
        <v>953</v>
      </c>
      <c r="C200" t="s">
        <v>954</v>
      </c>
      <c r="D200" t="s">
        <v>955</v>
      </c>
      <c r="E200" t="s">
        <v>956</v>
      </c>
      <c r="F200" s="3">
        <v>3</v>
      </c>
      <c r="G200" s="12">
        <f t="shared" si="6"/>
        <v>8.11</v>
      </c>
      <c r="H200" s="12">
        <f t="shared" si="7"/>
        <v>7.91</v>
      </c>
      <c r="I200" s="3">
        <v>23.829610599999999</v>
      </c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>
        <v>8.11</v>
      </c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>
        <v>7.91</v>
      </c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>
        <v>7.8</v>
      </c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 s="4"/>
      <c r="GM200" s="4"/>
      <c r="GN200" s="4"/>
      <c r="GO200" s="4"/>
      <c r="GP200" s="4"/>
      <c r="GQ200" s="4"/>
      <c r="GR200" s="4"/>
      <c r="GS200" s="4"/>
      <c r="GT200" s="4"/>
      <c r="GU200" s="4"/>
      <c r="GV200" s="4"/>
      <c r="GW200" s="4"/>
      <c r="GX200" s="4"/>
      <c r="GY200" s="4"/>
      <c r="GZ200" s="4"/>
      <c r="HA200" s="4"/>
      <c r="HB200" s="4"/>
      <c r="HC200" s="4"/>
      <c r="HD200" s="4"/>
      <c r="HE200" s="4"/>
      <c r="HF200" s="4"/>
      <c r="HG200" s="4"/>
      <c r="HH200" s="4"/>
      <c r="HI200" s="4"/>
      <c r="HJ200" s="4"/>
    </row>
    <row r="201" spans="1:218" hidden="1">
      <c r="A201" t="s">
        <v>986</v>
      </c>
      <c r="B201" t="s">
        <v>987</v>
      </c>
      <c r="C201" t="s">
        <v>826</v>
      </c>
      <c r="D201" t="s">
        <v>988</v>
      </c>
      <c r="E201" t="s">
        <v>989</v>
      </c>
      <c r="F201" s="3">
        <v>3</v>
      </c>
      <c r="G201" s="12">
        <f t="shared" si="6"/>
        <v>6.93</v>
      </c>
      <c r="H201" s="12">
        <f t="shared" si="7"/>
        <v>5.77</v>
      </c>
      <c r="I201" s="3">
        <v>17.719940000000001</v>
      </c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>
        <v>5.77</v>
      </c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 s="4"/>
      <c r="GM201" s="4"/>
      <c r="GN201" s="4"/>
      <c r="GO201" s="4"/>
      <c r="GP201" s="4"/>
      <c r="GQ201" s="4"/>
      <c r="GR201" s="4"/>
      <c r="GS201" s="4"/>
      <c r="GT201" s="4"/>
      <c r="GU201" s="4"/>
      <c r="GV201" s="4"/>
      <c r="GW201" s="4"/>
      <c r="GX201" s="4"/>
      <c r="GY201" s="4">
        <v>5.0199999999999996</v>
      </c>
      <c r="GZ201" s="4"/>
      <c r="HA201" s="4"/>
      <c r="HB201" s="4"/>
      <c r="HC201" s="4"/>
      <c r="HD201" s="4"/>
      <c r="HE201" s="4">
        <v>6.93</v>
      </c>
      <c r="HF201" s="4"/>
      <c r="HG201" s="4"/>
      <c r="HH201" s="4"/>
      <c r="HI201" s="4"/>
      <c r="HJ201" s="4"/>
    </row>
    <row r="202" spans="1:218" hidden="1">
      <c r="A202" t="s">
        <v>1092</v>
      </c>
      <c r="B202" t="s">
        <v>1093</v>
      </c>
      <c r="C202" t="s">
        <v>489</v>
      </c>
      <c r="D202" t="s">
        <v>490</v>
      </c>
      <c r="E202" t="s">
        <v>490</v>
      </c>
      <c r="F202" s="3">
        <v>3</v>
      </c>
      <c r="G202" s="12">
        <f t="shared" si="6"/>
        <v>4.58</v>
      </c>
      <c r="H202" s="12">
        <f t="shared" si="7"/>
        <v>4.58</v>
      </c>
      <c r="I202" s="3">
        <v>13.419480200000001</v>
      </c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>
        <v>4.58</v>
      </c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 s="4"/>
      <c r="GM202" s="4"/>
      <c r="GN202" s="4">
        <v>4.58</v>
      </c>
      <c r="GO202" s="4"/>
      <c r="GP202" s="4"/>
      <c r="GQ202" s="4"/>
      <c r="GR202" s="4"/>
      <c r="GS202" s="4"/>
      <c r="GT202" s="4"/>
      <c r="GU202" s="4"/>
      <c r="GV202" s="4"/>
      <c r="GW202" s="4"/>
      <c r="GX202" s="4"/>
      <c r="GY202" s="4"/>
      <c r="GZ202" s="4"/>
      <c r="HA202" s="4"/>
      <c r="HB202" s="4"/>
      <c r="HC202" s="4"/>
      <c r="HD202" s="4"/>
      <c r="HE202" s="4"/>
      <c r="HF202" s="4">
        <v>4.26</v>
      </c>
      <c r="HG202" s="4"/>
      <c r="HH202" s="4"/>
      <c r="HI202" s="4"/>
      <c r="HJ202" s="4"/>
    </row>
    <row r="203" spans="1:218" hidden="1">
      <c r="A203" t="s">
        <v>1207</v>
      </c>
      <c r="B203" t="s">
        <v>1208</v>
      </c>
      <c r="C203" t="s">
        <v>489</v>
      </c>
      <c r="D203" t="s">
        <v>490</v>
      </c>
      <c r="E203" t="s">
        <v>490</v>
      </c>
      <c r="F203" s="3">
        <v>3</v>
      </c>
      <c r="G203" s="12">
        <f t="shared" si="6"/>
        <v>3.38</v>
      </c>
      <c r="H203" s="12">
        <f t="shared" si="7"/>
        <v>3.37</v>
      </c>
      <c r="I203" s="3">
        <v>8.8368398999999993</v>
      </c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>
        <v>2.09</v>
      </c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>
        <v>3.38</v>
      </c>
      <c r="GB203" s="4"/>
      <c r="GC203" s="4"/>
      <c r="GD203" s="4"/>
      <c r="GE203" s="4"/>
      <c r="GF203" s="4"/>
      <c r="GG203" s="4"/>
      <c r="GH203" s="4">
        <v>3.37</v>
      </c>
      <c r="GI203" s="4"/>
      <c r="GJ203" s="4"/>
      <c r="GK203" s="4"/>
      <c r="GL203" s="4"/>
      <c r="GM203" s="4"/>
      <c r="GN203" s="4"/>
      <c r="GO203" s="4"/>
      <c r="GP203" s="4"/>
      <c r="GQ203" s="4"/>
      <c r="GR203" s="4"/>
      <c r="GS203" s="4"/>
      <c r="GT203" s="4"/>
      <c r="GU203" s="4"/>
      <c r="GV203" s="4"/>
      <c r="GW203" s="4"/>
      <c r="GX203" s="4"/>
      <c r="GY203" s="4"/>
      <c r="GZ203" s="4"/>
      <c r="HA203" s="4"/>
      <c r="HB203" s="4"/>
      <c r="HC203" s="4"/>
      <c r="HD203" s="4"/>
      <c r="HE203" s="4"/>
      <c r="HF203" s="4"/>
      <c r="HG203" s="4"/>
      <c r="HH203" s="4"/>
      <c r="HI203" s="4"/>
      <c r="HJ203" s="4"/>
    </row>
    <row r="204" spans="1:218" hidden="1">
      <c r="A204" t="s">
        <v>984</v>
      </c>
      <c r="B204" t="s">
        <v>985</v>
      </c>
      <c r="C204" t="s">
        <v>489</v>
      </c>
      <c r="D204" t="s">
        <v>490</v>
      </c>
      <c r="E204" t="s">
        <v>490</v>
      </c>
      <c r="F204" s="3">
        <v>3</v>
      </c>
      <c r="G204" s="12">
        <f t="shared" si="6"/>
        <v>9.81</v>
      </c>
      <c r="H204" s="12">
        <f t="shared" si="7"/>
        <v>4.3499999999999996</v>
      </c>
      <c r="I204" s="3">
        <v>17.931119599999999</v>
      </c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>
        <v>4.3499999999999996</v>
      </c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>
        <v>9.81</v>
      </c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>
        <v>3.77</v>
      </c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 s="4"/>
      <c r="GM204" s="4"/>
      <c r="GN204" s="4"/>
      <c r="GO204" s="4"/>
      <c r="GP204" s="4"/>
      <c r="GQ204" s="4"/>
      <c r="GR204" s="4"/>
      <c r="GS204" s="4"/>
      <c r="GT204" s="4"/>
      <c r="GU204" s="4"/>
      <c r="GV204" s="4"/>
      <c r="GW204" s="4"/>
      <c r="GX204" s="4"/>
      <c r="GY204" s="4"/>
      <c r="GZ204" s="4"/>
      <c r="HA204" s="4"/>
      <c r="HB204" s="4"/>
      <c r="HC204" s="4"/>
      <c r="HD204" s="4"/>
      <c r="HE204" s="4"/>
      <c r="HF204" s="4"/>
      <c r="HG204" s="4"/>
      <c r="HH204" s="4"/>
      <c r="HI204" s="4"/>
      <c r="HJ204" s="4"/>
    </row>
    <row r="205" spans="1:218" hidden="1">
      <c r="A205" t="s">
        <v>1225</v>
      </c>
      <c r="B205" t="s">
        <v>1226</v>
      </c>
      <c r="C205" t="s">
        <v>489</v>
      </c>
      <c r="D205" t="s">
        <v>490</v>
      </c>
      <c r="E205" t="s">
        <v>490</v>
      </c>
      <c r="F205" s="3">
        <v>3</v>
      </c>
      <c r="G205" s="12">
        <f t="shared" si="6"/>
        <v>3.15</v>
      </c>
      <c r="H205" s="12">
        <f t="shared" si="7"/>
        <v>2.34</v>
      </c>
      <c r="I205" s="3">
        <v>6.6676301999999996</v>
      </c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>
        <v>1.18</v>
      </c>
      <c r="BH205" s="4"/>
      <c r="BI205" s="4"/>
      <c r="BJ205" s="4"/>
      <c r="BK205" s="4"/>
      <c r="BL205" s="4"/>
      <c r="BM205" s="4"/>
      <c r="BN205" s="4"/>
      <c r="BO205" s="4"/>
      <c r="BP205" s="4">
        <v>2.34</v>
      </c>
      <c r="BQ205" s="4"/>
      <c r="BR205" s="4"/>
      <c r="BS205" s="4">
        <v>3.15</v>
      </c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 s="4"/>
      <c r="GM205" s="4"/>
      <c r="GN205" s="4"/>
      <c r="GO205" s="4"/>
      <c r="GP205" s="4"/>
      <c r="GQ205" s="4"/>
      <c r="GR205" s="4"/>
      <c r="GS205" s="4"/>
      <c r="GT205" s="4"/>
      <c r="GU205" s="4"/>
      <c r="GV205" s="4"/>
      <c r="GW205" s="4"/>
      <c r="GX205" s="4"/>
      <c r="GY205" s="4"/>
      <c r="GZ205" s="4"/>
      <c r="HA205" s="4"/>
      <c r="HB205" s="4"/>
      <c r="HC205" s="4"/>
      <c r="HD205" s="4"/>
      <c r="HE205" s="4"/>
      <c r="HF205" s="4"/>
      <c r="HG205" s="4"/>
      <c r="HH205" s="4"/>
      <c r="HI205" s="4"/>
      <c r="HJ205" s="4"/>
    </row>
    <row r="206" spans="1:218" hidden="1">
      <c r="A206" t="s">
        <v>1121</v>
      </c>
      <c r="B206" t="s">
        <v>1122</v>
      </c>
      <c r="C206" t="s">
        <v>489</v>
      </c>
      <c r="D206" t="s">
        <v>490</v>
      </c>
      <c r="E206" t="s">
        <v>490</v>
      </c>
      <c r="F206" s="3">
        <v>3</v>
      </c>
      <c r="G206" s="12">
        <f t="shared" si="6"/>
        <v>5.03</v>
      </c>
      <c r="H206" s="12">
        <f t="shared" si="7"/>
        <v>3.9</v>
      </c>
      <c r="I206" s="3">
        <v>12.303740299999999</v>
      </c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>
        <v>3.37</v>
      </c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>
        <v>3.9</v>
      </c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>
        <v>5.03</v>
      </c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 s="4"/>
      <c r="GM206" s="4"/>
      <c r="GN206" s="4"/>
      <c r="GO206" s="4"/>
      <c r="GP206" s="4"/>
      <c r="GQ206" s="4"/>
      <c r="GR206" s="4"/>
      <c r="GS206" s="4"/>
      <c r="GT206" s="4"/>
      <c r="GU206" s="4"/>
      <c r="GV206" s="4"/>
      <c r="GW206" s="4"/>
      <c r="GX206" s="4"/>
      <c r="GY206" s="4"/>
      <c r="GZ206" s="4"/>
      <c r="HA206" s="4"/>
      <c r="HB206" s="4"/>
      <c r="HC206" s="4"/>
      <c r="HD206" s="4"/>
      <c r="HE206" s="4"/>
      <c r="HF206" s="4"/>
      <c r="HG206" s="4"/>
      <c r="HH206" s="4"/>
      <c r="HI206" s="4"/>
      <c r="HJ206" s="4"/>
    </row>
    <row r="207" spans="1:218" hidden="1">
      <c r="A207" t="s">
        <v>1168</v>
      </c>
      <c r="B207" t="s">
        <v>1169</v>
      </c>
      <c r="C207" t="s">
        <v>489</v>
      </c>
      <c r="D207" t="s">
        <v>490</v>
      </c>
      <c r="E207" t="s">
        <v>490</v>
      </c>
      <c r="F207" s="3">
        <v>3</v>
      </c>
      <c r="G207" s="12">
        <f t="shared" si="6"/>
        <v>6.31</v>
      </c>
      <c r="H207" s="12">
        <f t="shared" si="7"/>
        <v>3.02</v>
      </c>
      <c r="I207" s="3">
        <v>10.98061</v>
      </c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>
        <v>3.02</v>
      </c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>
        <v>1.65</v>
      </c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>
        <v>6.31</v>
      </c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 s="4"/>
      <c r="GM207" s="4"/>
      <c r="GN207" s="4"/>
      <c r="GO207" s="4"/>
      <c r="GP207" s="4"/>
      <c r="GQ207" s="4"/>
      <c r="GR207" s="4"/>
      <c r="GS207" s="4"/>
      <c r="GT207" s="4"/>
      <c r="GU207" s="4"/>
      <c r="GV207" s="4"/>
      <c r="GW207" s="4"/>
      <c r="GX207" s="4"/>
      <c r="GY207" s="4"/>
      <c r="GZ207" s="4"/>
      <c r="HA207" s="4"/>
      <c r="HB207" s="4"/>
      <c r="HC207" s="4"/>
      <c r="HD207" s="4"/>
      <c r="HE207" s="4"/>
      <c r="HF207" s="4"/>
      <c r="HG207" s="4"/>
      <c r="HH207" s="4"/>
      <c r="HI207" s="4"/>
      <c r="HJ207" s="4"/>
    </row>
    <row r="208" spans="1:218" hidden="1">
      <c r="A208" t="s">
        <v>1217</v>
      </c>
      <c r="B208" t="s">
        <v>1218</v>
      </c>
      <c r="C208" t="s">
        <v>489</v>
      </c>
      <c r="D208" t="s">
        <v>490</v>
      </c>
      <c r="E208" t="s">
        <v>490</v>
      </c>
      <c r="F208" s="3">
        <v>3</v>
      </c>
      <c r="G208" s="12">
        <f t="shared" si="6"/>
        <v>2.75</v>
      </c>
      <c r="H208" s="12">
        <f t="shared" si="7"/>
        <v>2.74</v>
      </c>
      <c r="I208" s="3">
        <v>8.125490000000001</v>
      </c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>
        <v>2.64</v>
      </c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>
        <v>2.75</v>
      </c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>
        <v>2.74</v>
      </c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 s="4"/>
      <c r="GM208" s="4"/>
      <c r="GN208" s="4"/>
      <c r="GO208" s="4"/>
      <c r="GP208" s="4"/>
      <c r="GQ208" s="4"/>
      <c r="GR208" s="4"/>
      <c r="GS208" s="4"/>
      <c r="GT208" s="4"/>
      <c r="GU208" s="4"/>
      <c r="GV208" s="4"/>
      <c r="GW208" s="4"/>
      <c r="GX208" s="4"/>
      <c r="GY208" s="4"/>
      <c r="GZ208" s="4"/>
      <c r="HA208" s="4"/>
      <c r="HB208" s="4"/>
      <c r="HC208" s="4"/>
      <c r="HD208" s="4"/>
      <c r="HE208" s="4"/>
      <c r="HF208" s="4"/>
      <c r="HG208" s="4"/>
      <c r="HH208" s="4"/>
      <c r="HI208" s="4"/>
      <c r="HJ208" s="4"/>
    </row>
    <row r="209" spans="1:218" hidden="1">
      <c r="A209" t="s">
        <v>995</v>
      </c>
      <c r="B209" t="s">
        <v>996</v>
      </c>
      <c r="C209" t="s">
        <v>489</v>
      </c>
      <c r="D209" t="s">
        <v>490</v>
      </c>
      <c r="E209" t="s">
        <v>490</v>
      </c>
      <c r="F209" s="3">
        <v>3</v>
      </c>
      <c r="G209" s="12">
        <f t="shared" si="6"/>
        <v>9.1</v>
      </c>
      <c r="H209" s="12">
        <f t="shared" si="7"/>
        <v>6.35</v>
      </c>
      <c r="I209" s="3">
        <v>17.19482</v>
      </c>
      <c r="K209" s="4"/>
      <c r="L209" s="4"/>
      <c r="M209" s="4"/>
      <c r="N209" s="4"/>
      <c r="O209" s="4"/>
      <c r="P209" s="4"/>
      <c r="Q209" s="4">
        <v>6.35</v>
      </c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>
        <v>1.74</v>
      </c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>
        <v>9.1</v>
      </c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 s="4"/>
      <c r="GM209" s="4"/>
      <c r="GN209" s="4"/>
      <c r="GO209" s="4"/>
      <c r="GP209" s="4"/>
      <c r="GQ209" s="4"/>
      <c r="GR209" s="4"/>
      <c r="GS209" s="4"/>
      <c r="GT209" s="4"/>
      <c r="GU209" s="4"/>
      <c r="GV209" s="4"/>
      <c r="GW209" s="4"/>
      <c r="GX209" s="4"/>
      <c r="GY209" s="4"/>
      <c r="GZ209" s="4"/>
      <c r="HA209" s="4"/>
      <c r="HB209" s="4"/>
      <c r="HC209" s="4"/>
      <c r="HD209" s="4"/>
      <c r="HE209" s="4"/>
      <c r="HF209" s="4"/>
      <c r="HG209" s="4"/>
      <c r="HH209" s="4"/>
      <c r="HI209" s="4"/>
      <c r="HJ209" s="4"/>
    </row>
    <row r="210" spans="1:218" hidden="1">
      <c r="A210" t="s">
        <v>1039</v>
      </c>
      <c r="B210" t="s">
        <v>1040</v>
      </c>
      <c r="C210" t="s">
        <v>489</v>
      </c>
      <c r="D210" t="s">
        <v>490</v>
      </c>
      <c r="E210" t="s">
        <v>490</v>
      </c>
      <c r="F210" s="3">
        <v>3</v>
      </c>
      <c r="G210" s="12">
        <f t="shared" si="6"/>
        <v>9.44</v>
      </c>
      <c r="H210" s="12">
        <f t="shared" si="7"/>
        <v>2.23</v>
      </c>
      <c r="I210" s="3">
        <v>14.800110200000001</v>
      </c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>
        <v>2.23</v>
      </c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>
        <v>9.44</v>
      </c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 s="4"/>
      <c r="GM210" s="4"/>
      <c r="GN210" s="4"/>
      <c r="GO210" s="4"/>
      <c r="GP210" s="4"/>
      <c r="GQ210" s="4"/>
      <c r="GR210" s="4"/>
      <c r="GS210" s="4"/>
      <c r="GT210" s="4"/>
      <c r="GU210" s="4"/>
      <c r="GV210" s="4"/>
      <c r="GW210" s="4"/>
      <c r="GX210" s="4"/>
      <c r="GY210" s="4"/>
      <c r="GZ210" s="4"/>
      <c r="HA210" s="4"/>
      <c r="HB210" s="4"/>
      <c r="HC210" s="4"/>
      <c r="HD210" s="4"/>
      <c r="HE210" s="4"/>
      <c r="HF210" s="4"/>
      <c r="HG210" s="4"/>
      <c r="HH210" s="4"/>
      <c r="HI210" s="4"/>
      <c r="HJ210" s="4"/>
    </row>
    <row r="211" spans="1:218" hidden="1">
      <c r="A211" t="s">
        <v>1024</v>
      </c>
      <c r="B211" t="s">
        <v>1025</v>
      </c>
      <c r="C211" t="s">
        <v>489</v>
      </c>
      <c r="D211" t="s">
        <v>490</v>
      </c>
      <c r="E211" t="s">
        <v>490</v>
      </c>
      <c r="F211" s="3">
        <v>3</v>
      </c>
      <c r="G211" s="12">
        <f t="shared" si="6"/>
        <v>6.86</v>
      </c>
      <c r="H211" s="12">
        <f t="shared" si="7"/>
        <v>5.23</v>
      </c>
      <c r="I211" s="3">
        <v>15.352259800000001</v>
      </c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>
        <v>3.26</v>
      </c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>
        <v>5.23</v>
      </c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>
        <v>6.86</v>
      </c>
      <c r="GF211" s="4"/>
      <c r="GG211" s="4"/>
      <c r="GH211" s="4"/>
      <c r="GI211" s="4"/>
      <c r="GJ211" s="4"/>
      <c r="GK211" s="4"/>
      <c r="GL211" s="4"/>
      <c r="GM211" s="4"/>
      <c r="GN211" s="4"/>
      <c r="GO211" s="4"/>
      <c r="GP211" s="4"/>
      <c r="GQ211" s="4"/>
      <c r="GR211" s="4"/>
      <c r="GS211" s="4"/>
      <c r="GT211" s="4"/>
      <c r="GU211" s="4"/>
      <c r="GV211" s="4"/>
      <c r="GW211" s="4"/>
      <c r="GX211" s="4"/>
      <c r="GY211" s="4"/>
      <c r="GZ211" s="4"/>
      <c r="HA211" s="4"/>
      <c r="HB211" s="4"/>
      <c r="HC211" s="4"/>
      <c r="HD211" s="4"/>
      <c r="HE211" s="4"/>
      <c r="HF211" s="4"/>
      <c r="HG211" s="4"/>
      <c r="HH211" s="4"/>
      <c r="HI211" s="4"/>
      <c r="HJ211" s="4"/>
    </row>
    <row r="212" spans="1:218" hidden="1">
      <c r="A212" t="s">
        <v>1094</v>
      </c>
      <c r="B212" t="s">
        <v>1095</v>
      </c>
      <c r="C212" t="s">
        <v>489</v>
      </c>
      <c r="D212" t="s">
        <v>490</v>
      </c>
      <c r="E212" t="s">
        <v>490</v>
      </c>
      <c r="F212" s="3">
        <v>3</v>
      </c>
      <c r="G212" s="12">
        <f t="shared" si="6"/>
        <v>4.91</v>
      </c>
      <c r="H212" s="12">
        <f t="shared" si="7"/>
        <v>4.51</v>
      </c>
      <c r="I212" s="3">
        <v>13.40157</v>
      </c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>
        <v>4.51</v>
      </c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>
        <v>3.98</v>
      </c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 s="4"/>
      <c r="GM212" s="4"/>
      <c r="GN212" s="4"/>
      <c r="GO212" s="4"/>
      <c r="GP212" s="4"/>
      <c r="GQ212" s="4"/>
      <c r="GR212" s="4"/>
      <c r="GS212" s="4"/>
      <c r="GT212" s="4"/>
      <c r="GU212" s="4"/>
      <c r="GV212" s="4">
        <v>4.91</v>
      </c>
      <c r="GW212" s="4"/>
      <c r="GX212" s="4"/>
      <c r="GY212" s="4"/>
      <c r="GZ212" s="4"/>
      <c r="HA212" s="4"/>
      <c r="HB212" s="4"/>
      <c r="HC212" s="4"/>
      <c r="HD212" s="4"/>
      <c r="HE212" s="4"/>
      <c r="HF212" s="4"/>
      <c r="HG212" s="4"/>
      <c r="HH212" s="4"/>
      <c r="HI212" s="4"/>
      <c r="HJ212" s="4"/>
    </row>
    <row r="213" spans="1:218" hidden="1">
      <c r="A213" t="s">
        <v>1116</v>
      </c>
      <c r="B213" t="s">
        <v>1117</v>
      </c>
      <c r="C213" t="s">
        <v>1118</v>
      </c>
      <c r="D213" t="s">
        <v>1119</v>
      </c>
      <c r="E213" t="s">
        <v>1120</v>
      </c>
      <c r="F213" s="3">
        <v>3</v>
      </c>
      <c r="G213" s="12">
        <f t="shared" si="6"/>
        <v>4.3899999999999997</v>
      </c>
      <c r="H213" s="12">
        <f t="shared" si="7"/>
        <v>4.28</v>
      </c>
      <c r="I213" s="3">
        <v>12.33643</v>
      </c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>
        <v>4.28</v>
      </c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 s="4"/>
      <c r="GM213" s="4"/>
      <c r="GN213" s="4"/>
      <c r="GO213" s="4"/>
      <c r="GP213" s="4"/>
      <c r="GQ213" s="4"/>
      <c r="GR213" s="4"/>
      <c r="GS213" s="4"/>
      <c r="GT213" s="4"/>
      <c r="GU213" s="4"/>
      <c r="GV213" s="4"/>
      <c r="GW213" s="4"/>
      <c r="GX213" s="4"/>
      <c r="GY213" s="4">
        <v>3.67</v>
      </c>
      <c r="GZ213" s="4"/>
      <c r="HA213" s="4"/>
      <c r="HB213" s="4"/>
      <c r="HC213" s="4"/>
      <c r="HD213" s="4"/>
      <c r="HE213" s="4">
        <v>4.3899999999999997</v>
      </c>
      <c r="HF213" s="4"/>
      <c r="HG213" s="4"/>
      <c r="HH213" s="4"/>
      <c r="HI213" s="4"/>
      <c r="HJ213" s="4"/>
    </row>
    <row r="214" spans="1:218" hidden="1">
      <c r="A214" t="s">
        <v>1006</v>
      </c>
      <c r="B214" t="s">
        <v>1007</v>
      </c>
      <c r="C214" t="s">
        <v>489</v>
      </c>
      <c r="D214" t="s">
        <v>490</v>
      </c>
      <c r="E214" t="s">
        <v>490</v>
      </c>
      <c r="F214" s="3">
        <v>3</v>
      </c>
      <c r="G214" s="12">
        <f t="shared" si="6"/>
        <v>5.51</v>
      </c>
      <c r="H214" s="12">
        <f t="shared" si="7"/>
        <v>5.48</v>
      </c>
      <c r="I214" s="3">
        <v>16.033550300000002</v>
      </c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>
        <v>5.51</v>
      </c>
      <c r="CG214" s="4">
        <v>5.04</v>
      </c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>
        <v>5.48</v>
      </c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 s="4"/>
      <c r="GM214" s="4"/>
      <c r="GN214" s="4"/>
      <c r="GO214" s="4"/>
      <c r="GP214" s="4"/>
      <c r="GQ214" s="4"/>
      <c r="GR214" s="4"/>
      <c r="GS214" s="4"/>
      <c r="GT214" s="4"/>
      <c r="GU214" s="4"/>
      <c r="GV214" s="4"/>
      <c r="GW214" s="4"/>
      <c r="GX214" s="4"/>
      <c r="GY214" s="4"/>
      <c r="GZ214" s="4"/>
      <c r="HA214" s="4"/>
      <c r="HB214" s="4"/>
      <c r="HC214" s="4"/>
      <c r="HD214" s="4"/>
      <c r="HE214" s="4"/>
      <c r="HF214" s="4"/>
      <c r="HG214" s="4"/>
      <c r="HH214" s="4"/>
      <c r="HI214" s="4"/>
      <c r="HJ214" s="4"/>
    </row>
    <row r="215" spans="1:218" hidden="1">
      <c r="A215" t="s">
        <v>1219</v>
      </c>
      <c r="B215" t="s">
        <v>1220</v>
      </c>
      <c r="C215" t="s">
        <v>489</v>
      </c>
      <c r="D215" t="s">
        <v>490</v>
      </c>
      <c r="E215" t="s">
        <v>490</v>
      </c>
      <c r="F215" s="3">
        <v>3</v>
      </c>
      <c r="G215" s="12">
        <f t="shared" si="6"/>
        <v>4.3600000000000003</v>
      </c>
      <c r="H215" s="12">
        <f t="shared" si="7"/>
        <v>2.1800000000000002</v>
      </c>
      <c r="I215" s="3">
        <v>8.0189298999999998</v>
      </c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>
        <v>4.3600000000000003</v>
      </c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>
        <v>1.48</v>
      </c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 s="4"/>
      <c r="GM215" s="4"/>
      <c r="GN215" s="4"/>
      <c r="GO215" s="4"/>
      <c r="GP215" s="4"/>
      <c r="GQ215" s="4"/>
      <c r="GR215" s="4"/>
      <c r="GS215" s="4"/>
      <c r="GT215" s="4"/>
      <c r="GU215" s="4"/>
      <c r="GV215" s="4"/>
      <c r="GW215" s="4">
        <v>2.1800000000000002</v>
      </c>
      <c r="GX215" s="4"/>
      <c r="GY215" s="4"/>
      <c r="GZ215" s="4"/>
      <c r="HA215" s="4"/>
      <c r="HB215" s="4"/>
      <c r="HC215" s="4"/>
      <c r="HD215" s="4"/>
      <c r="HE215" s="4"/>
      <c r="HF215" s="4"/>
      <c r="HG215" s="4"/>
      <c r="HH215" s="4"/>
      <c r="HI215" s="4"/>
      <c r="HJ215" s="4"/>
    </row>
    <row r="216" spans="1:218" hidden="1">
      <c r="A216" t="s">
        <v>1127</v>
      </c>
      <c r="B216" t="s">
        <v>1128</v>
      </c>
      <c r="C216" t="s">
        <v>489</v>
      </c>
      <c r="D216" t="s">
        <v>490</v>
      </c>
      <c r="E216" t="s">
        <v>490</v>
      </c>
      <c r="F216" s="3">
        <v>3</v>
      </c>
      <c r="G216" s="12">
        <f t="shared" si="6"/>
        <v>4.1900000000000004</v>
      </c>
      <c r="H216" s="12">
        <f t="shared" si="7"/>
        <v>3.99</v>
      </c>
      <c r="I216" s="3">
        <v>12.1599898</v>
      </c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>
        <v>3.98</v>
      </c>
      <c r="CM216" s="4">
        <v>4.1900000000000004</v>
      </c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>
        <v>3.99</v>
      </c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 s="4"/>
      <c r="GM216" s="4"/>
      <c r="GN216" s="4"/>
      <c r="GO216" s="4"/>
      <c r="GP216" s="4"/>
      <c r="GQ216" s="4"/>
      <c r="GR216" s="4"/>
      <c r="GS216" s="4"/>
      <c r="GT216" s="4"/>
      <c r="GU216" s="4"/>
      <c r="GV216" s="4"/>
      <c r="GW216" s="4"/>
      <c r="GX216" s="4"/>
      <c r="GY216" s="4"/>
      <c r="GZ216" s="4"/>
      <c r="HA216" s="4"/>
      <c r="HB216" s="4"/>
      <c r="HC216" s="4"/>
      <c r="HD216" s="4"/>
      <c r="HE216" s="4"/>
      <c r="HF216" s="4"/>
      <c r="HG216" s="4"/>
      <c r="HH216" s="4"/>
      <c r="HI216" s="4"/>
      <c r="HJ216" s="4"/>
    </row>
    <row r="217" spans="1:218" hidden="1">
      <c r="A217" t="s">
        <v>1070</v>
      </c>
      <c r="B217" t="s">
        <v>1071</v>
      </c>
      <c r="C217" t="s">
        <v>489</v>
      </c>
      <c r="D217" t="s">
        <v>490</v>
      </c>
      <c r="E217" t="s">
        <v>490</v>
      </c>
      <c r="F217" s="3">
        <v>3</v>
      </c>
      <c r="G217" s="12">
        <f t="shared" si="6"/>
        <v>8.25</v>
      </c>
      <c r="H217" s="12">
        <f t="shared" si="7"/>
        <v>2.86</v>
      </c>
      <c r="I217" s="3">
        <v>13.8166399</v>
      </c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>
        <v>8.25</v>
      </c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>
        <v>2.71</v>
      </c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 s="4"/>
      <c r="GM217" s="4"/>
      <c r="GN217" s="4"/>
      <c r="GO217" s="4">
        <v>2.86</v>
      </c>
      <c r="GP217" s="4"/>
      <c r="GQ217" s="4"/>
      <c r="GR217" s="4"/>
      <c r="GS217" s="4"/>
      <c r="GT217" s="4"/>
      <c r="GU217" s="4"/>
      <c r="GV217" s="4"/>
      <c r="GW217" s="4"/>
      <c r="GX217" s="4"/>
      <c r="GY217" s="4"/>
      <c r="GZ217" s="4"/>
      <c r="HA217" s="4"/>
      <c r="HB217" s="4"/>
      <c r="HC217" s="4"/>
      <c r="HD217" s="4"/>
      <c r="HE217" s="4"/>
      <c r="HF217" s="4"/>
      <c r="HG217" s="4"/>
      <c r="HH217" s="4"/>
      <c r="HI217" s="4"/>
      <c r="HJ217" s="4"/>
    </row>
    <row r="218" spans="1:218" hidden="1">
      <c r="A218" s="15" t="s">
        <v>1506</v>
      </c>
      <c r="B218" s="15" t="s">
        <v>1507</v>
      </c>
      <c r="C218" s="15" t="s">
        <v>505</v>
      </c>
      <c r="D218" s="15" t="s">
        <v>1508</v>
      </c>
      <c r="E218" s="15" t="s">
        <v>1509</v>
      </c>
      <c r="F218" s="16">
        <v>2</v>
      </c>
      <c r="G218" s="12">
        <f t="shared" si="6"/>
        <v>6.31</v>
      </c>
      <c r="H218" s="12">
        <f t="shared" si="7"/>
        <v>1.04</v>
      </c>
      <c r="I218" s="16">
        <v>7.3498600499999993</v>
      </c>
      <c r="J218" s="15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>
        <v>6.31</v>
      </c>
      <c r="AL218" s="17"/>
      <c r="AM218" s="17"/>
      <c r="AN218" s="17"/>
      <c r="AO218" s="17"/>
      <c r="AP218" s="17"/>
      <c r="AQ218" s="17"/>
      <c r="AR218" s="17"/>
      <c r="AS218" s="17"/>
      <c r="AT218" s="17"/>
      <c r="AU218" s="17"/>
      <c r="AV218" s="17"/>
      <c r="AW218" s="17"/>
      <c r="AX218" s="17"/>
      <c r="AY218" s="17"/>
      <c r="AZ218" s="17"/>
      <c r="BA218" s="17"/>
      <c r="BB218" s="17"/>
      <c r="BC218" s="17"/>
      <c r="BD218" s="17"/>
      <c r="BE218" s="17"/>
      <c r="BF218" s="17"/>
      <c r="BG218" s="17"/>
      <c r="BH218" s="17"/>
      <c r="BI218" s="17"/>
      <c r="BJ218" s="17"/>
      <c r="BK218" s="17"/>
      <c r="BL218" s="17"/>
      <c r="BM218" s="17"/>
      <c r="BN218" s="17"/>
      <c r="BO218" s="17"/>
      <c r="BP218" s="17"/>
      <c r="BQ218" s="17"/>
      <c r="BR218" s="17"/>
      <c r="BS218" s="17"/>
      <c r="BT218" s="17"/>
      <c r="BU218" s="17"/>
      <c r="BV218" s="17"/>
      <c r="BW218" s="17"/>
      <c r="BX218" s="17"/>
      <c r="BY218" s="17"/>
      <c r="BZ218" s="17"/>
      <c r="CA218" s="17"/>
      <c r="CB218" s="17"/>
      <c r="CC218" s="17"/>
      <c r="CD218" s="17"/>
      <c r="CE218" s="17"/>
      <c r="CF218" s="17"/>
      <c r="CG218" s="17"/>
      <c r="CH218" s="17"/>
      <c r="CI218" s="17"/>
      <c r="CJ218" s="17"/>
      <c r="CK218" s="17"/>
      <c r="CL218" s="17"/>
      <c r="CM218" s="17"/>
      <c r="CN218" s="17"/>
      <c r="CO218" s="17"/>
      <c r="CP218" s="17"/>
      <c r="CQ218" s="17"/>
      <c r="CR218" s="17"/>
      <c r="CS218" s="17"/>
      <c r="CT218" s="17"/>
      <c r="CU218" s="17"/>
      <c r="CV218" s="17"/>
      <c r="CW218" s="17"/>
      <c r="CX218" s="17"/>
      <c r="CY218" s="17"/>
      <c r="CZ218" s="17"/>
      <c r="DA218" s="17"/>
      <c r="DB218" s="17"/>
      <c r="DC218" s="17"/>
      <c r="DD218" s="17"/>
      <c r="DE218" s="17"/>
      <c r="DF218" s="17"/>
      <c r="DG218" s="17"/>
      <c r="DH218" s="17"/>
      <c r="DI218" s="17"/>
      <c r="DJ218" s="17"/>
      <c r="DK218" s="17"/>
      <c r="DL218" s="17"/>
      <c r="DM218" s="17"/>
      <c r="DN218" s="17"/>
      <c r="DO218" s="17"/>
      <c r="DP218" s="17"/>
      <c r="DQ218" s="17">
        <v>1.04</v>
      </c>
      <c r="DR218" s="17"/>
      <c r="DS218" s="17"/>
      <c r="DT218" s="17"/>
      <c r="DU218" s="17"/>
      <c r="DV218" s="17"/>
      <c r="DW218" s="17"/>
      <c r="DX218" s="17"/>
      <c r="DY218" s="17"/>
      <c r="DZ218" s="17"/>
      <c r="EA218" s="17"/>
      <c r="EB218" s="17"/>
      <c r="EC218" s="17"/>
      <c r="ED218" s="17"/>
      <c r="EE218" s="17"/>
      <c r="EF218" s="17"/>
      <c r="EG218" s="17"/>
      <c r="EH218" s="17"/>
      <c r="EI218" s="17"/>
      <c r="EJ218" s="17"/>
      <c r="EK218" s="17"/>
      <c r="EL218" s="17"/>
      <c r="EM218" s="17"/>
      <c r="EN218" s="17"/>
      <c r="EO218" s="17"/>
      <c r="EP218" s="17"/>
      <c r="EQ218" s="17"/>
      <c r="ER218" s="17"/>
      <c r="ES218" s="17"/>
      <c r="ET218" s="17"/>
      <c r="EU218" s="17"/>
      <c r="EV218" s="17"/>
      <c r="EW218" s="17"/>
      <c r="EX218" s="17"/>
      <c r="EY218" s="17"/>
      <c r="EZ218" s="17"/>
      <c r="FA218" s="17"/>
      <c r="FB218" s="17"/>
      <c r="FC218" s="17"/>
      <c r="FD218" s="17"/>
      <c r="FE218" s="17"/>
      <c r="FF218" s="17"/>
      <c r="FG218" s="17"/>
      <c r="FH218" s="17"/>
      <c r="FI218" s="17"/>
      <c r="FJ218" s="17"/>
      <c r="FK218" s="17"/>
      <c r="FL218" s="17"/>
      <c r="FM218" s="17"/>
      <c r="FN218" s="17"/>
      <c r="FO218" s="17"/>
      <c r="FP218" s="17"/>
      <c r="FQ218" s="17"/>
      <c r="FR218" s="17"/>
      <c r="FS218" s="17"/>
      <c r="FT218" s="17"/>
      <c r="FU218" s="17"/>
      <c r="FV218" s="17"/>
      <c r="FW218" s="17"/>
      <c r="FX218" s="17"/>
      <c r="FY218" s="17"/>
      <c r="FZ218" s="17"/>
      <c r="GA218" s="17"/>
      <c r="GB218" s="17"/>
      <c r="GC218" s="17"/>
      <c r="GD218" s="17"/>
      <c r="GE218" s="17"/>
      <c r="GF218" s="17"/>
      <c r="GG218" s="17"/>
      <c r="GH218" s="17"/>
      <c r="GI218" s="17"/>
      <c r="GJ218" s="17"/>
      <c r="GK218" s="17"/>
      <c r="GL218" s="17"/>
      <c r="GM218" s="17"/>
      <c r="GN218" s="17"/>
      <c r="GO218" s="17"/>
      <c r="GP218" s="17"/>
      <c r="GQ218" s="17"/>
      <c r="GR218" s="17"/>
      <c r="GS218" s="17"/>
      <c r="GT218" s="17"/>
      <c r="GU218" s="17"/>
      <c r="GV218" s="17"/>
      <c r="GW218" s="17"/>
      <c r="GX218" s="17"/>
      <c r="GY218" s="17"/>
      <c r="GZ218" s="17"/>
      <c r="HA218" s="17"/>
      <c r="HB218" s="17"/>
      <c r="HC218" s="17"/>
      <c r="HD218" s="17"/>
      <c r="HE218" s="17"/>
      <c r="HF218" s="17"/>
      <c r="HG218" s="17"/>
      <c r="HH218" s="17"/>
      <c r="HI218" s="17"/>
      <c r="HJ218" s="17"/>
    </row>
    <row r="219" spans="1:218" hidden="1">
      <c r="A219" t="s">
        <v>1396</v>
      </c>
      <c r="B219" t="s">
        <v>1397</v>
      </c>
      <c r="C219" t="s">
        <v>443</v>
      </c>
      <c r="D219" t="s">
        <v>1398</v>
      </c>
      <c r="E219" t="s">
        <v>1399</v>
      </c>
      <c r="F219" s="3">
        <v>2</v>
      </c>
      <c r="G219" s="12">
        <f t="shared" si="6"/>
        <v>4.92</v>
      </c>
      <c r="H219" s="12">
        <f t="shared" si="7"/>
        <v>4.12</v>
      </c>
      <c r="I219" s="3">
        <v>9.0397093000000019</v>
      </c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>
        <v>4.92</v>
      </c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 s="4"/>
      <c r="GM219" s="4"/>
      <c r="GN219" s="4"/>
      <c r="GO219" s="4"/>
      <c r="GP219" s="4"/>
      <c r="GQ219" s="4"/>
      <c r="GR219" s="4"/>
      <c r="GS219" s="4"/>
      <c r="GT219" s="4">
        <v>4.12</v>
      </c>
      <c r="GU219" s="4"/>
      <c r="GV219" s="4"/>
      <c r="GW219" s="4"/>
      <c r="GX219" s="4"/>
      <c r="GY219" s="4"/>
      <c r="GZ219" s="4"/>
      <c r="HA219" s="4"/>
      <c r="HB219" s="4"/>
      <c r="HC219" s="4"/>
      <c r="HD219" s="4"/>
      <c r="HE219" s="4"/>
      <c r="HF219" s="4"/>
      <c r="HG219" s="4"/>
      <c r="HH219" s="4"/>
      <c r="HI219" s="4"/>
      <c r="HJ219" s="4"/>
    </row>
    <row r="220" spans="1:218" hidden="1">
      <c r="A220" t="s">
        <v>1433</v>
      </c>
      <c r="B220" t="s">
        <v>1434</v>
      </c>
      <c r="C220" t="s">
        <v>1118</v>
      </c>
      <c r="D220" t="s">
        <v>1435</v>
      </c>
      <c r="E220" t="s">
        <v>1436</v>
      </c>
      <c r="F220" s="3">
        <v>2</v>
      </c>
      <c r="G220" s="12">
        <f t="shared" si="6"/>
        <v>4.53</v>
      </c>
      <c r="H220" s="12">
        <f t="shared" si="7"/>
        <v>3.83</v>
      </c>
      <c r="I220" s="3">
        <v>8.3637997000000013</v>
      </c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>
        <v>4.53</v>
      </c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>
        <v>3.83</v>
      </c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 s="4"/>
      <c r="GM220" s="4"/>
      <c r="GN220" s="4"/>
      <c r="GO220" s="4"/>
      <c r="GP220" s="4"/>
      <c r="GQ220" s="4"/>
      <c r="GR220" s="4"/>
      <c r="GS220" s="4"/>
      <c r="GT220" s="4"/>
      <c r="GU220" s="4"/>
      <c r="GV220" s="4"/>
      <c r="GW220" s="4"/>
      <c r="GX220" s="4"/>
      <c r="GY220" s="4"/>
      <c r="GZ220" s="4"/>
      <c r="HA220" s="4"/>
      <c r="HB220" s="4"/>
      <c r="HC220" s="4"/>
      <c r="HD220" s="4"/>
      <c r="HE220" s="4"/>
      <c r="HF220" s="4"/>
      <c r="HG220" s="4"/>
      <c r="HH220" s="4"/>
      <c r="HI220" s="4"/>
      <c r="HJ220" s="4"/>
    </row>
    <row r="221" spans="1:218" hidden="1">
      <c r="A221" t="s">
        <v>1276</v>
      </c>
      <c r="B221" t="s">
        <v>1277</v>
      </c>
      <c r="C221" t="s">
        <v>1278</v>
      </c>
      <c r="D221" t="s">
        <v>1279</v>
      </c>
      <c r="E221" t="s">
        <v>1280</v>
      </c>
      <c r="F221" s="3">
        <v>2</v>
      </c>
      <c r="G221" s="12">
        <f t="shared" si="6"/>
        <v>8.67</v>
      </c>
      <c r="H221" s="12">
        <f t="shared" si="7"/>
        <v>4.74</v>
      </c>
      <c r="I221" s="3">
        <v>13.41154</v>
      </c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>
        <v>4.74</v>
      </c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 s="4"/>
      <c r="GM221" s="4"/>
      <c r="GN221" s="4"/>
      <c r="GO221" s="4"/>
      <c r="GP221" s="4"/>
      <c r="GQ221" s="4"/>
      <c r="GR221" s="4"/>
      <c r="GS221" s="4"/>
      <c r="GT221" s="4"/>
      <c r="GU221" s="4"/>
      <c r="GV221" s="4"/>
      <c r="GW221" s="4"/>
      <c r="GX221" s="4"/>
      <c r="GY221" s="4"/>
      <c r="GZ221" s="4"/>
      <c r="HA221" s="4"/>
      <c r="HB221" s="4"/>
      <c r="HC221" s="4"/>
      <c r="HD221" s="4"/>
      <c r="HE221" s="4">
        <v>8.67</v>
      </c>
      <c r="HF221" s="4"/>
      <c r="HG221" s="4"/>
      <c r="HH221" s="4"/>
      <c r="HI221" s="4"/>
      <c r="HJ221" s="4"/>
    </row>
    <row r="222" spans="1:218" hidden="1">
      <c r="A222" t="s">
        <v>1423</v>
      </c>
      <c r="B222" t="s">
        <v>1424</v>
      </c>
      <c r="C222" t="s">
        <v>505</v>
      </c>
      <c r="D222" t="s">
        <v>1425</v>
      </c>
      <c r="E222" t="s">
        <v>1426</v>
      </c>
      <c r="F222" s="3">
        <v>2</v>
      </c>
      <c r="G222" s="12">
        <f t="shared" si="6"/>
        <v>4.6900000000000004</v>
      </c>
      <c r="H222" s="12">
        <f t="shared" si="7"/>
        <v>3.79</v>
      </c>
      <c r="I222" s="3">
        <v>8.4747101999999987</v>
      </c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>
        <v>4.6900000000000004</v>
      </c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>
        <v>3.79</v>
      </c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 s="4"/>
      <c r="GM222" s="4"/>
      <c r="GN222" s="4"/>
      <c r="GO222" s="4"/>
      <c r="GP222" s="4"/>
      <c r="GQ222" s="4"/>
      <c r="GR222" s="4"/>
      <c r="GS222" s="4"/>
      <c r="GT222" s="4"/>
      <c r="GU222" s="4"/>
      <c r="GV222" s="4"/>
      <c r="GW222" s="4"/>
      <c r="GX222" s="4"/>
      <c r="GY222" s="4"/>
      <c r="GZ222" s="4"/>
      <c r="HA222" s="4"/>
      <c r="HB222" s="4"/>
      <c r="HC222" s="4"/>
      <c r="HD222" s="4"/>
      <c r="HE222" s="4"/>
      <c r="HF222" s="4"/>
      <c r="HG222" s="4"/>
      <c r="HH222" s="4"/>
      <c r="HI222" s="4"/>
      <c r="HJ222" s="4"/>
    </row>
    <row r="223" spans="1:218" hidden="1">
      <c r="A223" t="s">
        <v>1557</v>
      </c>
      <c r="B223" t="s">
        <v>1558</v>
      </c>
      <c r="C223" t="s">
        <v>1559</v>
      </c>
      <c r="D223" t="s">
        <v>1560</v>
      </c>
      <c r="E223" t="s">
        <v>1561</v>
      </c>
      <c r="F223" s="3">
        <v>2</v>
      </c>
      <c r="G223" s="12">
        <f t="shared" si="6"/>
        <v>4.3600000000000003</v>
      </c>
      <c r="H223" s="12">
        <f t="shared" si="7"/>
        <v>2.12</v>
      </c>
      <c r="I223" s="3">
        <v>6.4766803999999993</v>
      </c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>
        <v>4.3600000000000003</v>
      </c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>
        <v>2.12</v>
      </c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 s="4"/>
      <c r="GM223" s="4"/>
      <c r="GN223" s="4"/>
      <c r="GO223" s="4"/>
      <c r="GP223" s="4"/>
      <c r="GQ223" s="4"/>
      <c r="GR223" s="4"/>
      <c r="GS223" s="4"/>
      <c r="GT223" s="4"/>
      <c r="GU223" s="4"/>
      <c r="GV223" s="4"/>
      <c r="GW223" s="4"/>
      <c r="GX223" s="4"/>
      <c r="GY223" s="4"/>
      <c r="GZ223" s="4"/>
      <c r="HA223" s="4"/>
      <c r="HB223" s="4"/>
      <c r="HC223" s="4"/>
      <c r="HD223" s="4"/>
      <c r="HE223" s="4"/>
      <c r="HF223" s="4"/>
      <c r="HG223" s="4"/>
      <c r="HH223" s="4"/>
      <c r="HI223" s="4"/>
      <c r="HJ223" s="4"/>
    </row>
    <row r="224" spans="1:218" hidden="1">
      <c r="A224" t="s">
        <v>1610</v>
      </c>
      <c r="B224" t="s">
        <v>1611</v>
      </c>
      <c r="C224" t="s">
        <v>505</v>
      </c>
      <c r="D224" t="s">
        <v>1612</v>
      </c>
      <c r="E224" t="s">
        <v>1613</v>
      </c>
      <c r="F224" s="3">
        <v>2</v>
      </c>
      <c r="G224" s="12">
        <f t="shared" si="6"/>
        <v>3.23</v>
      </c>
      <c r="H224" s="12">
        <f t="shared" si="7"/>
        <v>2.0699999999999998</v>
      </c>
      <c r="I224" s="3">
        <v>5.3011499999999998</v>
      </c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>
        <v>3.23</v>
      </c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>
        <v>2.0699999999999998</v>
      </c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 s="4"/>
      <c r="GM224" s="4"/>
      <c r="GN224" s="4"/>
      <c r="GO224" s="4"/>
      <c r="GP224" s="4"/>
      <c r="GQ224" s="4"/>
      <c r="GR224" s="4"/>
      <c r="GS224" s="4"/>
      <c r="GT224" s="4"/>
      <c r="GU224" s="4"/>
      <c r="GV224" s="4"/>
      <c r="GW224" s="4"/>
      <c r="GX224" s="4"/>
      <c r="GY224" s="4"/>
      <c r="GZ224" s="4"/>
      <c r="HA224" s="4"/>
      <c r="HB224" s="4"/>
      <c r="HC224" s="4"/>
      <c r="HD224" s="4"/>
      <c r="HE224" s="4"/>
      <c r="HF224" s="4"/>
      <c r="HG224" s="4"/>
      <c r="HH224" s="4"/>
      <c r="HI224" s="4"/>
      <c r="HJ224" s="4"/>
    </row>
    <row r="225" spans="1:218" hidden="1">
      <c r="A225" t="s">
        <v>1360</v>
      </c>
      <c r="B225" t="s">
        <v>1361</v>
      </c>
      <c r="C225" t="s">
        <v>505</v>
      </c>
      <c r="D225" t="s">
        <v>1362</v>
      </c>
      <c r="E225" t="s">
        <v>1363</v>
      </c>
      <c r="F225" s="3">
        <v>2</v>
      </c>
      <c r="G225" s="12">
        <f t="shared" si="6"/>
        <v>5.23</v>
      </c>
      <c r="H225" s="12">
        <f t="shared" si="7"/>
        <v>4.5999999999999996</v>
      </c>
      <c r="I225" s="3">
        <v>9.8269400000000005</v>
      </c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>
        <v>4.5999999999999996</v>
      </c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>
        <v>5.23</v>
      </c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 s="4"/>
      <c r="GM225" s="4"/>
      <c r="GN225" s="4"/>
      <c r="GO225" s="4"/>
      <c r="GP225" s="4"/>
      <c r="GQ225" s="4"/>
      <c r="GR225" s="4"/>
      <c r="GS225" s="4"/>
      <c r="GT225" s="4"/>
      <c r="GU225" s="4"/>
      <c r="GV225" s="4"/>
      <c r="GW225" s="4"/>
      <c r="GX225" s="4"/>
      <c r="GY225" s="4"/>
      <c r="GZ225" s="4"/>
      <c r="HA225" s="4"/>
      <c r="HB225" s="4"/>
      <c r="HC225" s="4"/>
      <c r="HD225" s="4"/>
      <c r="HE225" s="4"/>
      <c r="HF225" s="4"/>
      <c r="HG225" s="4"/>
      <c r="HH225" s="4"/>
      <c r="HI225" s="4"/>
      <c r="HJ225" s="4"/>
    </row>
    <row r="226" spans="1:218" hidden="1">
      <c r="A226" t="s">
        <v>1442</v>
      </c>
      <c r="B226" t="s">
        <v>1443</v>
      </c>
      <c r="C226" t="s">
        <v>505</v>
      </c>
      <c r="D226" t="s">
        <v>1444</v>
      </c>
      <c r="E226" t="s">
        <v>1445</v>
      </c>
      <c r="F226" s="3">
        <v>2</v>
      </c>
      <c r="G226" s="12">
        <f t="shared" si="6"/>
        <v>4.22</v>
      </c>
      <c r="H226" s="12">
        <f t="shared" si="7"/>
        <v>4.07</v>
      </c>
      <c r="I226" s="3">
        <v>8.292720000000001</v>
      </c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>
        <v>4.22</v>
      </c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>
        <v>4.07</v>
      </c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 s="4"/>
      <c r="GM226" s="4"/>
      <c r="GN226" s="4"/>
      <c r="GO226" s="4"/>
      <c r="GP226" s="4"/>
      <c r="GQ226" s="4"/>
      <c r="GR226" s="4"/>
      <c r="GS226" s="4"/>
      <c r="GT226" s="4"/>
      <c r="GU226" s="4"/>
      <c r="GV226" s="4"/>
      <c r="GW226" s="4"/>
      <c r="GX226" s="4"/>
      <c r="GY226" s="4"/>
      <c r="GZ226" s="4"/>
      <c r="HA226" s="4"/>
      <c r="HB226" s="4"/>
      <c r="HC226" s="4"/>
      <c r="HD226" s="4"/>
      <c r="HE226" s="4"/>
      <c r="HF226" s="4"/>
      <c r="HG226" s="4"/>
      <c r="HH226" s="4"/>
      <c r="HI226" s="4"/>
      <c r="HJ226" s="4"/>
    </row>
    <row r="227" spans="1:218" hidden="1">
      <c r="A227" t="s">
        <v>1622</v>
      </c>
      <c r="B227" t="s">
        <v>1623</v>
      </c>
      <c r="C227" t="s">
        <v>489</v>
      </c>
      <c r="D227" t="s">
        <v>490</v>
      </c>
      <c r="E227" t="s">
        <v>490</v>
      </c>
      <c r="F227" s="3">
        <v>2</v>
      </c>
      <c r="G227" s="12">
        <f t="shared" si="6"/>
        <v>2.65</v>
      </c>
      <c r="H227" s="12">
        <f t="shared" si="7"/>
        <v>2.29</v>
      </c>
      <c r="I227" s="3">
        <v>4.9395800000000003</v>
      </c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>
        <v>2.29</v>
      </c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 s="4"/>
      <c r="GM227" s="4"/>
      <c r="GN227" s="4"/>
      <c r="GO227" s="4"/>
      <c r="GP227" s="4"/>
      <c r="GQ227" s="4"/>
      <c r="GR227" s="4">
        <v>2.65</v>
      </c>
      <c r="GS227" s="4"/>
      <c r="GT227" s="4"/>
      <c r="GU227" s="4"/>
      <c r="GV227" s="4"/>
      <c r="GW227" s="4"/>
      <c r="GX227" s="4"/>
      <c r="GY227" s="4"/>
      <c r="GZ227" s="4"/>
      <c r="HA227" s="4"/>
      <c r="HB227" s="4"/>
      <c r="HC227" s="4"/>
      <c r="HD227" s="4"/>
      <c r="HE227" s="4"/>
      <c r="HF227" s="4"/>
      <c r="HG227" s="4"/>
      <c r="HH227" s="4"/>
      <c r="HI227" s="4"/>
      <c r="HJ227" s="4"/>
    </row>
    <row r="228" spans="1:218" hidden="1">
      <c r="A228" t="s">
        <v>1491</v>
      </c>
      <c r="B228" t="s">
        <v>1492</v>
      </c>
      <c r="C228" t="s">
        <v>443</v>
      </c>
      <c r="D228" t="s">
        <v>1493</v>
      </c>
      <c r="E228" t="s">
        <v>1494</v>
      </c>
      <c r="F228" s="3">
        <v>2</v>
      </c>
      <c r="G228" s="12">
        <f t="shared" si="6"/>
        <v>4.53</v>
      </c>
      <c r="H228" s="12">
        <f t="shared" si="7"/>
        <v>3.11</v>
      </c>
      <c r="I228" s="3">
        <v>7.6463000000000001</v>
      </c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>
        <v>4.53</v>
      </c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>
        <v>3.11</v>
      </c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 s="4"/>
      <c r="GM228" s="4"/>
      <c r="GN228" s="4"/>
      <c r="GO228" s="4"/>
      <c r="GP228" s="4"/>
      <c r="GQ228" s="4"/>
      <c r="GR228" s="4"/>
      <c r="GS228" s="4"/>
      <c r="GT228" s="4"/>
      <c r="GU228" s="4"/>
      <c r="GV228" s="4"/>
      <c r="GW228" s="4"/>
      <c r="GX228" s="4"/>
      <c r="GY228" s="4"/>
      <c r="GZ228" s="4"/>
      <c r="HA228" s="4"/>
      <c r="HB228" s="4"/>
      <c r="HC228" s="4"/>
      <c r="HD228" s="4"/>
      <c r="HE228" s="4"/>
      <c r="HF228" s="4"/>
      <c r="HG228" s="4"/>
      <c r="HH228" s="4"/>
      <c r="HI228" s="4"/>
      <c r="HJ228" s="4"/>
    </row>
    <row r="229" spans="1:218" hidden="1">
      <c r="A229" t="s">
        <v>1382</v>
      </c>
      <c r="B229" t="s">
        <v>1383</v>
      </c>
      <c r="C229" t="s">
        <v>845</v>
      </c>
      <c r="D229" t="s">
        <v>1384</v>
      </c>
      <c r="E229" t="s">
        <v>1385</v>
      </c>
      <c r="F229" s="3">
        <v>2</v>
      </c>
      <c r="G229" s="12">
        <f t="shared" si="6"/>
        <v>5.49</v>
      </c>
      <c r="H229" s="12">
        <f t="shared" si="7"/>
        <v>4.0999999999999996</v>
      </c>
      <c r="I229" s="3">
        <v>9.5881699999999999</v>
      </c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>
        <v>4.0999999999999996</v>
      </c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>
        <v>5.49</v>
      </c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 s="4"/>
      <c r="GM229" s="4"/>
      <c r="GN229" s="4"/>
      <c r="GO229" s="4"/>
      <c r="GP229" s="4"/>
      <c r="GQ229" s="4"/>
      <c r="GR229" s="4"/>
      <c r="GS229" s="4"/>
      <c r="GT229" s="4"/>
      <c r="GU229" s="4"/>
      <c r="GV229" s="4"/>
      <c r="GW229" s="4"/>
      <c r="GX229" s="4"/>
      <c r="GY229" s="4"/>
      <c r="GZ229" s="4"/>
      <c r="HA229" s="4"/>
      <c r="HB229" s="4"/>
      <c r="HC229" s="4"/>
      <c r="HD229" s="4"/>
      <c r="HE229" s="4"/>
      <c r="HF229" s="4"/>
      <c r="HG229" s="4"/>
      <c r="HH229" s="4"/>
      <c r="HI229" s="4"/>
      <c r="HJ229" s="4"/>
    </row>
    <row r="230" spans="1:218" hidden="1">
      <c r="A230" t="s">
        <v>1252</v>
      </c>
      <c r="B230" t="s">
        <v>1253</v>
      </c>
      <c r="C230" t="s">
        <v>489</v>
      </c>
      <c r="D230" t="s">
        <v>490</v>
      </c>
      <c r="E230" t="s">
        <v>490</v>
      </c>
      <c r="F230" s="3">
        <v>2</v>
      </c>
      <c r="G230" s="12">
        <f t="shared" si="6"/>
        <v>8.2200000000000006</v>
      </c>
      <c r="H230" s="12">
        <f t="shared" si="7"/>
        <v>7.6</v>
      </c>
      <c r="I230" s="3">
        <v>15.81883</v>
      </c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>
        <v>8.2200000000000006</v>
      </c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>
        <v>7.6</v>
      </c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 s="4"/>
      <c r="GM230" s="4"/>
      <c r="GN230" s="4"/>
      <c r="GO230" s="4"/>
      <c r="GP230" s="4"/>
      <c r="GQ230" s="4"/>
      <c r="GR230" s="4"/>
      <c r="GS230" s="4"/>
      <c r="GT230" s="4"/>
      <c r="GU230" s="4"/>
      <c r="GV230" s="4"/>
      <c r="GW230" s="4"/>
      <c r="GX230" s="4"/>
      <c r="GY230" s="4"/>
      <c r="GZ230" s="4"/>
      <c r="HA230" s="4"/>
      <c r="HB230" s="4"/>
      <c r="HC230" s="4"/>
      <c r="HD230" s="4"/>
      <c r="HE230" s="4"/>
      <c r="HF230" s="4"/>
      <c r="HG230" s="4"/>
      <c r="HH230" s="4"/>
      <c r="HI230" s="4"/>
      <c r="HJ230" s="4"/>
    </row>
    <row r="231" spans="1:218" hidden="1">
      <c r="A231" t="s">
        <v>1290</v>
      </c>
      <c r="B231" t="s">
        <v>1291</v>
      </c>
      <c r="C231" t="s">
        <v>783</v>
      </c>
      <c r="D231" t="s">
        <v>1292</v>
      </c>
      <c r="E231" t="s">
        <v>1293</v>
      </c>
      <c r="F231" s="3">
        <v>2</v>
      </c>
      <c r="G231" s="12">
        <f t="shared" si="6"/>
        <v>7.26</v>
      </c>
      <c r="H231" s="12">
        <f t="shared" si="7"/>
        <v>5.6</v>
      </c>
      <c r="I231" s="3">
        <v>12.8594603</v>
      </c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>
        <v>7.26</v>
      </c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>
        <v>5.6</v>
      </c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 s="4"/>
      <c r="GM231" s="4"/>
      <c r="GN231" s="4"/>
      <c r="GO231" s="4"/>
      <c r="GP231" s="4"/>
      <c r="GQ231" s="4"/>
      <c r="GR231" s="4"/>
      <c r="GS231" s="4"/>
      <c r="GT231" s="4"/>
      <c r="GU231" s="4"/>
      <c r="GV231" s="4"/>
      <c r="GW231" s="4"/>
      <c r="GX231" s="4"/>
      <c r="GY231" s="4"/>
      <c r="GZ231" s="4"/>
      <c r="HA231" s="4"/>
      <c r="HB231" s="4"/>
      <c r="HC231" s="4"/>
      <c r="HD231" s="4"/>
      <c r="HE231" s="4"/>
      <c r="HF231" s="4"/>
      <c r="HG231" s="4"/>
      <c r="HH231" s="4"/>
      <c r="HI231" s="4"/>
      <c r="HJ231" s="4"/>
    </row>
    <row r="232" spans="1:218" hidden="1">
      <c r="A232" t="s">
        <v>1584</v>
      </c>
      <c r="B232" t="s">
        <v>1585</v>
      </c>
      <c r="C232" t="s">
        <v>505</v>
      </c>
      <c r="D232" t="s">
        <v>1586</v>
      </c>
      <c r="E232" t="s">
        <v>1587</v>
      </c>
      <c r="F232" s="3">
        <v>2</v>
      </c>
      <c r="G232" s="12">
        <f t="shared" si="6"/>
        <v>4.07</v>
      </c>
      <c r="H232" s="12">
        <f t="shared" si="7"/>
        <v>1.58</v>
      </c>
      <c r="I232" s="3">
        <v>5.6462500000000002</v>
      </c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>
        <v>1.58</v>
      </c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 s="4"/>
      <c r="GM232" s="4"/>
      <c r="GN232" s="4"/>
      <c r="GO232" s="4"/>
      <c r="GP232" s="4"/>
      <c r="GQ232" s="4"/>
      <c r="GR232" s="4"/>
      <c r="GS232" s="4"/>
      <c r="GT232" s="4"/>
      <c r="GU232" s="4"/>
      <c r="GV232" s="4"/>
      <c r="GW232" s="4"/>
      <c r="GX232" s="4"/>
      <c r="GY232" s="4"/>
      <c r="GZ232" s="4">
        <v>4.07</v>
      </c>
      <c r="HA232" s="4"/>
      <c r="HB232" s="4"/>
      <c r="HC232" s="4"/>
      <c r="HD232" s="4"/>
      <c r="HE232" s="4"/>
      <c r="HF232" s="4"/>
      <c r="HG232" s="4"/>
      <c r="HH232" s="4"/>
      <c r="HI232" s="4"/>
      <c r="HJ232" s="4"/>
    </row>
    <row r="233" spans="1:218" hidden="1">
      <c r="A233" t="s">
        <v>1348</v>
      </c>
      <c r="B233" t="s">
        <v>1349</v>
      </c>
      <c r="C233" t="s">
        <v>590</v>
      </c>
      <c r="D233" t="s">
        <v>1350</v>
      </c>
      <c r="E233" t="s">
        <v>1351</v>
      </c>
      <c r="F233" s="3">
        <v>2</v>
      </c>
      <c r="G233" s="12">
        <f t="shared" si="6"/>
        <v>6.11</v>
      </c>
      <c r="H233" s="12">
        <f t="shared" si="7"/>
        <v>4.12</v>
      </c>
      <c r="I233" s="3">
        <v>10.22499</v>
      </c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>
        <v>6.11</v>
      </c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>
        <v>4.12</v>
      </c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 s="4"/>
      <c r="GM233" s="4"/>
      <c r="GN233" s="4"/>
      <c r="GO233" s="4"/>
      <c r="GP233" s="4"/>
      <c r="GQ233" s="4"/>
      <c r="GR233" s="4"/>
      <c r="GS233" s="4"/>
      <c r="GT233" s="4"/>
      <c r="GU233" s="4"/>
      <c r="GV233" s="4"/>
      <c r="GW233" s="4"/>
      <c r="GX233" s="4"/>
      <c r="GY233" s="4"/>
      <c r="GZ233" s="4"/>
      <c r="HA233" s="4"/>
      <c r="HB233" s="4"/>
      <c r="HC233" s="4"/>
      <c r="HD233" s="4"/>
      <c r="HE233" s="4"/>
      <c r="HF233" s="4"/>
      <c r="HG233" s="4"/>
      <c r="HH233" s="4"/>
      <c r="HI233" s="4"/>
      <c r="HJ233" s="4"/>
    </row>
    <row r="234" spans="1:218" hidden="1">
      <c r="A234" t="s">
        <v>1429</v>
      </c>
      <c r="B234" t="s">
        <v>1430</v>
      </c>
      <c r="C234" t="s">
        <v>590</v>
      </c>
      <c r="D234" t="s">
        <v>1431</v>
      </c>
      <c r="E234" t="s">
        <v>1432</v>
      </c>
      <c r="F234" s="3">
        <v>2</v>
      </c>
      <c r="G234" s="12">
        <f t="shared" si="6"/>
        <v>5.38</v>
      </c>
      <c r="H234" s="12">
        <f t="shared" si="7"/>
        <v>3.07</v>
      </c>
      <c r="I234" s="3">
        <v>8.4523395000000008</v>
      </c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>
        <v>3.07</v>
      </c>
      <c r="EZ234" s="4"/>
      <c r="FA234" s="4"/>
      <c r="FB234" s="4"/>
      <c r="FC234" s="4"/>
      <c r="FD234" s="4"/>
      <c r="FE234" s="4">
        <v>5.38</v>
      </c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 s="4"/>
      <c r="GM234" s="4"/>
      <c r="GN234" s="4"/>
      <c r="GO234" s="4"/>
      <c r="GP234" s="4"/>
      <c r="GQ234" s="4"/>
      <c r="GR234" s="4"/>
      <c r="GS234" s="4"/>
      <c r="GT234" s="4"/>
      <c r="GU234" s="4"/>
      <c r="GV234" s="4"/>
      <c r="GW234" s="4"/>
      <c r="GX234" s="4"/>
      <c r="GY234" s="4"/>
      <c r="GZ234" s="4"/>
      <c r="HA234" s="4"/>
      <c r="HB234" s="4"/>
      <c r="HC234" s="4"/>
      <c r="HD234" s="4"/>
      <c r="HE234" s="4"/>
      <c r="HF234" s="4"/>
      <c r="HG234" s="4"/>
      <c r="HH234" s="4"/>
      <c r="HI234" s="4"/>
      <c r="HJ234" s="4"/>
    </row>
    <row r="235" spans="1:218" hidden="1">
      <c r="A235" t="s">
        <v>1286</v>
      </c>
      <c r="B235" t="s">
        <v>1287</v>
      </c>
      <c r="C235" t="s">
        <v>505</v>
      </c>
      <c r="D235" t="s">
        <v>1288</v>
      </c>
      <c r="E235" t="s">
        <v>1289</v>
      </c>
      <c r="F235" s="3">
        <v>2</v>
      </c>
      <c r="G235" s="12">
        <f t="shared" si="6"/>
        <v>6.63</v>
      </c>
      <c r="H235" s="12">
        <f t="shared" si="7"/>
        <v>6.35</v>
      </c>
      <c r="I235" s="3">
        <v>12.97922</v>
      </c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>
        <v>6.35</v>
      </c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>
        <v>6.63</v>
      </c>
      <c r="GF235" s="4"/>
      <c r="GG235" s="4"/>
      <c r="GH235" s="4"/>
      <c r="GI235" s="4"/>
      <c r="GJ235" s="4"/>
      <c r="GK235" s="4"/>
      <c r="GL235" s="4"/>
      <c r="GM235" s="4"/>
      <c r="GN235" s="4"/>
      <c r="GO235" s="4"/>
      <c r="GP235" s="4"/>
      <c r="GQ235" s="4"/>
      <c r="GR235" s="4"/>
      <c r="GS235" s="4"/>
      <c r="GT235" s="4"/>
      <c r="GU235" s="4"/>
      <c r="GV235" s="4"/>
      <c r="GW235" s="4"/>
      <c r="GX235" s="4"/>
      <c r="GY235" s="4"/>
      <c r="GZ235" s="4"/>
      <c r="HA235" s="4"/>
      <c r="HB235" s="4"/>
      <c r="HC235" s="4"/>
      <c r="HD235" s="4"/>
      <c r="HE235" s="4"/>
      <c r="HF235" s="4"/>
      <c r="HG235" s="4"/>
      <c r="HH235" s="4"/>
      <c r="HI235" s="4"/>
      <c r="HJ235" s="4"/>
    </row>
    <row r="236" spans="1:218" hidden="1">
      <c r="A236" t="s">
        <v>1638</v>
      </c>
      <c r="B236" t="s">
        <v>1639</v>
      </c>
      <c r="C236" t="s">
        <v>505</v>
      </c>
      <c r="D236" t="s">
        <v>1640</v>
      </c>
      <c r="E236" t="s">
        <v>1641</v>
      </c>
      <c r="F236" s="3">
        <v>2</v>
      </c>
      <c r="G236" s="12">
        <f t="shared" si="6"/>
        <v>1.68</v>
      </c>
      <c r="H236" s="12">
        <f t="shared" si="7"/>
        <v>0.76</v>
      </c>
      <c r="I236" s="3">
        <v>2.4452099999999999</v>
      </c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>
        <v>0.76</v>
      </c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>
        <v>1.68</v>
      </c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 s="4"/>
      <c r="GM236" s="4"/>
      <c r="GN236" s="4"/>
      <c r="GO236" s="4"/>
      <c r="GP236" s="4"/>
      <c r="GQ236" s="4"/>
      <c r="GR236" s="4"/>
      <c r="GS236" s="4"/>
      <c r="GT236" s="4"/>
      <c r="GU236" s="4"/>
      <c r="GV236" s="4"/>
      <c r="GW236" s="4"/>
      <c r="GX236" s="4"/>
      <c r="GY236" s="4"/>
      <c r="GZ236" s="4"/>
      <c r="HA236" s="4"/>
      <c r="HB236" s="4"/>
      <c r="HC236" s="4"/>
      <c r="HD236" s="4"/>
      <c r="HE236" s="4"/>
      <c r="HF236" s="4"/>
      <c r="HG236" s="4"/>
      <c r="HH236" s="4"/>
      <c r="HI236" s="4"/>
      <c r="HJ236" s="4"/>
    </row>
    <row r="237" spans="1:218" hidden="1">
      <c r="A237" t="s">
        <v>1606</v>
      </c>
      <c r="B237" t="s">
        <v>1607</v>
      </c>
      <c r="C237" t="s">
        <v>443</v>
      </c>
      <c r="D237" t="s">
        <v>1608</v>
      </c>
      <c r="E237" t="s">
        <v>1609</v>
      </c>
      <c r="F237" s="3">
        <v>2</v>
      </c>
      <c r="G237" s="12">
        <f t="shared" si="6"/>
        <v>3.8</v>
      </c>
      <c r="H237" s="12">
        <f t="shared" si="7"/>
        <v>1.54</v>
      </c>
      <c r="I237" s="3">
        <v>5.3414701999999998</v>
      </c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>
        <v>3.8</v>
      </c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>
        <v>1.54</v>
      </c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 s="4"/>
      <c r="GM237" s="4"/>
      <c r="GN237" s="4"/>
      <c r="GO237" s="4"/>
      <c r="GP237" s="4"/>
      <c r="GQ237" s="4"/>
      <c r="GR237" s="4"/>
      <c r="GS237" s="4"/>
      <c r="GT237" s="4"/>
      <c r="GU237" s="4"/>
      <c r="GV237" s="4"/>
      <c r="GW237" s="4"/>
      <c r="GX237" s="4"/>
      <c r="GY237" s="4"/>
      <c r="GZ237" s="4"/>
      <c r="HA237" s="4"/>
      <c r="HB237" s="4"/>
      <c r="HC237" s="4"/>
      <c r="HD237" s="4"/>
      <c r="HE237" s="4"/>
      <c r="HF237" s="4"/>
      <c r="HG237" s="4"/>
      <c r="HH237" s="4"/>
      <c r="HI237" s="4"/>
      <c r="HJ237" s="4"/>
    </row>
    <row r="238" spans="1:218" hidden="1">
      <c r="A238" t="s">
        <v>1296</v>
      </c>
      <c r="B238" t="s">
        <v>1297</v>
      </c>
      <c r="C238" t="s">
        <v>1028</v>
      </c>
      <c r="D238" t="s">
        <v>1298</v>
      </c>
      <c r="E238" t="s">
        <v>1299</v>
      </c>
      <c r="F238" s="3">
        <v>2</v>
      </c>
      <c r="G238" s="12">
        <f t="shared" si="6"/>
        <v>9.8800000000000008</v>
      </c>
      <c r="H238" s="12">
        <f t="shared" si="7"/>
        <v>2.75</v>
      </c>
      <c r="I238" s="3">
        <v>12.6320496</v>
      </c>
      <c r="K238" s="4"/>
      <c r="L238" s="4"/>
      <c r="M238" s="4"/>
      <c r="N238" s="4"/>
      <c r="O238" s="4"/>
      <c r="P238" s="4"/>
      <c r="Q238" s="4"/>
      <c r="R238" s="4"/>
      <c r="S238" s="4"/>
      <c r="T238" s="4">
        <v>2.75</v>
      </c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>
        <v>9.8800000000000008</v>
      </c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 s="4"/>
      <c r="GM238" s="4"/>
      <c r="GN238" s="4"/>
      <c r="GO238" s="4"/>
      <c r="GP238" s="4"/>
      <c r="GQ238" s="4"/>
      <c r="GR238" s="4"/>
      <c r="GS238" s="4"/>
      <c r="GT238" s="4"/>
      <c r="GU238" s="4"/>
      <c r="GV238" s="4"/>
      <c r="GW238" s="4"/>
      <c r="GX238" s="4"/>
      <c r="GY238" s="4"/>
      <c r="GZ238" s="4"/>
      <c r="HA238" s="4"/>
      <c r="HB238" s="4"/>
      <c r="HC238" s="4"/>
      <c r="HD238" s="4"/>
      <c r="HE238" s="4"/>
      <c r="HF238" s="4"/>
      <c r="HG238" s="4"/>
      <c r="HH238" s="4"/>
      <c r="HI238" s="4"/>
      <c r="HJ238" s="4"/>
    </row>
    <row r="239" spans="1:218" hidden="1">
      <c r="A239" t="s">
        <v>1458</v>
      </c>
      <c r="B239" t="s">
        <v>1459</v>
      </c>
      <c r="C239" t="s">
        <v>590</v>
      </c>
      <c r="D239" t="s">
        <v>1460</v>
      </c>
      <c r="E239" t="s">
        <v>1461</v>
      </c>
      <c r="F239" s="3">
        <v>2</v>
      </c>
      <c r="G239" s="12">
        <f t="shared" si="6"/>
        <v>4.1399999999999997</v>
      </c>
      <c r="H239" s="12">
        <f t="shared" si="7"/>
        <v>3.77</v>
      </c>
      <c r="I239" s="3">
        <v>7.9130199999999986</v>
      </c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>
        <v>3.77</v>
      </c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>
        <v>4.1399999999999997</v>
      </c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 s="4"/>
      <c r="GM239" s="4"/>
      <c r="GN239" s="4"/>
      <c r="GO239" s="4"/>
      <c r="GP239" s="4"/>
      <c r="GQ239" s="4"/>
      <c r="GR239" s="4"/>
      <c r="GS239" s="4"/>
      <c r="GT239" s="4"/>
      <c r="GU239" s="4"/>
      <c r="GV239" s="4"/>
      <c r="GW239" s="4"/>
      <c r="GX239" s="4"/>
      <c r="GY239" s="4"/>
      <c r="GZ239" s="4"/>
      <c r="HA239" s="4"/>
      <c r="HB239" s="4"/>
      <c r="HC239" s="4"/>
      <c r="HD239" s="4"/>
      <c r="HE239" s="4"/>
      <c r="HF239" s="4"/>
      <c r="HG239" s="4"/>
      <c r="HH239" s="4"/>
      <c r="HI239" s="4"/>
      <c r="HJ239" s="4"/>
    </row>
    <row r="240" spans="1:218" hidden="1">
      <c r="A240" t="s">
        <v>1518</v>
      </c>
      <c r="B240" t="s">
        <v>1519</v>
      </c>
      <c r="C240" t="s">
        <v>821</v>
      </c>
      <c r="D240" t="s">
        <v>1520</v>
      </c>
      <c r="E240" t="s">
        <v>1521</v>
      </c>
      <c r="F240" s="3">
        <v>2</v>
      </c>
      <c r="G240" s="12">
        <f t="shared" si="6"/>
        <v>4.1900000000000004</v>
      </c>
      <c r="H240" s="12">
        <f t="shared" si="7"/>
        <v>3.05</v>
      </c>
      <c r="I240" s="3">
        <v>7.2383998000000007</v>
      </c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>
        <v>3.05</v>
      </c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>
        <v>4.1900000000000004</v>
      </c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 s="4"/>
      <c r="GM240" s="4"/>
      <c r="GN240" s="4"/>
      <c r="GO240" s="4"/>
      <c r="GP240" s="4"/>
      <c r="GQ240" s="4"/>
      <c r="GR240" s="4"/>
      <c r="GS240" s="4"/>
      <c r="GT240" s="4"/>
      <c r="GU240" s="4"/>
      <c r="GV240" s="4"/>
      <c r="GW240" s="4"/>
      <c r="GX240" s="4"/>
      <c r="GY240" s="4"/>
      <c r="GZ240" s="4"/>
      <c r="HA240" s="4"/>
      <c r="HB240" s="4"/>
      <c r="HC240" s="4"/>
      <c r="HD240" s="4"/>
      <c r="HE240" s="4"/>
      <c r="HF240" s="4"/>
      <c r="HG240" s="4"/>
      <c r="HH240" s="4"/>
      <c r="HI240" s="4"/>
      <c r="HJ240" s="4"/>
    </row>
    <row r="241" spans="1:218" hidden="1">
      <c r="A241" t="s">
        <v>1482</v>
      </c>
      <c r="B241" t="s">
        <v>1483</v>
      </c>
      <c r="C241" t="s">
        <v>1484</v>
      </c>
      <c r="D241" t="s">
        <v>1485</v>
      </c>
      <c r="E241" t="s">
        <v>1486</v>
      </c>
      <c r="F241" s="3">
        <v>2</v>
      </c>
      <c r="G241" s="12">
        <f t="shared" si="6"/>
        <v>4.7300000000000004</v>
      </c>
      <c r="H241" s="12">
        <f t="shared" si="7"/>
        <v>2.97</v>
      </c>
      <c r="I241" s="3">
        <v>7.6996699</v>
      </c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>
        <v>4.7300000000000004</v>
      </c>
      <c r="EI241" s="4"/>
      <c r="EJ241" s="4">
        <v>2.97</v>
      </c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 s="4"/>
      <c r="GM241" s="4"/>
      <c r="GN241" s="4"/>
      <c r="GO241" s="4"/>
      <c r="GP241" s="4"/>
      <c r="GQ241" s="4"/>
      <c r="GR241" s="4"/>
      <c r="GS241" s="4"/>
      <c r="GT241" s="4"/>
      <c r="GU241" s="4"/>
      <c r="GV241" s="4"/>
      <c r="GW241" s="4"/>
      <c r="GX241" s="4"/>
      <c r="GY241" s="4"/>
      <c r="GZ241" s="4"/>
      <c r="HA241" s="4"/>
      <c r="HB241" s="4"/>
      <c r="HC241" s="4"/>
      <c r="HD241" s="4"/>
      <c r="HE241" s="4"/>
      <c r="HF241" s="4"/>
      <c r="HG241" s="4"/>
      <c r="HH241" s="4"/>
      <c r="HI241" s="4"/>
      <c r="HJ241" s="4"/>
    </row>
    <row r="242" spans="1:218" hidden="1">
      <c r="A242" t="s">
        <v>1415</v>
      </c>
      <c r="B242" t="s">
        <v>1416</v>
      </c>
      <c r="C242" t="s">
        <v>505</v>
      </c>
      <c r="D242" t="s">
        <v>1417</v>
      </c>
      <c r="E242" t="s">
        <v>1418</v>
      </c>
      <c r="F242" s="3">
        <v>2</v>
      </c>
      <c r="G242" s="12">
        <f t="shared" si="6"/>
        <v>4.72</v>
      </c>
      <c r="H242" s="12">
        <f t="shared" si="7"/>
        <v>3.79</v>
      </c>
      <c r="I242" s="3">
        <v>8.5175699999999992</v>
      </c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>
        <v>3.79</v>
      </c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>
        <v>4.72</v>
      </c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 s="4"/>
      <c r="GM242" s="4"/>
      <c r="GN242" s="4"/>
      <c r="GO242" s="4"/>
      <c r="GP242" s="4"/>
      <c r="GQ242" s="4"/>
      <c r="GR242" s="4"/>
      <c r="GS242" s="4"/>
      <c r="GT242" s="4"/>
      <c r="GU242" s="4"/>
      <c r="GV242" s="4"/>
      <c r="GW242" s="4"/>
      <c r="GX242" s="4"/>
      <c r="GY242" s="4"/>
      <c r="GZ242" s="4"/>
      <c r="HA242" s="4"/>
      <c r="HB242" s="4"/>
      <c r="HC242" s="4"/>
      <c r="HD242" s="4"/>
      <c r="HE242" s="4"/>
      <c r="HF242" s="4"/>
      <c r="HG242" s="4"/>
      <c r="HH242" s="4"/>
      <c r="HI242" s="4"/>
      <c r="HJ242" s="4"/>
    </row>
    <row r="243" spans="1:218" hidden="1">
      <c r="A243" t="s">
        <v>1533</v>
      </c>
      <c r="B243" t="s">
        <v>1534</v>
      </c>
      <c r="C243" t="s">
        <v>845</v>
      </c>
      <c r="D243" t="s">
        <v>1535</v>
      </c>
      <c r="E243" t="s">
        <v>1536</v>
      </c>
      <c r="F243" s="3">
        <v>2</v>
      </c>
      <c r="G243" s="12">
        <f t="shared" si="6"/>
        <v>4.8</v>
      </c>
      <c r="H243" s="12">
        <f t="shared" si="7"/>
        <v>2.17</v>
      </c>
      <c r="I243" s="3">
        <v>6.9632500999999998</v>
      </c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>
        <v>2.17</v>
      </c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 s="4"/>
      <c r="GM243" s="4"/>
      <c r="GN243" s="4"/>
      <c r="GO243" s="4"/>
      <c r="GP243" s="4"/>
      <c r="GQ243" s="4"/>
      <c r="GR243" s="4"/>
      <c r="GS243" s="4">
        <v>4.8</v>
      </c>
      <c r="GT243" s="4"/>
      <c r="GU243" s="4"/>
      <c r="GV243" s="4"/>
      <c r="GW243" s="4"/>
      <c r="GX243" s="4"/>
      <c r="GY243" s="4"/>
      <c r="GZ243" s="4"/>
      <c r="HA243" s="4"/>
      <c r="HB243" s="4"/>
      <c r="HC243" s="4"/>
      <c r="HD243" s="4"/>
      <c r="HE243" s="4"/>
      <c r="HF243" s="4"/>
      <c r="HG243" s="4"/>
      <c r="HH243" s="4"/>
      <c r="HI243" s="4"/>
      <c r="HJ243" s="4"/>
    </row>
    <row r="244" spans="1:218" hidden="1">
      <c r="A244" t="s">
        <v>1327</v>
      </c>
      <c r="B244" t="s">
        <v>1328</v>
      </c>
      <c r="C244" t="s">
        <v>1329</v>
      </c>
      <c r="D244" t="s">
        <v>1330</v>
      </c>
      <c r="E244" t="s">
        <v>1331</v>
      </c>
      <c r="F244" s="3">
        <v>2</v>
      </c>
      <c r="G244" s="12">
        <f t="shared" si="6"/>
        <v>7.25</v>
      </c>
      <c r="H244" s="12">
        <f t="shared" si="7"/>
        <v>4.03</v>
      </c>
      <c r="I244" s="3">
        <v>11.2861704</v>
      </c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>
        <v>4.03</v>
      </c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>
        <v>7.25</v>
      </c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 s="4"/>
      <c r="GM244" s="4"/>
      <c r="GN244" s="4"/>
      <c r="GO244" s="4"/>
      <c r="GP244" s="4"/>
      <c r="GQ244" s="4"/>
      <c r="GR244" s="4"/>
      <c r="GS244" s="4"/>
      <c r="GT244" s="4"/>
      <c r="GU244" s="4"/>
      <c r="GV244" s="4"/>
      <c r="GW244" s="4"/>
      <c r="GX244" s="4"/>
      <c r="GY244" s="4"/>
      <c r="GZ244" s="4"/>
      <c r="HA244" s="4"/>
      <c r="HB244" s="4"/>
      <c r="HC244" s="4"/>
      <c r="HD244" s="4"/>
      <c r="HE244" s="4"/>
      <c r="HF244" s="4"/>
      <c r="HG244" s="4"/>
      <c r="HH244" s="4"/>
      <c r="HI244" s="4"/>
      <c r="HJ244" s="4"/>
    </row>
    <row r="245" spans="1:218" hidden="1">
      <c r="A245" t="s">
        <v>1464</v>
      </c>
      <c r="B245" t="s">
        <v>1465</v>
      </c>
      <c r="C245" t="s">
        <v>443</v>
      </c>
      <c r="D245" t="s">
        <v>1466</v>
      </c>
      <c r="E245" t="s">
        <v>1467</v>
      </c>
      <c r="F245" s="3">
        <v>2</v>
      </c>
      <c r="G245" s="12">
        <f t="shared" si="6"/>
        <v>4.3099999999999996</v>
      </c>
      <c r="H245" s="12">
        <f t="shared" si="7"/>
        <v>3.51</v>
      </c>
      <c r="I245" s="3">
        <v>7.8191902000000004</v>
      </c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>
        <v>3.51</v>
      </c>
      <c r="AB245" s="4"/>
      <c r="AC245" s="4">
        <v>4.3099999999999996</v>
      </c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 s="4"/>
      <c r="GM245" s="4"/>
      <c r="GN245" s="4"/>
      <c r="GO245" s="4"/>
      <c r="GP245" s="4"/>
      <c r="GQ245" s="4"/>
      <c r="GR245" s="4"/>
      <c r="GS245" s="4"/>
      <c r="GT245" s="4"/>
      <c r="GU245" s="4"/>
      <c r="GV245" s="4"/>
      <c r="GW245" s="4"/>
      <c r="GX245" s="4"/>
      <c r="GY245" s="4"/>
      <c r="GZ245" s="4"/>
      <c r="HA245" s="4"/>
      <c r="HB245" s="4"/>
      <c r="HC245" s="4"/>
      <c r="HD245" s="4"/>
      <c r="HE245" s="4"/>
      <c r="HF245" s="4"/>
      <c r="HG245" s="4"/>
      <c r="HH245" s="4"/>
      <c r="HI245" s="4"/>
      <c r="HJ245" s="4"/>
    </row>
    <row r="246" spans="1:218" hidden="1">
      <c r="A246" t="s">
        <v>1549</v>
      </c>
      <c r="B246" t="s">
        <v>1550</v>
      </c>
      <c r="C246" t="s">
        <v>505</v>
      </c>
      <c r="D246" t="s">
        <v>1551</v>
      </c>
      <c r="E246" t="s">
        <v>1552</v>
      </c>
      <c r="F246" s="3">
        <v>2</v>
      </c>
      <c r="G246" s="12">
        <f t="shared" si="6"/>
        <v>3.38</v>
      </c>
      <c r="H246" s="12">
        <f t="shared" si="7"/>
        <v>3.14</v>
      </c>
      <c r="I246" s="3">
        <v>6.5210096999999996</v>
      </c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>
        <v>3.38</v>
      </c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>
        <v>3.14</v>
      </c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 s="4"/>
      <c r="GM246" s="4"/>
      <c r="GN246" s="4"/>
      <c r="GO246" s="4"/>
      <c r="GP246" s="4"/>
      <c r="GQ246" s="4"/>
      <c r="GR246" s="4"/>
      <c r="GS246" s="4"/>
      <c r="GT246" s="4"/>
      <c r="GU246" s="4"/>
      <c r="GV246" s="4"/>
      <c r="GW246" s="4"/>
      <c r="GX246" s="4"/>
      <c r="GY246" s="4"/>
      <c r="GZ246" s="4"/>
      <c r="HA246" s="4"/>
      <c r="HB246" s="4"/>
      <c r="HC246" s="4"/>
      <c r="HD246" s="4"/>
      <c r="HE246" s="4"/>
      <c r="HF246" s="4"/>
      <c r="HG246" s="4"/>
      <c r="HH246" s="4"/>
      <c r="HI246" s="4"/>
      <c r="HJ246" s="4"/>
    </row>
    <row r="247" spans="1:218" hidden="1">
      <c r="A247" t="s">
        <v>1537</v>
      </c>
      <c r="B247" t="s">
        <v>1538</v>
      </c>
      <c r="C247" t="s">
        <v>1055</v>
      </c>
      <c r="D247" t="s">
        <v>1539</v>
      </c>
      <c r="E247" t="s">
        <v>1540</v>
      </c>
      <c r="F247" s="3">
        <v>2</v>
      </c>
      <c r="G247" s="12">
        <f t="shared" si="6"/>
        <v>3.51</v>
      </c>
      <c r="H247" s="12">
        <f t="shared" si="7"/>
        <v>3.35</v>
      </c>
      <c r="I247" s="3">
        <v>6.8579400000000001</v>
      </c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>
        <v>3.51</v>
      </c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>
        <v>3.35</v>
      </c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 s="4"/>
      <c r="GM247" s="4"/>
      <c r="GN247" s="4"/>
      <c r="GO247" s="4"/>
      <c r="GP247" s="4"/>
      <c r="GQ247" s="4"/>
      <c r="GR247" s="4"/>
      <c r="GS247" s="4"/>
      <c r="GT247" s="4"/>
      <c r="GU247" s="4"/>
      <c r="GV247" s="4"/>
      <c r="GW247" s="4"/>
      <c r="GX247" s="4"/>
      <c r="GY247" s="4"/>
      <c r="GZ247" s="4"/>
      <c r="HA247" s="4"/>
      <c r="HB247" s="4"/>
      <c r="HC247" s="4"/>
      <c r="HD247" s="4"/>
      <c r="HE247" s="4"/>
      <c r="HF247" s="4"/>
      <c r="HG247" s="4"/>
      <c r="HH247" s="4"/>
      <c r="HI247" s="4"/>
      <c r="HJ247" s="4"/>
    </row>
    <row r="248" spans="1:218" hidden="1">
      <c r="A248" t="s">
        <v>1454</v>
      </c>
      <c r="B248" t="s">
        <v>1455</v>
      </c>
      <c r="C248" t="s">
        <v>783</v>
      </c>
      <c r="D248" t="s">
        <v>1456</v>
      </c>
      <c r="E248" t="s">
        <v>1457</v>
      </c>
      <c r="F248" s="3">
        <v>2</v>
      </c>
      <c r="G248" s="12">
        <f t="shared" si="6"/>
        <v>4.3099999999999996</v>
      </c>
      <c r="H248" s="12">
        <f t="shared" si="7"/>
        <v>3.71</v>
      </c>
      <c r="I248" s="3">
        <v>8.0194998000000002</v>
      </c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>
        <v>4.3099999999999996</v>
      </c>
      <c r="GK248" s="4">
        <v>3.71</v>
      </c>
      <c r="GL248" s="4"/>
      <c r="GM248" s="4"/>
      <c r="GN248" s="4"/>
      <c r="GO248" s="4"/>
      <c r="GP248" s="4"/>
      <c r="GQ248" s="4"/>
      <c r="GR248" s="4"/>
      <c r="GS248" s="4"/>
      <c r="GT248" s="4"/>
      <c r="GU248" s="4"/>
      <c r="GV248" s="4"/>
      <c r="GW248" s="4"/>
      <c r="GX248" s="4"/>
      <c r="GY248" s="4"/>
      <c r="GZ248" s="4"/>
      <c r="HA248" s="4"/>
      <c r="HB248" s="4"/>
      <c r="HC248" s="4"/>
      <c r="HD248" s="4"/>
      <c r="HE248" s="4"/>
      <c r="HF248" s="4"/>
      <c r="HG248" s="4"/>
      <c r="HH248" s="4"/>
      <c r="HI248" s="4"/>
      <c r="HJ248" s="4"/>
    </row>
    <row r="249" spans="1:218" hidden="1">
      <c r="A249" t="s">
        <v>1244</v>
      </c>
      <c r="B249" t="s">
        <v>1245</v>
      </c>
      <c r="C249" t="s">
        <v>590</v>
      </c>
      <c r="D249" t="s">
        <v>1246</v>
      </c>
      <c r="E249" t="s">
        <v>1247</v>
      </c>
      <c r="F249" s="3">
        <v>2</v>
      </c>
      <c r="G249" s="12">
        <f t="shared" si="6"/>
        <v>13.91</v>
      </c>
      <c r="H249" s="12">
        <f t="shared" si="7"/>
        <v>4.67</v>
      </c>
      <c r="I249" s="3">
        <v>18.586690000000001</v>
      </c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>
        <v>13.91</v>
      </c>
      <c r="GK249" s="4">
        <v>4.67</v>
      </c>
      <c r="GL249" s="4"/>
      <c r="GM249" s="4"/>
      <c r="GN249" s="4"/>
      <c r="GO249" s="4"/>
      <c r="GP249" s="4"/>
      <c r="GQ249" s="4"/>
      <c r="GR249" s="4"/>
      <c r="GS249" s="4"/>
      <c r="GT249" s="4"/>
      <c r="GU249" s="4"/>
      <c r="GV249" s="4"/>
      <c r="GW249" s="4"/>
      <c r="GX249" s="4"/>
      <c r="GY249" s="4"/>
      <c r="GZ249" s="4"/>
      <c r="HA249" s="4"/>
      <c r="HB249" s="4"/>
      <c r="HC249" s="4"/>
      <c r="HD249" s="4"/>
      <c r="HE249" s="4"/>
      <c r="HF249" s="4"/>
      <c r="HG249" s="4"/>
      <c r="HH249" s="4"/>
      <c r="HI249" s="4"/>
      <c r="HJ249" s="4"/>
    </row>
    <row r="250" spans="1:218" hidden="1">
      <c r="A250" t="s">
        <v>1566</v>
      </c>
      <c r="B250" t="s">
        <v>1567</v>
      </c>
      <c r="C250" t="s">
        <v>826</v>
      </c>
      <c r="D250" t="s">
        <v>1568</v>
      </c>
      <c r="E250" t="s">
        <v>1569</v>
      </c>
      <c r="F250" s="3">
        <v>2</v>
      </c>
      <c r="G250" s="12">
        <f t="shared" si="6"/>
        <v>3.59</v>
      </c>
      <c r="H250" s="12">
        <f t="shared" si="7"/>
        <v>2.66</v>
      </c>
      <c r="I250" s="3">
        <v>6.2485901000000004</v>
      </c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>
        <v>2.66</v>
      </c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>
        <v>3.59</v>
      </c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 s="4"/>
      <c r="GM250" s="4"/>
      <c r="GN250" s="4"/>
      <c r="GO250" s="4"/>
      <c r="GP250" s="4"/>
      <c r="GQ250" s="4"/>
      <c r="GR250" s="4"/>
      <c r="GS250" s="4"/>
      <c r="GT250" s="4"/>
      <c r="GU250" s="4"/>
      <c r="GV250" s="4"/>
      <c r="GW250" s="4"/>
      <c r="GX250" s="4"/>
      <c r="GY250" s="4"/>
      <c r="GZ250" s="4"/>
      <c r="HA250" s="4"/>
      <c r="HB250" s="4"/>
      <c r="HC250" s="4"/>
      <c r="HD250" s="4"/>
      <c r="HE250" s="4"/>
      <c r="HF250" s="4"/>
      <c r="HG250" s="4"/>
      <c r="HH250" s="4"/>
      <c r="HI250" s="4"/>
      <c r="HJ250" s="4"/>
    </row>
    <row r="251" spans="1:218" hidden="1">
      <c r="A251" t="s">
        <v>1378</v>
      </c>
      <c r="B251" t="s">
        <v>1379</v>
      </c>
      <c r="C251" t="s">
        <v>443</v>
      </c>
      <c r="D251" t="s">
        <v>1380</v>
      </c>
      <c r="E251" t="s">
        <v>1381</v>
      </c>
      <c r="F251" s="3">
        <v>2</v>
      </c>
      <c r="G251" s="12">
        <f t="shared" si="6"/>
        <v>4.9000000000000004</v>
      </c>
      <c r="H251" s="12">
        <f t="shared" si="7"/>
        <v>4.74</v>
      </c>
      <c r="I251" s="3">
        <v>9.6386098000000011</v>
      </c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>
        <v>4.9000000000000004</v>
      </c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>
        <v>4.74</v>
      </c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 s="4"/>
      <c r="GM251" s="4"/>
      <c r="GN251" s="4"/>
      <c r="GO251" s="4"/>
      <c r="GP251" s="4"/>
      <c r="GQ251" s="4"/>
      <c r="GR251" s="4"/>
      <c r="GS251" s="4"/>
      <c r="GT251" s="4"/>
      <c r="GU251" s="4"/>
      <c r="GV251" s="4"/>
      <c r="GW251" s="4"/>
      <c r="GX251" s="4"/>
      <c r="GY251" s="4"/>
      <c r="GZ251" s="4"/>
      <c r="HA251" s="4"/>
      <c r="HB251" s="4"/>
      <c r="HC251" s="4"/>
      <c r="HD251" s="4"/>
      <c r="HE251" s="4"/>
      <c r="HF251" s="4"/>
      <c r="HG251" s="4"/>
      <c r="HH251" s="4"/>
      <c r="HI251" s="4"/>
      <c r="HJ251" s="4"/>
    </row>
    <row r="252" spans="1:218" hidden="1">
      <c r="A252" t="s">
        <v>1319</v>
      </c>
      <c r="B252" t="s">
        <v>1320</v>
      </c>
      <c r="C252" t="s">
        <v>484</v>
      </c>
      <c r="D252" t="s">
        <v>1321</v>
      </c>
      <c r="E252" t="s">
        <v>1322</v>
      </c>
      <c r="F252" s="3">
        <v>2</v>
      </c>
      <c r="G252" s="12">
        <f t="shared" si="6"/>
        <v>6.9</v>
      </c>
      <c r="H252" s="12">
        <f t="shared" si="7"/>
        <v>4.8499999999999996</v>
      </c>
      <c r="I252" s="3">
        <v>11.75193</v>
      </c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>
        <v>4.8499999999999996</v>
      </c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>
        <v>6.9</v>
      </c>
      <c r="GF252" s="4"/>
      <c r="GG252" s="4"/>
      <c r="GH252" s="4"/>
      <c r="GI252" s="4"/>
      <c r="GJ252" s="4"/>
      <c r="GK252" s="4"/>
      <c r="GL252" s="4"/>
      <c r="GM252" s="4"/>
      <c r="GN252" s="4"/>
      <c r="GO252" s="4"/>
      <c r="GP252" s="4"/>
      <c r="GQ252" s="4"/>
      <c r="GR252" s="4"/>
      <c r="GS252" s="4"/>
      <c r="GT252" s="4"/>
      <c r="GU252" s="4"/>
      <c r="GV252" s="4"/>
      <c r="GW252" s="4"/>
      <c r="GX252" s="4"/>
      <c r="GY252" s="4"/>
      <c r="GZ252" s="4"/>
      <c r="HA252" s="4"/>
      <c r="HB252" s="4"/>
      <c r="HC252" s="4"/>
      <c r="HD252" s="4"/>
      <c r="HE252" s="4"/>
      <c r="HF252" s="4"/>
      <c r="HG252" s="4"/>
      <c r="HH252" s="4"/>
      <c r="HI252" s="4"/>
      <c r="HJ252" s="4"/>
    </row>
    <row r="253" spans="1:218" hidden="1">
      <c r="A253" t="s">
        <v>1248</v>
      </c>
      <c r="B253" t="s">
        <v>1249</v>
      </c>
      <c r="C253" t="s">
        <v>484</v>
      </c>
      <c r="D253" t="s">
        <v>1250</v>
      </c>
      <c r="E253" t="s">
        <v>1251</v>
      </c>
      <c r="F253" s="3">
        <v>2</v>
      </c>
      <c r="G253" s="12">
        <f t="shared" si="6"/>
        <v>16.190000000000001</v>
      </c>
      <c r="H253" s="12">
        <f t="shared" si="7"/>
        <v>1.76</v>
      </c>
      <c r="I253" s="3">
        <v>17.956790000000002</v>
      </c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>
        <v>16.190000000000001</v>
      </c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>
        <v>1.76</v>
      </c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 s="4"/>
      <c r="GM253" s="4"/>
      <c r="GN253" s="4"/>
      <c r="GO253" s="4"/>
      <c r="GP253" s="4"/>
      <c r="GQ253" s="4"/>
      <c r="GR253" s="4"/>
      <c r="GS253" s="4"/>
      <c r="GT253" s="4"/>
      <c r="GU253" s="4"/>
      <c r="GV253" s="4"/>
      <c r="GW253" s="4"/>
      <c r="GX253" s="4"/>
      <c r="GY253" s="4"/>
      <c r="GZ253" s="4"/>
      <c r="HA253" s="4"/>
      <c r="HB253" s="4"/>
      <c r="HC253" s="4"/>
      <c r="HD253" s="4"/>
      <c r="HE253" s="4"/>
      <c r="HF253" s="4"/>
      <c r="HG253" s="4"/>
      <c r="HH253" s="4"/>
      <c r="HI253" s="4"/>
      <c r="HJ253" s="4"/>
    </row>
    <row r="254" spans="1:218" hidden="1">
      <c r="A254" t="s">
        <v>1529</v>
      </c>
      <c r="B254" t="s">
        <v>1530</v>
      </c>
      <c r="C254" t="s">
        <v>505</v>
      </c>
      <c r="D254" t="s">
        <v>1531</v>
      </c>
      <c r="E254" t="s">
        <v>1532</v>
      </c>
      <c r="F254" s="3">
        <v>2</v>
      </c>
      <c r="G254" s="12">
        <f t="shared" si="6"/>
        <v>3.87</v>
      </c>
      <c r="H254" s="12">
        <f t="shared" si="7"/>
        <v>3.14</v>
      </c>
      <c r="I254" s="3">
        <v>7.0059499999999986</v>
      </c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>
        <v>3.87</v>
      </c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>
        <v>3.14</v>
      </c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 s="4"/>
      <c r="GM254" s="4"/>
      <c r="GN254" s="4"/>
      <c r="GO254" s="4"/>
      <c r="GP254" s="4"/>
      <c r="GQ254" s="4"/>
      <c r="GR254" s="4"/>
      <c r="GS254" s="4"/>
      <c r="GT254" s="4"/>
      <c r="GU254" s="4"/>
      <c r="GV254" s="4"/>
      <c r="GW254" s="4"/>
      <c r="GX254" s="4"/>
      <c r="GY254" s="4"/>
      <c r="GZ254" s="4"/>
      <c r="HA254" s="4"/>
      <c r="HB254" s="4"/>
      <c r="HC254" s="4"/>
      <c r="HD254" s="4"/>
      <c r="HE254" s="4"/>
      <c r="HF254" s="4"/>
      <c r="HG254" s="4"/>
      <c r="HH254" s="4"/>
      <c r="HI254" s="4"/>
      <c r="HJ254" s="4"/>
    </row>
    <row r="255" spans="1:218" hidden="1">
      <c r="A255" t="s">
        <v>1525</v>
      </c>
      <c r="B255" t="s">
        <v>1526</v>
      </c>
      <c r="C255" t="s">
        <v>505</v>
      </c>
      <c r="D255" t="s">
        <v>1527</v>
      </c>
      <c r="E255" t="s">
        <v>1528</v>
      </c>
      <c r="F255" s="3">
        <v>2</v>
      </c>
      <c r="G255" s="12">
        <f t="shared" si="6"/>
        <v>3.98</v>
      </c>
      <c r="H255" s="12">
        <f t="shared" si="7"/>
        <v>3.05</v>
      </c>
      <c r="I255" s="3">
        <v>7.0347498999999996</v>
      </c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>
        <v>3.05</v>
      </c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>
        <v>3.98</v>
      </c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 s="4"/>
      <c r="GM255" s="4"/>
      <c r="GN255" s="4"/>
      <c r="GO255" s="4"/>
      <c r="GP255" s="4"/>
      <c r="GQ255" s="4"/>
      <c r="GR255" s="4"/>
      <c r="GS255" s="4"/>
      <c r="GT255" s="4"/>
      <c r="GU255" s="4"/>
      <c r="GV255" s="4"/>
      <c r="GW255" s="4"/>
      <c r="GX255" s="4"/>
      <c r="GY255" s="4"/>
      <c r="GZ255" s="4"/>
      <c r="HA255" s="4"/>
      <c r="HB255" s="4"/>
      <c r="HC255" s="4"/>
      <c r="HD255" s="4"/>
      <c r="HE255" s="4"/>
      <c r="HF255" s="4"/>
      <c r="HG255" s="4"/>
      <c r="HH255" s="4"/>
      <c r="HI255" s="4"/>
      <c r="HJ255" s="4"/>
    </row>
    <row r="256" spans="1:218" hidden="1">
      <c r="A256" t="s">
        <v>1302</v>
      </c>
      <c r="B256" t="s">
        <v>1303</v>
      </c>
      <c r="C256" t="s">
        <v>1304</v>
      </c>
      <c r="D256" t="s">
        <v>1305</v>
      </c>
      <c r="E256" t="s">
        <v>1306</v>
      </c>
      <c r="F256" s="3">
        <v>2</v>
      </c>
      <c r="G256" s="12">
        <f t="shared" si="6"/>
        <v>6.61</v>
      </c>
      <c r="H256" s="12">
        <f t="shared" si="7"/>
        <v>5.97</v>
      </c>
      <c r="I256" s="3">
        <v>12.5806</v>
      </c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>
        <v>6.61</v>
      </c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>
        <v>5.97</v>
      </c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 s="4"/>
      <c r="GM256" s="4"/>
      <c r="GN256" s="4"/>
      <c r="GO256" s="4"/>
      <c r="GP256" s="4"/>
      <c r="GQ256" s="4"/>
      <c r="GR256" s="4"/>
      <c r="GS256" s="4"/>
      <c r="GT256" s="4"/>
      <c r="GU256" s="4"/>
      <c r="GV256" s="4"/>
      <c r="GW256" s="4"/>
      <c r="GX256" s="4"/>
      <c r="GY256" s="4"/>
      <c r="GZ256" s="4"/>
      <c r="HA256" s="4"/>
      <c r="HB256" s="4"/>
      <c r="HC256" s="4"/>
      <c r="HD256" s="4"/>
      <c r="HE256" s="4"/>
      <c r="HF256" s="4"/>
      <c r="HG256" s="4"/>
      <c r="HH256" s="4"/>
      <c r="HI256" s="4"/>
      <c r="HJ256" s="4"/>
    </row>
    <row r="257" spans="1:218" hidden="1">
      <c r="A257" t="s">
        <v>1618</v>
      </c>
      <c r="B257" t="s">
        <v>1619</v>
      </c>
      <c r="C257" t="s">
        <v>505</v>
      </c>
      <c r="D257" t="s">
        <v>1620</v>
      </c>
      <c r="E257" t="s">
        <v>1621</v>
      </c>
      <c r="F257" s="3">
        <v>2</v>
      </c>
      <c r="G257" s="12">
        <f t="shared" si="6"/>
        <v>3.85</v>
      </c>
      <c r="H257" s="12">
        <f t="shared" si="7"/>
        <v>1.21</v>
      </c>
      <c r="I257" s="3">
        <v>5.0617599999999996</v>
      </c>
      <c r="K257" s="4"/>
      <c r="L257" s="4"/>
      <c r="M257" s="4"/>
      <c r="N257" s="4"/>
      <c r="O257" s="4"/>
      <c r="P257" s="4"/>
      <c r="Q257" s="4">
        <v>3.85</v>
      </c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>
        <v>1.21</v>
      </c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 s="4"/>
      <c r="GM257" s="4"/>
      <c r="GN257" s="4"/>
      <c r="GO257" s="4"/>
      <c r="GP257" s="4"/>
      <c r="GQ257" s="4"/>
      <c r="GR257" s="4"/>
      <c r="GS257" s="4"/>
      <c r="GT257" s="4"/>
      <c r="GU257" s="4"/>
      <c r="GV257" s="4"/>
      <c r="GW257" s="4"/>
      <c r="GX257" s="4"/>
      <c r="GY257" s="4"/>
      <c r="GZ257" s="4"/>
      <c r="HA257" s="4"/>
      <c r="HB257" s="4"/>
      <c r="HC257" s="4"/>
      <c r="HD257" s="4"/>
      <c r="HE257" s="4"/>
      <c r="HF257" s="4"/>
      <c r="HG257" s="4"/>
      <c r="HH257" s="4"/>
      <c r="HI257" s="4"/>
      <c r="HJ257" s="4"/>
    </row>
    <row r="258" spans="1:218" hidden="1">
      <c r="A258" t="s">
        <v>1419</v>
      </c>
      <c r="B258" t="s">
        <v>1420</v>
      </c>
      <c r="C258" t="s">
        <v>505</v>
      </c>
      <c r="D258" t="s">
        <v>1421</v>
      </c>
      <c r="E258" t="s">
        <v>1422</v>
      </c>
      <c r="F258" s="3">
        <v>2</v>
      </c>
      <c r="G258" s="12">
        <f t="shared" si="6"/>
        <v>4.26</v>
      </c>
      <c r="H258" s="12">
        <f t="shared" si="7"/>
        <v>4.24</v>
      </c>
      <c r="I258" s="3">
        <v>8.4983602999999999</v>
      </c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>
        <v>4.26</v>
      </c>
      <c r="CS258" s="4"/>
      <c r="CT258" s="4"/>
      <c r="CU258" s="4">
        <v>4.24</v>
      </c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 s="4"/>
      <c r="GM258" s="4"/>
      <c r="GN258" s="4"/>
      <c r="GO258" s="4"/>
      <c r="GP258" s="4"/>
      <c r="GQ258" s="4"/>
      <c r="GR258" s="4"/>
      <c r="GS258" s="4"/>
      <c r="GT258" s="4"/>
      <c r="GU258" s="4"/>
      <c r="GV258" s="4"/>
      <c r="GW258" s="4"/>
      <c r="GX258" s="4"/>
      <c r="GY258" s="4"/>
      <c r="GZ258" s="4"/>
      <c r="HA258" s="4"/>
      <c r="HB258" s="4"/>
      <c r="HC258" s="4"/>
      <c r="HD258" s="4"/>
      <c r="HE258" s="4"/>
      <c r="HF258" s="4"/>
      <c r="HG258" s="4"/>
      <c r="HH258" s="4"/>
      <c r="HI258" s="4"/>
      <c r="HJ258" s="4"/>
    </row>
    <row r="259" spans="1:218" hidden="1">
      <c r="A259" t="s">
        <v>1502</v>
      </c>
      <c r="B259" t="s">
        <v>1503</v>
      </c>
      <c r="C259" t="s">
        <v>963</v>
      </c>
      <c r="D259" t="s">
        <v>1504</v>
      </c>
      <c r="E259" t="s">
        <v>1505</v>
      </c>
      <c r="F259" s="3">
        <v>2</v>
      </c>
      <c r="G259" s="12">
        <f t="shared" si="6"/>
        <v>4.33</v>
      </c>
      <c r="H259" s="12">
        <f t="shared" si="7"/>
        <v>3.04</v>
      </c>
      <c r="I259" s="3">
        <v>7.376429700000001</v>
      </c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>
        <v>3.04</v>
      </c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>
        <v>4.33</v>
      </c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 s="4"/>
      <c r="GM259" s="4"/>
      <c r="GN259" s="4"/>
      <c r="GO259" s="4"/>
      <c r="GP259" s="4"/>
      <c r="GQ259" s="4"/>
      <c r="GR259" s="4"/>
      <c r="GS259" s="4"/>
      <c r="GT259" s="4"/>
      <c r="GU259" s="4"/>
      <c r="GV259" s="4"/>
      <c r="GW259" s="4"/>
      <c r="GX259" s="4"/>
      <c r="GY259" s="4"/>
      <c r="GZ259" s="4"/>
      <c r="HA259" s="4"/>
      <c r="HB259" s="4"/>
      <c r="HC259" s="4"/>
      <c r="HD259" s="4"/>
      <c r="HE259" s="4"/>
      <c r="HF259" s="4"/>
      <c r="HG259" s="4"/>
      <c r="HH259" s="4"/>
      <c r="HI259" s="4"/>
      <c r="HJ259" s="4"/>
    </row>
    <row r="260" spans="1:218" hidden="1">
      <c r="A260" t="s">
        <v>1588</v>
      </c>
      <c r="B260" t="s">
        <v>1589</v>
      </c>
      <c r="C260" t="s">
        <v>505</v>
      </c>
      <c r="D260" t="s">
        <v>1590</v>
      </c>
      <c r="E260" t="s">
        <v>1591</v>
      </c>
      <c r="F260" s="3">
        <v>2</v>
      </c>
      <c r="G260" s="12">
        <f t="shared" si="6"/>
        <v>3.04</v>
      </c>
      <c r="H260" s="12">
        <f t="shared" si="7"/>
        <v>2.6</v>
      </c>
      <c r="I260" s="3">
        <v>5.64405</v>
      </c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>
        <v>2.6</v>
      </c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>
        <v>3.04</v>
      </c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 s="4"/>
      <c r="GM260" s="4"/>
      <c r="GN260" s="4"/>
      <c r="GO260" s="4"/>
      <c r="GP260" s="4"/>
      <c r="GQ260" s="4"/>
      <c r="GR260" s="4"/>
      <c r="GS260" s="4"/>
      <c r="GT260" s="4"/>
      <c r="GU260" s="4"/>
      <c r="GV260" s="4"/>
      <c r="GW260" s="4"/>
      <c r="GX260" s="4"/>
      <c r="GY260" s="4"/>
      <c r="GZ260" s="4"/>
      <c r="HA260" s="4"/>
      <c r="HB260" s="4"/>
      <c r="HC260" s="4"/>
      <c r="HD260" s="4"/>
      <c r="HE260" s="4"/>
      <c r="HF260" s="4"/>
      <c r="HG260" s="4"/>
      <c r="HH260" s="4"/>
      <c r="HI260" s="4"/>
      <c r="HJ260" s="4"/>
    </row>
    <row r="261" spans="1:218" hidden="1">
      <c r="A261" t="s">
        <v>1267</v>
      </c>
      <c r="B261" t="s">
        <v>1268</v>
      </c>
      <c r="C261" t="s">
        <v>1269</v>
      </c>
      <c r="D261" t="s">
        <v>1270</v>
      </c>
      <c r="E261" t="s">
        <v>1271</v>
      </c>
      <c r="F261" s="3">
        <v>2</v>
      </c>
      <c r="G261" s="12">
        <f t="shared" si="6"/>
        <v>7.84</v>
      </c>
      <c r="H261" s="12">
        <f t="shared" si="7"/>
        <v>6.76</v>
      </c>
      <c r="I261" s="3">
        <v>14.604660000000001</v>
      </c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>
        <v>7.84</v>
      </c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>
        <v>6.76</v>
      </c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 s="4"/>
      <c r="GM261" s="4"/>
      <c r="GN261" s="4"/>
      <c r="GO261" s="4"/>
      <c r="GP261" s="4"/>
      <c r="GQ261" s="4"/>
      <c r="GR261" s="4"/>
      <c r="GS261" s="4"/>
      <c r="GT261" s="4"/>
      <c r="GU261" s="4"/>
      <c r="GV261" s="4"/>
      <c r="GW261" s="4"/>
      <c r="GX261" s="4"/>
      <c r="GY261" s="4"/>
      <c r="GZ261" s="4"/>
      <c r="HA261" s="4"/>
      <c r="HB261" s="4"/>
      <c r="HC261" s="4"/>
      <c r="HD261" s="4"/>
      <c r="HE261" s="4"/>
      <c r="HF261" s="4"/>
      <c r="HG261" s="4"/>
      <c r="HH261" s="4"/>
      <c r="HI261" s="4"/>
      <c r="HJ261" s="4"/>
    </row>
    <row r="262" spans="1:218" hidden="1">
      <c r="A262" t="s">
        <v>1510</v>
      </c>
      <c r="B262" t="s">
        <v>1511</v>
      </c>
      <c r="C262" t="s">
        <v>505</v>
      </c>
      <c r="D262" t="s">
        <v>1512</v>
      </c>
      <c r="E262" t="s">
        <v>1513</v>
      </c>
      <c r="F262" s="3">
        <v>2</v>
      </c>
      <c r="G262" s="12">
        <f t="shared" si="6"/>
        <v>4.8099999999999996</v>
      </c>
      <c r="H262" s="12">
        <f t="shared" si="7"/>
        <v>2.5299999999999998</v>
      </c>
      <c r="I262" s="3">
        <v>7.3442699999999999</v>
      </c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>
        <v>4.8099999999999996</v>
      </c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>
        <v>2.5299999999999998</v>
      </c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 s="4"/>
      <c r="GM262" s="4"/>
      <c r="GN262" s="4"/>
      <c r="GO262" s="4"/>
      <c r="GP262" s="4"/>
      <c r="GQ262" s="4"/>
      <c r="GR262" s="4"/>
      <c r="GS262" s="4"/>
      <c r="GT262" s="4"/>
      <c r="GU262" s="4"/>
      <c r="GV262" s="4"/>
      <c r="GW262" s="4"/>
      <c r="GX262" s="4"/>
      <c r="GY262" s="4"/>
      <c r="GZ262" s="4"/>
      <c r="HA262" s="4"/>
      <c r="HB262" s="4"/>
      <c r="HC262" s="4"/>
      <c r="HD262" s="4"/>
      <c r="HE262" s="4"/>
      <c r="HF262" s="4"/>
      <c r="HG262" s="4"/>
      <c r="HH262" s="4"/>
      <c r="HI262" s="4"/>
      <c r="HJ262" s="4"/>
    </row>
    <row r="263" spans="1:218" hidden="1">
      <c r="A263" t="s">
        <v>1315</v>
      </c>
      <c r="B263" t="s">
        <v>1316</v>
      </c>
      <c r="C263" t="s">
        <v>576</v>
      </c>
      <c r="D263" t="s">
        <v>1317</v>
      </c>
      <c r="E263" t="s">
        <v>1318</v>
      </c>
      <c r="F263" s="3">
        <v>2</v>
      </c>
      <c r="G263" s="12">
        <f t="shared" ref="G263:G326" si="8">LARGE($J263:$HJ263,1)</f>
        <v>5.96</v>
      </c>
      <c r="H263" s="12">
        <f t="shared" ref="H263:H326" si="9">LARGE($J263:$HJ263,2)</f>
        <v>5.86</v>
      </c>
      <c r="I263" s="3">
        <v>11.821089600000001</v>
      </c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>
        <v>5.86</v>
      </c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 s="4"/>
      <c r="GM263" s="4"/>
      <c r="GN263" s="4"/>
      <c r="GO263" s="4"/>
      <c r="GP263" s="4"/>
      <c r="GQ263" s="4"/>
      <c r="GR263" s="4"/>
      <c r="GS263" s="4"/>
      <c r="GT263" s="4"/>
      <c r="GU263" s="4">
        <v>5.96</v>
      </c>
      <c r="GV263" s="4"/>
      <c r="GW263" s="4"/>
      <c r="GX263" s="4"/>
      <c r="GY263" s="4"/>
      <c r="GZ263" s="4"/>
      <c r="HA263" s="4"/>
      <c r="HB263" s="4"/>
      <c r="HC263" s="4"/>
      <c r="HD263" s="4"/>
      <c r="HE263" s="4"/>
      <c r="HF263" s="4"/>
      <c r="HG263" s="4"/>
      <c r="HH263" s="4"/>
      <c r="HI263" s="4"/>
      <c r="HJ263" s="4"/>
    </row>
    <row r="264" spans="1:218" hidden="1">
      <c r="A264" t="s">
        <v>1596</v>
      </c>
      <c r="B264" t="s">
        <v>1597</v>
      </c>
      <c r="C264" t="s">
        <v>505</v>
      </c>
      <c r="D264" t="s">
        <v>1598</v>
      </c>
      <c r="E264" t="s">
        <v>1599</v>
      </c>
      <c r="F264" s="3">
        <v>2</v>
      </c>
      <c r="G264" s="12">
        <f t="shared" si="8"/>
        <v>3.17</v>
      </c>
      <c r="H264" s="12">
        <f t="shared" si="9"/>
        <v>2.4700000000000002</v>
      </c>
      <c r="I264" s="3">
        <v>5.6389900000000006</v>
      </c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>
        <v>3.17</v>
      </c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 s="4"/>
      <c r="GM264" s="4"/>
      <c r="GN264" s="4"/>
      <c r="GO264" s="4"/>
      <c r="GP264" s="4"/>
      <c r="GQ264" s="4"/>
      <c r="GR264" s="4">
        <v>2.4700000000000002</v>
      </c>
      <c r="GS264" s="4"/>
      <c r="GT264" s="4"/>
      <c r="GU264" s="4"/>
      <c r="GV264" s="4"/>
      <c r="GW264" s="4"/>
      <c r="GX264" s="4"/>
      <c r="GY264" s="4"/>
      <c r="GZ264" s="4"/>
      <c r="HA264" s="4"/>
      <c r="HB264" s="4"/>
      <c r="HC264" s="4"/>
      <c r="HD264" s="4"/>
      <c r="HE264" s="4"/>
      <c r="HF264" s="4"/>
      <c r="HG264" s="4"/>
      <c r="HH264" s="4"/>
      <c r="HI264" s="4"/>
      <c r="HJ264" s="4"/>
    </row>
    <row r="265" spans="1:218" hidden="1">
      <c r="A265" t="s">
        <v>1522</v>
      </c>
      <c r="B265" t="s">
        <v>1523</v>
      </c>
      <c r="C265" t="s">
        <v>505</v>
      </c>
      <c r="D265" t="s">
        <v>680</v>
      </c>
      <c r="E265" t="s">
        <v>1524</v>
      </c>
      <c r="F265" s="3">
        <v>2</v>
      </c>
      <c r="G265" s="12">
        <f t="shared" si="8"/>
        <v>3.64</v>
      </c>
      <c r="H265" s="12">
        <f t="shared" si="9"/>
        <v>3.49</v>
      </c>
      <c r="I265" s="3">
        <v>7.1296302000000003</v>
      </c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>
        <v>3.49</v>
      </c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 s="4"/>
      <c r="GM265" s="4"/>
      <c r="GN265" s="4"/>
      <c r="GO265" s="4"/>
      <c r="GP265" s="4"/>
      <c r="GQ265" s="4"/>
      <c r="GR265" s="4">
        <v>3.64</v>
      </c>
      <c r="GS265" s="4"/>
      <c r="GT265" s="4"/>
      <c r="GU265" s="4"/>
      <c r="GV265" s="4"/>
      <c r="GW265" s="4"/>
      <c r="GX265" s="4"/>
      <c r="GY265" s="4"/>
      <c r="GZ265" s="4"/>
      <c r="HA265" s="4"/>
      <c r="HB265" s="4"/>
      <c r="HC265" s="4"/>
      <c r="HD265" s="4"/>
      <c r="HE265" s="4"/>
      <c r="HF265" s="4"/>
      <c r="HG265" s="4"/>
      <c r="HH265" s="4"/>
      <c r="HI265" s="4"/>
      <c r="HJ265" s="4"/>
    </row>
    <row r="266" spans="1:218" hidden="1">
      <c r="A266" t="s">
        <v>1614</v>
      </c>
      <c r="B266" t="s">
        <v>1615</v>
      </c>
      <c r="C266" t="s">
        <v>1118</v>
      </c>
      <c r="D266" t="s">
        <v>1616</v>
      </c>
      <c r="E266" t="s">
        <v>1617</v>
      </c>
      <c r="F266" s="3">
        <v>2</v>
      </c>
      <c r="G266" s="12">
        <f t="shared" si="8"/>
        <v>2.61</v>
      </c>
      <c r="H266" s="12">
        <f t="shared" si="9"/>
        <v>2.6</v>
      </c>
      <c r="I266" s="3">
        <v>5.2197900000000006</v>
      </c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>
        <v>2.61</v>
      </c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>
        <v>2.6</v>
      </c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 s="4"/>
      <c r="GM266" s="4"/>
      <c r="GN266" s="4"/>
      <c r="GO266" s="4"/>
      <c r="GP266" s="4"/>
      <c r="GQ266" s="4"/>
      <c r="GR266" s="4"/>
      <c r="GS266" s="4"/>
      <c r="GT266" s="4"/>
      <c r="GU266" s="4"/>
      <c r="GV266" s="4"/>
      <c r="GW266" s="4"/>
      <c r="GX266" s="4"/>
      <c r="GY266" s="4"/>
      <c r="GZ266" s="4"/>
      <c r="HA266" s="4"/>
      <c r="HB266" s="4"/>
      <c r="HC266" s="4"/>
      <c r="HD266" s="4"/>
      <c r="HE266" s="4"/>
      <c r="HF266" s="4"/>
      <c r="HG266" s="4"/>
      <c r="HH266" s="4"/>
      <c r="HI266" s="4"/>
      <c r="HJ266" s="4"/>
    </row>
    <row r="267" spans="1:218" hidden="1">
      <c r="A267" t="s">
        <v>1386</v>
      </c>
      <c r="B267" t="s">
        <v>1387</v>
      </c>
      <c r="C267" t="s">
        <v>484</v>
      </c>
      <c r="D267" t="s">
        <v>1388</v>
      </c>
      <c r="E267" t="s">
        <v>1389</v>
      </c>
      <c r="F267" s="3">
        <v>2</v>
      </c>
      <c r="G267" s="12">
        <f t="shared" si="8"/>
        <v>5.14</v>
      </c>
      <c r="H267" s="12">
        <f t="shared" si="9"/>
        <v>4.07</v>
      </c>
      <c r="I267" s="3">
        <v>9.2126202999999993</v>
      </c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>
        <v>4.07</v>
      </c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 s="4"/>
      <c r="GM267" s="4"/>
      <c r="GN267" s="4"/>
      <c r="GO267" s="4"/>
      <c r="GP267" s="4"/>
      <c r="GQ267" s="4"/>
      <c r="GR267" s="4"/>
      <c r="GS267" s="4"/>
      <c r="GT267" s="4"/>
      <c r="GU267" s="4"/>
      <c r="GV267" s="4"/>
      <c r="GW267" s="4"/>
      <c r="GX267" s="4">
        <v>5.14</v>
      </c>
      <c r="GY267" s="4"/>
      <c r="GZ267" s="4"/>
      <c r="HA267" s="4"/>
      <c r="HB267" s="4"/>
      <c r="HC267" s="4"/>
      <c r="HD267" s="4"/>
      <c r="HE267" s="4"/>
      <c r="HF267" s="4"/>
      <c r="HG267" s="4"/>
      <c r="HH267" s="4"/>
      <c r="HI267" s="4"/>
      <c r="HJ267" s="4"/>
    </row>
    <row r="268" spans="1:218" hidden="1">
      <c r="A268" t="s">
        <v>1514</v>
      </c>
      <c r="B268" t="s">
        <v>1515</v>
      </c>
      <c r="C268" t="s">
        <v>484</v>
      </c>
      <c r="D268" t="s">
        <v>1516</v>
      </c>
      <c r="E268" t="s">
        <v>1517</v>
      </c>
      <c r="F268" s="3">
        <v>2</v>
      </c>
      <c r="G268" s="12">
        <f t="shared" si="8"/>
        <v>4.74</v>
      </c>
      <c r="H268" s="12">
        <f t="shared" si="9"/>
        <v>2.5099999999999998</v>
      </c>
      <c r="I268" s="3">
        <v>7.2459795999999992</v>
      </c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>
        <v>4.74</v>
      </c>
      <c r="DO268" s="4"/>
      <c r="DP268" s="4">
        <v>2.5099999999999998</v>
      </c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</row>
    <row r="269" spans="1:218" hidden="1">
      <c r="A269" t="s">
        <v>1478</v>
      </c>
      <c r="B269" t="s">
        <v>1479</v>
      </c>
      <c r="C269" t="s">
        <v>505</v>
      </c>
      <c r="D269" t="s">
        <v>1480</v>
      </c>
      <c r="E269" t="s">
        <v>1481</v>
      </c>
      <c r="F269" s="3">
        <v>2</v>
      </c>
      <c r="G269" s="12">
        <f t="shared" si="8"/>
        <v>4.41</v>
      </c>
      <c r="H269" s="12">
        <f t="shared" si="9"/>
        <v>3.32</v>
      </c>
      <c r="I269" s="3">
        <v>7.7305800000000007</v>
      </c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>
        <v>4.41</v>
      </c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 s="4"/>
      <c r="GM269" s="4"/>
      <c r="GN269" s="4"/>
      <c r="GO269" s="4"/>
      <c r="GP269" s="4"/>
      <c r="GQ269" s="4"/>
      <c r="GR269" s="4"/>
      <c r="GS269" s="4"/>
      <c r="GT269" s="4"/>
      <c r="GU269" s="4"/>
      <c r="GV269" s="4"/>
      <c r="GW269" s="4"/>
      <c r="GX269" s="4"/>
      <c r="GY269" s="4"/>
      <c r="GZ269" s="4"/>
      <c r="HA269" s="4"/>
      <c r="HB269" s="4"/>
      <c r="HC269" s="4">
        <v>3.32</v>
      </c>
      <c r="HD269" s="4"/>
      <c r="HE269" s="4"/>
      <c r="HF269" s="4"/>
      <c r="HG269" s="4"/>
      <c r="HH269" s="4"/>
      <c r="HI269" s="4"/>
      <c r="HJ269" s="4"/>
    </row>
    <row r="270" spans="1:218" hidden="1">
      <c r="A270" t="s">
        <v>1487</v>
      </c>
      <c r="B270" t="s">
        <v>1488</v>
      </c>
      <c r="C270" t="s">
        <v>505</v>
      </c>
      <c r="D270" t="s">
        <v>1489</v>
      </c>
      <c r="E270" t="s">
        <v>1490</v>
      </c>
      <c r="F270" s="3">
        <v>2</v>
      </c>
      <c r="G270" s="12">
        <f t="shared" si="8"/>
        <v>4.59</v>
      </c>
      <c r="H270" s="12">
        <f t="shared" si="9"/>
        <v>3.1</v>
      </c>
      <c r="I270" s="3">
        <v>7.6973900000000004</v>
      </c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>
        <v>4.59</v>
      </c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 s="4"/>
      <c r="GM270" s="4"/>
      <c r="GN270" s="4"/>
      <c r="GO270" s="4"/>
      <c r="GP270" s="4"/>
      <c r="GQ270" s="4"/>
      <c r="GR270" s="4"/>
      <c r="GS270" s="4"/>
      <c r="GT270" s="4"/>
      <c r="GU270" s="4"/>
      <c r="GV270" s="4"/>
      <c r="GW270" s="4"/>
      <c r="GX270" s="4"/>
      <c r="GY270" s="4"/>
      <c r="GZ270" s="4"/>
      <c r="HA270" s="4"/>
      <c r="HB270" s="4"/>
      <c r="HC270" s="4">
        <v>3.1</v>
      </c>
      <c r="HD270" s="4"/>
      <c r="HE270" s="4"/>
      <c r="HF270" s="4"/>
      <c r="HG270" s="4"/>
      <c r="HH270" s="4"/>
      <c r="HI270" s="4"/>
      <c r="HJ270" s="4"/>
    </row>
    <row r="271" spans="1:218" hidden="1">
      <c r="A271" t="s">
        <v>1624</v>
      </c>
      <c r="B271" t="s">
        <v>1625</v>
      </c>
      <c r="C271" t="s">
        <v>585</v>
      </c>
      <c r="D271" t="s">
        <v>1626</v>
      </c>
      <c r="E271" t="s">
        <v>1627</v>
      </c>
      <c r="F271" s="3">
        <v>1</v>
      </c>
      <c r="G271" s="12">
        <f>LARGE($J271:$HJ271,1)</f>
        <v>2.09</v>
      </c>
      <c r="H271" s="12"/>
      <c r="I271" s="3">
        <v>4.57761</v>
      </c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>
        <v>2.09</v>
      </c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 s="4"/>
      <c r="GM271" s="4"/>
      <c r="GN271" s="4"/>
      <c r="GO271" s="4"/>
      <c r="GP271" s="4"/>
      <c r="GQ271" s="4"/>
      <c r="GR271" s="4"/>
      <c r="GS271" s="4"/>
      <c r="GT271" s="4"/>
      <c r="GU271" s="4"/>
      <c r="GV271" s="4"/>
      <c r="GW271" s="4"/>
      <c r="GX271" s="4"/>
      <c r="GY271" s="4"/>
      <c r="GZ271" s="4"/>
      <c r="HA271" s="4"/>
      <c r="HB271" s="4"/>
      <c r="HC271" s="4"/>
      <c r="HD271" s="4"/>
      <c r="HE271" s="4"/>
      <c r="HF271" s="4"/>
      <c r="HG271" s="4"/>
      <c r="HH271" s="4"/>
      <c r="HI271" s="4"/>
      <c r="HJ271" s="4"/>
    </row>
    <row r="272" spans="1:218" hidden="1">
      <c r="A272" t="s">
        <v>1592</v>
      </c>
      <c r="B272" t="s">
        <v>1593</v>
      </c>
      <c r="C272" t="s">
        <v>484</v>
      </c>
      <c r="D272" t="s">
        <v>1594</v>
      </c>
      <c r="E272" t="s">
        <v>1595</v>
      </c>
      <c r="F272" s="3">
        <v>2</v>
      </c>
      <c r="G272" s="12">
        <f t="shared" si="8"/>
        <v>2.95</v>
      </c>
      <c r="H272" s="12">
        <f t="shared" si="9"/>
        <v>2.7</v>
      </c>
      <c r="I272" s="3">
        <v>5.6415701</v>
      </c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>
        <v>2.95</v>
      </c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>
        <v>2.7</v>
      </c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 s="4"/>
      <c r="GM272" s="4"/>
      <c r="GN272" s="4"/>
      <c r="GO272" s="4"/>
      <c r="GP272" s="4"/>
      <c r="GQ272" s="4"/>
      <c r="GR272" s="4"/>
      <c r="GS272" s="4"/>
      <c r="GT272" s="4"/>
      <c r="GU272" s="4"/>
      <c r="GV272" s="4"/>
      <c r="GW272" s="4"/>
      <c r="GX272" s="4"/>
      <c r="GY272" s="4"/>
      <c r="GZ272" s="4"/>
      <c r="HA272" s="4"/>
      <c r="HB272" s="4"/>
      <c r="HC272" s="4"/>
      <c r="HD272" s="4"/>
      <c r="HE272" s="4"/>
      <c r="HF272" s="4"/>
      <c r="HG272" s="4"/>
      <c r="HH272" s="4"/>
      <c r="HI272" s="4"/>
      <c r="HJ272" s="4"/>
    </row>
    <row r="273" spans="1:218" hidden="1">
      <c r="A273" t="s">
        <v>1236</v>
      </c>
      <c r="B273" t="s">
        <v>1237</v>
      </c>
      <c r="C273" t="s">
        <v>484</v>
      </c>
      <c r="D273" t="s">
        <v>1238</v>
      </c>
      <c r="E273" t="s">
        <v>1239</v>
      </c>
      <c r="F273" s="3">
        <v>2</v>
      </c>
      <c r="G273" s="12">
        <f t="shared" si="8"/>
        <v>16.87</v>
      </c>
      <c r="H273" s="12">
        <f t="shared" si="9"/>
        <v>6.49</v>
      </c>
      <c r="I273" s="3">
        <v>23.362410000000001</v>
      </c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>
        <v>16.87</v>
      </c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 s="4"/>
      <c r="GM273" s="4"/>
      <c r="GN273" s="4"/>
      <c r="GO273" s="4"/>
      <c r="GP273" s="4"/>
      <c r="GQ273" s="4"/>
      <c r="GR273" s="4"/>
      <c r="GS273" s="4"/>
      <c r="GT273" s="4"/>
      <c r="GU273" s="4"/>
      <c r="GV273" s="4"/>
      <c r="GW273" s="4"/>
      <c r="GX273" s="4">
        <v>6.49</v>
      </c>
      <c r="GY273" s="4"/>
      <c r="GZ273" s="4"/>
      <c r="HA273" s="4"/>
      <c r="HB273" s="4"/>
      <c r="HC273" s="4"/>
      <c r="HD273" s="4"/>
      <c r="HE273" s="4"/>
      <c r="HF273" s="4"/>
      <c r="HG273" s="4"/>
      <c r="HH273" s="4"/>
      <c r="HI273" s="4"/>
      <c r="HJ273" s="4"/>
    </row>
    <row r="274" spans="1:218" hidden="1">
      <c r="A274" t="s">
        <v>1403</v>
      </c>
      <c r="B274" t="s">
        <v>1404</v>
      </c>
      <c r="C274" t="s">
        <v>754</v>
      </c>
      <c r="D274" t="s">
        <v>1405</v>
      </c>
      <c r="E274" t="s">
        <v>1406</v>
      </c>
      <c r="F274" s="3">
        <v>2</v>
      </c>
      <c r="G274" s="12">
        <f t="shared" si="8"/>
        <v>6.62</v>
      </c>
      <c r="H274" s="12">
        <f t="shared" si="9"/>
        <v>2.4</v>
      </c>
      <c r="I274" s="3">
        <v>9.0212900000000005</v>
      </c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>
        <v>6.62</v>
      </c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>
        <v>2.4</v>
      </c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 s="4"/>
      <c r="GM274" s="4"/>
      <c r="GN274" s="4"/>
      <c r="GO274" s="4"/>
      <c r="GP274" s="4"/>
      <c r="GQ274" s="4"/>
      <c r="GR274" s="4"/>
      <c r="GS274" s="4"/>
      <c r="GT274" s="4"/>
      <c r="GU274" s="4"/>
      <c r="GV274" s="4"/>
      <c r="GW274" s="4"/>
      <c r="GX274" s="4"/>
      <c r="GY274" s="4"/>
      <c r="GZ274" s="4"/>
      <c r="HA274" s="4"/>
      <c r="HB274" s="4"/>
      <c r="HC274" s="4"/>
      <c r="HD274" s="4"/>
      <c r="HE274" s="4"/>
      <c r="HF274" s="4"/>
      <c r="HG274" s="4"/>
      <c r="HH274" s="4"/>
      <c r="HI274" s="4"/>
      <c r="HJ274" s="4"/>
    </row>
    <row r="275" spans="1:218" hidden="1">
      <c r="A275" t="s">
        <v>1364</v>
      </c>
      <c r="B275" t="s">
        <v>1365</v>
      </c>
      <c r="C275" t="s">
        <v>845</v>
      </c>
      <c r="D275" t="s">
        <v>1366</v>
      </c>
      <c r="E275" t="s">
        <v>1367</v>
      </c>
      <c r="F275" s="3">
        <v>2</v>
      </c>
      <c r="G275" s="12">
        <f t="shared" si="8"/>
        <v>5.15</v>
      </c>
      <c r="H275" s="12">
        <f t="shared" si="9"/>
        <v>4.6100000000000003</v>
      </c>
      <c r="I275" s="3">
        <v>9.7554902999999999</v>
      </c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>
        <v>4.6100000000000003</v>
      </c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>
        <v>5.15</v>
      </c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 s="4"/>
      <c r="GM275" s="4"/>
      <c r="GN275" s="4"/>
      <c r="GO275" s="4"/>
      <c r="GP275" s="4"/>
      <c r="GQ275" s="4"/>
      <c r="GR275" s="4"/>
      <c r="GS275" s="4"/>
      <c r="GT275" s="4"/>
      <c r="GU275" s="4"/>
      <c r="GV275" s="4"/>
      <c r="GW275" s="4"/>
      <c r="GX275" s="4"/>
      <c r="GY275" s="4"/>
      <c r="GZ275" s="4"/>
      <c r="HA275" s="4"/>
      <c r="HB275" s="4"/>
      <c r="HC275" s="4"/>
      <c r="HD275" s="4"/>
      <c r="HE275" s="4"/>
      <c r="HF275" s="4"/>
      <c r="HG275" s="4"/>
      <c r="HH275" s="4"/>
      <c r="HI275" s="4"/>
      <c r="HJ275" s="4"/>
    </row>
    <row r="276" spans="1:218" hidden="1">
      <c r="A276" t="s">
        <v>1374</v>
      </c>
      <c r="B276" t="s">
        <v>1375</v>
      </c>
      <c r="C276" t="s">
        <v>1269</v>
      </c>
      <c r="D276" t="s">
        <v>1376</v>
      </c>
      <c r="E276" t="s">
        <v>1377</v>
      </c>
      <c r="F276" s="3">
        <v>2</v>
      </c>
      <c r="G276" s="12">
        <f t="shared" si="8"/>
        <v>5.87</v>
      </c>
      <c r="H276" s="12">
        <f t="shared" si="9"/>
        <v>3.8</v>
      </c>
      <c r="I276" s="3">
        <v>9.667860000000001</v>
      </c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>
        <v>3.8</v>
      </c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>
        <v>5.87</v>
      </c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 s="4"/>
      <c r="GM276" s="4"/>
      <c r="GN276" s="4"/>
      <c r="GO276" s="4"/>
      <c r="GP276" s="4"/>
      <c r="GQ276" s="4"/>
      <c r="GR276" s="4"/>
      <c r="GS276" s="4"/>
      <c r="GT276" s="4"/>
      <c r="GU276" s="4"/>
      <c r="GV276" s="4"/>
      <c r="GW276" s="4"/>
      <c r="GX276" s="4"/>
      <c r="GY276" s="4"/>
      <c r="GZ276" s="4"/>
      <c r="HA276" s="4"/>
      <c r="HB276" s="4"/>
      <c r="HC276" s="4"/>
      <c r="HD276" s="4"/>
      <c r="HE276" s="4"/>
      <c r="HF276" s="4"/>
      <c r="HG276" s="4"/>
      <c r="HH276" s="4"/>
      <c r="HI276" s="4"/>
      <c r="HJ276" s="4"/>
    </row>
    <row r="277" spans="1:218" hidden="1">
      <c r="A277" t="s">
        <v>1497</v>
      </c>
      <c r="B277" t="s">
        <v>1498</v>
      </c>
      <c r="C277" t="s">
        <v>1499</v>
      </c>
      <c r="D277" t="s">
        <v>1500</v>
      </c>
      <c r="E277" t="s">
        <v>1501</v>
      </c>
      <c r="F277" s="3">
        <v>2</v>
      </c>
      <c r="G277" s="12">
        <f t="shared" si="8"/>
        <v>3.96</v>
      </c>
      <c r="H277" s="12">
        <f t="shared" si="9"/>
        <v>3.43</v>
      </c>
      <c r="I277" s="3">
        <v>7.3888800000000003</v>
      </c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>
        <v>3.43</v>
      </c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 s="4"/>
      <c r="GM277" s="4"/>
      <c r="GN277" s="4"/>
      <c r="GO277" s="4"/>
      <c r="GP277" s="4"/>
      <c r="GQ277" s="4"/>
      <c r="GR277" s="4"/>
      <c r="GS277" s="4">
        <v>3.96</v>
      </c>
      <c r="GT277" s="4"/>
      <c r="GU277" s="4"/>
      <c r="GV277" s="4"/>
      <c r="GW277" s="4"/>
      <c r="GX277" s="4"/>
      <c r="GY277" s="4"/>
      <c r="GZ277" s="4"/>
      <c r="HA277" s="4"/>
      <c r="HB277" s="4"/>
      <c r="HC277" s="4"/>
      <c r="HD277" s="4"/>
      <c r="HE277" s="4"/>
      <c r="HF277" s="4"/>
      <c r="HG277" s="4"/>
      <c r="HH277" s="4"/>
      <c r="HI277" s="4"/>
      <c r="HJ277" s="4"/>
    </row>
    <row r="278" spans="1:218" hidden="1">
      <c r="A278" t="s">
        <v>1258</v>
      </c>
      <c r="B278" t="s">
        <v>1259</v>
      </c>
      <c r="C278" t="s">
        <v>1055</v>
      </c>
      <c r="D278" t="s">
        <v>1260</v>
      </c>
      <c r="E278" t="s">
        <v>1261</v>
      </c>
      <c r="F278" s="3">
        <v>2</v>
      </c>
      <c r="G278" s="12">
        <f t="shared" si="8"/>
        <v>9.2799999999999994</v>
      </c>
      <c r="H278" s="12">
        <f t="shared" si="9"/>
        <v>5.76</v>
      </c>
      <c r="I278" s="3">
        <v>15.046430300000001</v>
      </c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>
        <v>9.2799999999999994</v>
      </c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>
        <v>5.76</v>
      </c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 s="4"/>
      <c r="GM278" s="4"/>
      <c r="GN278" s="4"/>
      <c r="GO278" s="4"/>
      <c r="GP278" s="4"/>
      <c r="GQ278" s="4"/>
      <c r="GR278" s="4"/>
      <c r="GS278" s="4"/>
      <c r="GT278" s="4"/>
      <c r="GU278" s="4"/>
      <c r="GV278" s="4"/>
      <c r="GW278" s="4"/>
      <c r="GX278" s="4"/>
      <c r="GY278" s="4"/>
      <c r="GZ278" s="4"/>
      <c r="HA278" s="4"/>
      <c r="HB278" s="4"/>
      <c r="HC278" s="4"/>
      <c r="HD278" s="4"/>
      <c r="HE278" s="4"/>
      <c r="HF278" s="4"/>
      <c r="HG278" s="4"/>
      <c r="HH278" s="4"/>
      <c r="HI278" s="4"/>
      <c r="HJ278" s="4"/>
    </row>
    <row r="279" spans="1:218" hidden="1">
      <c r="A279" t="s">
        <v>1368</v>
      </c>
      <c r="B279" t="s">
        <v>1369</v>
      </c>
      <c r="C279" t="s">
        <v>1055</v>
      </c>
      <c r="D279" t="s">
        <v>1370</v>
      </c>
      <c r="E279" t="s">
        <v>1371</v>
      </c>
      <c r="F279" s="3">
        <v>2</v>
      </c>
      <c r="G279" s="12">
        <f t="shared" si="8"/>
        <v>6.57</v>
      </c>
      <c r="H279" s="12">
        <f t="shared" si="9"/>
        <v>3.18</v>
      </c>
      <c r="I279" s="3">
        <v>9.7485302999999988</v>
      </c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>
        <v>6.57</v>
      </c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 s="4"/>
      <c r="GM279" s="4"/>
      <c r="GN279" s="4"/>
      <c r="GO279" s="4"/>
      <c r="GP279" s="4"/>
      <c r="GQ279" s="4"/>
      <c r="GR279" s="4"/>
      <c r="GS279" s="4"/>
      <c r="GT279" s="4"/>
      <c r="GU279" s="4"/>
      <c r="GV279" s="4"/>
      <c r="GW279" s="4"/>
      <c r="GX279" s="4"/>
      <c r="GY279" s="4"/>
      <c r="GZ279" s="4"/>
      <c r="HA279" s="4">
        <v>3.18</v>
      </c>
      <c r="HB279" s="4"/>
      <c r="HC279" s="4"/>
      <c r="HD279" s="4"/>
      <c r="HE279" s="4"/>
      <c r="HF279" s="4"/>
      <c r="HG279" s="4"/>
      <c r="HH279" s="4"/>
      <c r="HI279" s="4"/>
      <c r="HJ279" s="4"/>
    </row>
    <row r="280" spans="1:218" hidden="1">
      <c r="A280" t="s">
        <v>1323</v>
      </c>
      <c r="B280" t="s">
        <v>1324</v>
      </c>
      <c r="C280" t="s">
        <v>484</v>
      </c>
      <c r="D280" t="s">
        <v>1325</v>
      </c>
      <c r="E280" t="s">
        <v>1326</v>
      </c>
      <c r="F280" s="3">
        <v>2</v>
      </c>
      <c r="G280" s="12">
        <f t="shared" si="8"/>
        <v>7.12</v>
      </c>
      <c r="H280" s="12">
        <f t="shared" si="9"/>
        <v>4.5199999999999996</v>
      </c>
      <c r="I280" s="3">
        <v>11.64784</v>
      </c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>
        <v>4.5199999999999996</v>
      </c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 s="4"/>
      <c r="GM280" s="4"/>
      <c r="GN280" s="4"/>
      <c r="GO280" s="4"/>
      <c r="GP280" s="4"/>
      <c r="GQ280" s="4"/>
      <c r="GR280" s="4"/>
      <c r="GS280" s="4"/>
      <c r="GT280" s="4"/>
      <c r="GU280" s="4"/>
      <c r="GV280" s="4"/>
      <c r="GW280" s="4"/>
      <c r="GX280" s="4">
        <v>7.12</v>
      </c>
      <c r="GY280" s="4"/>
      <c r="GZ280" s="4"/>
      <c r="HA280" s="4"/>
      <c r="HB280" s="4"/>
      <c r="HC280" s="4"/>
      <c r="HD280" s="4"/>
      <c r="HE280" s="4"/>
      <c r="HF280" s="4"/>
      <c r="HG280" s="4"/>
      <c r="HH280" s="4"/>
      <c r="HI280" s="4"/>
      <c r="HJ280" s="4"/>
    </row>
    <row r="281" spans="1:218" hidden="1">
      <c r="A281" t="s">
        <v>1352</v>
      </c>
      <c r="B281" t="s">
        <v>1353</v>
      </c>
      <c r="C281" t="s">
        <v>443</v>
      </c>
      <c r="D281" t="s">
        <v>1354</v>
      </c>
      <c r="E281" t="s">
        <v>1355</v>
      </c>
      <c r="F281" s="3">
        <v>2</v>
      </c>
      <c r="G281" s="12">
        <f t="shared" si="8"/>
        <v>6.25</v>
      </c>
      <c r="H281" s="12">
        <f t="shared" si="9"/>
        <v>3.92</v>
      </c>
      <c r="I281" s="3">
        <v>10.169219999999999</v>
      </c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>
        <v>3.92</v>
      </c>
      <c r="FU281" s="4">
        <v>6.25</v>
      </c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 s="4"/>
      <c r="GM281" s="4"/>
      <c r="GN281" s="4"/>
      <c r="GO281" s="4"/>
      <c r="GP281" s="4"/>
      <c r="GQ281" s="4"/>
      <c r="GR281" s="4"/>
      <c r="GS281" s="4"/>
      <c r="GT281" s="4"/>
      <c r="GU281" s="4"/>
      <c r="GV281" s="4"/>
      <c r="GW281" s="4"/>
      <c r="GX281" s="4"/>
      <c r="GY281" s="4"/>
      <c r="GZ281" s="4"/>
      <c r="HA281" s="4"/>
      <c r="HB281" s="4"/>
      <c r="HC281" s="4"/>
      <c r="HD281" s="4"/>
      <c r="HE281" s="4"/>
      <c r="HF281" s="4"/>
      <c r="HG281" s="4"/>
      <c r="HH281" s="4"/>
      <c r="HI281" s="4"/>
      <c r="HJ281" s="4"/>
    </row>
    <row r="282" spans="1:218" hidden="1">
      <c r="A282" t="s">
        <v>1437</v>
      </c>
      <c r="B282" t="s">
        <v>1438</v>
      </c>
      <c r="C282" t="s">
        <v>1439</v>
      </c>
      <c r="D282" t="s">
        <v>1440</v>
      </c>
      <c r="E282" t="s">
        <v>1441</v>
      </c>
      <c r="F282" s="3">
        <v>2</v>
      </c>
      <c r="G282" s="12">
        <f t="shared" si="8"/>
        <v>4.3600000000000003</v>
      </c>
      <c r="H282" s="12">
        <f t="shared" si="9"/>
        <v>3.97</v>
      </c>
      <c r="I282" s="3">
        <v>8.3297401999999998</v>
      </c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>
        <v>4.3600000000000003</v>
      </c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 s="4"/>
      <c r="GM282" s="4"/>
      <c r="GN282" s="4"/>
      <c r="GO282" s="4"/>
      <c r="GP282" s="4"/>
      <c r="GQ282" s="4"/>
      <c r="GR282" s="4"/>
      <c r="GS282" s="4"/>
      <c r="GT282" s="4"/>
      <c r="GU282" s="4"/>
      <c r="GV282" s="4"/>
      <c r="GW282" s="4"/>
      <c r="GX282" s="4"/>
      <c r="GY282" s="4"/>
      <c r="GZ282" s="4"/>
      <c r="HA282" s="4"/>
      <c r="HB282" s="4"/>
      <c r="HC282" s="4"/>
      <c r="HD282" s="4"/>
      <c r="HE282" s="4">
        <v>3.97</v>
      </c>
      <c r="HF282" s="4"/>
      <c r="HG282" s="4"/>
      <c r="HH282" s="4"/>
      <c r="HI282" s="4"/>
      <c r="HJ282" s="4"/>
    </row>
    <row r="283" spans="1:218" hidden="1">
      <c r="A283" t="s">
        <v>1344</v>
      </c>
      <c r="B283" t="s">
        <v>1345</v>
      </c>
      <c r="C283" t="s">
        <v>484</v>
      </c>
      <c r="D283" t="s">
        <v>1346</v>
      </c>
      <c r="E283" t="s">
        <v>1347</v>
      </c>
      <c r="F283" s="3">
        <v>2</v>
      </c>
      <c r="G283" s="12">
        <f t="shared" si="8"/>
        <v>5.8</v>
      </c>
      <c r="H283" s="12">
        <f t="shared" si="9"/>
        <v>4.46</v>
      </c>
      <c r="I283" s="3">
        <v>10.263109699999999</v>
      </c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>
        <v>5.8</v>
      </c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 s="4"/>
      <c r="GM283" s="4"/>
      <c r="GN283" s="4"/>
      <c r="GO283" s="4"/>
      <c r="GP283" s="4"/>
      <c r="GQ283" s="4"/>
      <c r="GR283" s="4"/>
      <c r="GS283" s="4"/>
      <c r="GT283" s="4"/>
      <c r="GU283" s="4"/>
      <c r="GV283" s="4"/>
      <c r="GW283" s="4"/>
      <c r="GX283" s="4">
        <v>4.46</v>
      </c>
      <c r="GY283" s="4"/>
      <c r="GZ283" s="4"/>
      <c r="HA283" s="4"/>
      <c r="HB283" s="4"/>
      <c r="HC283" s="4"/>
      <c r="HD283" s="4"/>
      <c r="HE283" s="4"/>
      <c r="HF283" s="4"/>
      <c r="HG283" s="4"/>
      <c r="HH283" s="4"/>
      <c r="HI283" s="4"/>
      <c r="HJ283" s="4"/>
    </row>
    <row r="284" spans="1:218" hidden="1">
      <c r="A284" t="s">
        <v>1411</v>
      </c>
      <c r="B284" t="s">
        <v>1412</v>
      </c>
      <c r="C284" t="s">
        <v>505</v>
      </c>
      <c r="D284" t="s">
        <v>1413</v>
      </c>
      <c r="E284" t="s">
        <v>1414</v>
      </c>
      <c r="F284" s="3">
        <v>2</v>
      </c>
      <c r="G284" s="12">
        <f t="shared" si="8"/>
        <v>4.79</v>
      </c>
      <c r="H284" s="12">
        <f t="shared" si="9"/>
        <v>4.07</v>
      </c>
      <c r="I284" s="3">
        <v>8.8574204999999981</v>
      </c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>
        <v>4.79</v>
      </c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>
        <v>4.07</v>
      </c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 s="4"/>
      <c r="GM284" s="4"/>
      <c r="GN284" s="4"/>
      <c r="GO284" s="4"/>
      <c r="GP284" s="4"/>
      <c r="GQ284" s="4"/>
      <c r="GR284" s="4"/>
      <c r="GS284" s="4"/>
      <c r="GT284" s="4"/>
      <c r="GU284" s="4"/>
      <c r="GV284" s="4"/>
      <c r="GW284" s="4"/>
      <c r="GX284" s="4"/>
      <c r="GY284" s="4"/>
      <c r="GZ284" s="4"/>
      <c r="HA284" s="4"/>
      <c r="HB284" s="4"/>
      <c r="HC284" s="4"/>
      <c r="HD284" s="4"/>
      <c r="HE284" s="4"/>
      <c r="HF284" s="4"/>
      <c r="HG284" s="4"/>
      <c r="HH284" s="4"/>
      <c r="HI284" s="4"/>
      <c r="HJ284" s="4"/>
    </row>
    <row r="285" spans="1:218" hidden="1">
      <c r="A285" t="s">
        <v>1450</v>
      </c>
      <c r="B285" t="s">
        <v>1451</v>
      </c>
      <c r="C285" t="s">
        <v>505</v>
      </c>
      <c r="D285" t="s">
        <v>1452</v>
      </c>
      <c r="E285" t="s">
        <v>1453</v>
      </c>
      <c r="F285" s="3">
        <v>2</v>
      </c>
      <c r="G285" s="12">
        <f t="shared" si="8"/>
        <v>4.42</v>
      </c>
      <c r="H285" s="12">
        <f t="shared" si="9"/>
        <v>3.62</v>
      </c>
      <c r="I285" s="3">
        <v>8.0427099999999996</v>
      </c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>
        <v>3.62</v>
      </c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 s="4"/>
      <c r="GM285" s="4"/>
      <c r="GN285" s="4"/>
      <c r="GO285" s="4"/>
      <c r="GP285" s="4"/>
      <c r="GQ285" s="4"/>
      <c r="GR285" s="4"/>
      <c r="GS285" s="4"/>
      <c r="GT285" s="4"/>
      <c r="GU285" s="4"/>
      <c r="GV285" s="4"/>
      <c r="GW285" s="4"/>
      <c r="GX285" s="4"/>
      <c r="GY285" s="4"/>
      <c r="GZ285" s="4"/>
      <c r="HA285" s="4"/>
      <c r="HB285" s="4"/>
      <c r="HC285" s="4"/>
      <c r="HD285" s="4"/>
      <c r="HE285" s="4"/>
      <c r="HF285" s="4"/>
      <c r="HG285" s="4"/>
      <c r="HH285" s="4"/>
      <c r="HI285" s="4"/>
      <c r="HJ285" s="4">
        <v>4.42</v>
      </c>
    </row>
    <row r="286" spans="1:218" hidden="1">
      <c r="A286" t="s">
        <v>1254</v>
      </c>
      <c r="B286" t="s">
        <v>1255</v>
      </c>
      <c r="C286" t="s">
        <v>443</v>
      </c>
      <c r="D286" t="s">
        <v>1256</v>
      </c>
      <c r="E286" t="s">
        <v>1257</v>
      </c>
      <c r="F286" s="3">
        <v>2</v>
      </c>
      <c r="G286" s="12">
        <f t="shared" si="8"/>
        <v>9.0399999999999991</v>
      </c>
      <c r="H286" s="12">
        <f t="shared" si="9"/>
        <v>6.24</v>
      </c>
      <c r="I286" s="3">
        <v>15.281959199999999</v>
      </c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>
        <v>9.0399999999999991</v>
      </c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 s="4"/>
      <c r="GM286" s="4"/>
      <c r="GN286" s="4"/>
      <c r="GO286" s="4"/>
      <c r="GP286" s="4"/>
      <c r="GQ286" s="4"/>
      <c r="GR286" s="4"/>
      <c r="GS286" s="4"/>
      <c r="GT286" s="4"/>
      <c r="GU286" s="4"/>
      <c r="GV286" s="4"/>
      <c r="GW286" s="4"/>
      <c r="GX286" s="4"/>
      <c r="GY286" s="4"/>
      <c r="GZ286" s="4"/>
      <c r="HA286" s="4"/>
      <c r="HB286" s="4"/>
      <c r="HC286" s="4"/>
      <c r="HD286" s="4"/>
      <c r="HE286" s="4"/>
      <c r="HF286" s="4"/>
      <c r="HG286" s="4"/>
      <c r="HH286" s="4"/>
      <c r="HI286" s="4">
        <v>6.24</v>
      </c>
      <c r="HJ286" s="4"/>
    </row>
    <row r="287" spans="1:218" hidden="1">
      <c r="A287" t="s">
        <v>1541</v>
      </c>
      <c r="B287" t="s">
        <v>1542</v>
      </c>
      <c r="C287" t="s">
        <v>505</v>
      </c>
      <c r="D287" t="s">
        <v>1543</v>
      </c>
      <c r="E287" t="s">
        <v>1544</v>
      </c>
      <c r="F287" s="3">
        <v>2</v>
      </c>
      <c r="G287" s="12">
        <f t="shared" si="8"/>
        <v>3.65</v>
      </c>
      <c r="H287" s="12">
        <f t="shared" si="9"/>
        <v>3.11</v>
      </c>
      <c r="I287" s="3">
        <v>6.7666199000000011</v>
      </c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>
        <v>3.11</v>
      </c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>
        <v>3.65</v>
      </c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 s="4"/>
      <c r="GM287" s="4"/>
      <c r="GN287" s="4"/>
      <c r="GO287" s="4"/>
      <c r="GP287" s="4"/>
      <c r="GQ287" s="4"/>
      <c r="GR287" s="4"/>
      <c r="GS287" s="4"/>
      <c r="GT287" s="4"/>
      <c r="GU287" s="4"/>
      <c r="GV287" s="4"/>
      <c r="GW287" s="4"/>
      <c r="GX287" s="4"/>
      <c r="GY287" s="4"/>
      <c r="GZ287" s="4"/>
      <c r="HA287" s="4"/>
      <c r="HB287" s="4"/>
      <c r="HC287" s="4"/>
      <c r="HD287" s="4"/>
      <c r="HE287" s="4"/>
      <c r="HF287" s="4"/>
      <c r="HG287" s="4"/>
      <c r="HH287" s="4"/>
      <c r="HI287" s="4"/>
      <c r="HJ287" s="4"/>
    </row>
    <row r="288" spans="1:218" hidden="1">
      <c r="A288" t="s">
        <v>1468</v>
      </c>
      <c r="B288" t="s">
        <v>1469</v>
      </c>
      <c r="C288" t="s">
        <v>1470</v>
      </c>
      <c r="D288" t="s">
        <v>1471</v>
      </c>
      <c r="E288" t="s">
        <v>1472</v>
      </c>
      <c r="F288" s="3">
        <v>2</v>
      </c>
      <c r="G288" s="12">
        <f t="shared" si="8"/>
        <v>4.45</v>
      </c>
      <c r="H288" s="12">
        <f t="shared" si="9"/>
        <v>3.33</v>
      </c>
      <c r="I288" s="3">
        <v>7.7766699999999993</v>
      </c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>
        <v>3.33</v>
      </c>
      <c r="BM288" s="4"/>
      <c r="BN288" s="4"/>
      <c r="BO288" s="4"/>
      <c r="BP288" s="4"/>
      <c r="BQ288" s="4"/>
      <c r="BR288" s="4"/>
      <c r="BS288" s="4"/>
      <c r="BT288" s="4"/>
      <c r="BU288" s="4">
        <v>4.45</v>
      </c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 s="4"/>
      <c r="GM288" s="4"/>
      <c r="GN288" s="4"/>
      <c r="GO288" s="4"/>
      <c r="GP288" s="4"/>
      <c r="GQ288" s="4"/>
      <c r="GR288" s="4"/>
      <c r="GS288" s="4"/>
      <c r="GT288" s="4"/>
      <c r="GU288" s="4"/>
      <c r="GV288" s="4"/>
      <c r="GW288" s="4"/>
      <c r="GX288" s="4"/>
      <c r="GY288" s="4"/>
      <c r="GZ288" s="4"/>
      <c r="HA288" s="4"/>
      <c r="HB288" s="4"/>
      <c r="HC288" s="4"/>
      <c r="HD288" s="4"/>
      <c r="HE288" s="4"/>
      <c r="HF288" s="4"/>
      <c r="HG288" s="4"/>
      <c r="HH288" s="4"/>
      <c r="HI288" s="4"/>
      <c r="HJ288" s="4"/>
    </row>
    <row r="289" spans="1:218" hidden="1">
      <c r="A289" t="s">
        <v>1562</v>
      </c>
      <c r="B289" t="s">
        <v>1563</v>
      </c>
      <c r="C289" t="s">
        <v>1074</v>
      </c>
      <c r="D289" t="s">
        <v>1564</v>
      </c>
      <c r="E289" t="s">
        <v>1565</v>
      </c>
      <c r="F289" s="3">
        <v>2</v>
      </c>
      <c r="G289" s="12">
        <f t="shared" si="8"/>
        <v>4.26</v>
      </c>
      <c r="H289" s="12">
        <f t="shared" si="9"/>
        <v>2.02</v>
      </c>
      <c r="I289" s="3">
        <v>6.2805396</v>
      </c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>
        <v>4.26</v>
      </c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>
        <v>2.02</v>
      </c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 s="4"/>
      <c r="GM289" s="4"/>
      <c r="GN289" s="4"/>
      <c r="GO289" s="4"/>
      <c r="GP289" s="4"/>
      <c r="GQ289" s="4"/>
      <c r="GR289" s="4"/>
      <c r="GS289" s="4"/>
      <c r="GT289" s="4"/>
      <c r="GU289" s="4"/>
      <c r="GV289" s="4"/>
      <c r="GW289" s="4"/>
      <c r="GX289" s="4"/>
      <c r="GY289" s="4"/>
      <c r="GZ289" s="4"/>
      <c r="HA289" s="4"/>
      <c r="HB289" s="4"/>
      <c r="HC289" s="4"/>
      <c r="HD289" s="4"/>
      <c r="HE289" s="4"/>
      <c r="HF289" s="4"/>
      <c r="HG289" s="4"/>
      <c r="HH289" s="4"/>
      <c r="HI289" s="4"/>
      <c r="HJ289" s="4"/>
    </row>
    <row r="290" spans="1:218" hidden="1">
      <c r="A290" t="s">
        <v>1356</v>
      </c>
      <c r="B290" t="s">
        <v>1357</v>
      </c>
      <c r="C290" t="s">
        <v>443</v>
      </c>
      <c r="D290" t="s">
        <v>1358</v>
      </c>
      <c r="E290" t="s">
        <v>1359</v>
      </c>
      <c r="F290" s="3">
        <v>2</v>
      </c>
      <c r="G290" s="12">
        <f t="shared" si="8"/>
        <v>6.64</v>
      </c>
      <c r="H290" s="12">
        <f t="shared" si="9"/>
        <v>3.43</v>
      </c>
      <c r="I290" s="3">
        <v>10.063579600000001</v>
      </c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>
        <v>6.64</v>
      </c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>
        <v>3.43</v>
      </c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 s="4"/>
      <c r="GM290" s="4"/>
      <c r="GN290" s="4"/>
      <c r="GO290" s="4"/>
      <c r="GP290" s="4"/>
      <c r="GQ290" s="4"/>
      <c r="GR290" s="4"/>
      <c r="GS290" s="4"/>
      <c r="GT290" s="4"/>
      <c r="GU290" s="4"/>
      <c r="GV290" s="4"/>
      <c r="GW290" s="4"/>
      <c r="GX290" s="4"/>
      <c r="GY290" s="4"/>
      <c r="GZ290" s="4"/>
      <c r="HA290" s="4"/>
      <c r="HB290" s="4"/>
      <c r="HC290" s="4"/>
      <c r="HD290" s="4"/>
      <c r="HE290" s="4"/>
      <c r="HF290" s="4"/>
      <c r="HG290" s="4"/>
      <c r="HH290" s="4"/>
      <c r="HI290" s="4"/>
      <c r="HJ290" s="4"/>
    </row>
    <row r="291" spans="1:218" hidden="1">
      <c r="A291" t="s">
        <v>1400</v>
      </c>
      <c r="B291" t="s">
        <v>1401</v>
      </c>
      <c r="C291" t="s">
        <v>505</v>
      </c>
      <c r="D291" t="s">
        <v>942</v>
      </c>
      <c r="E291" t="s">
        <v>1402</v>
      </c>
      <c r="F291" s="3">
        <v>2</v>
      </c>
      <c r="G291" s="12">
        <f t="shared" si="8"/>
        <v>5.29</v>
      </c>
      <c r="H291" s="12">
        <f t="shared" si="9"/>
        <v>3.74</v>
      </c>
      <c r="I291" s="3">
        <v>9.0314101999999998</v>
      </c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>
        <v>5.29</v>
      </c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>
        <v>3.74</v>
      </c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 s="4"/>
      <c r="GM291" s="4"/>
      <c r="GN291" s="4"/>
      <c r="GO291" s="4"/>
      <c r="GP291" s="4"/>
      <c r="GQ291" s="4"/>
      <c r="GR291" s="4"/>
      <c r="GS291" s="4"/>
      <c r="GT291" s="4"/>
      <c r="GU291" s="4"/>
      <c r="GV291" s="4"/>
      <c r="GW291" s="4"/>
      <c r="GX291" s="4"/>
      <c r="GY291" s="4"/>
      <c r="GZ291" s="4"/>
      <c r="HA291" s="4"/>
      <c r="HB291" s="4"/>
      <c r="HC291" s="4"/>
      <c r="HD291" s="4"/>
      <c r="HE291" s="4"/>
      <c r="HF291" s="4"/>
      <c r="HG291" s="4"/>
      <c r="HH291" s="4"/>
      <c r="HI291" s="4"/>
      <c r="HJ291" s="4"/>
    </row>
    <row r="292" spans="1:218" hidden="1">
      <c r="A292" t="s">
        <v>1240</v>
      </c>
      <c r="B292" t="s">
        <v>1241</v>
      </c>
      <c r="C292" t="s">
        <v>590</v>
      </c>
      <c r="D292" t="s">
        <v>1242</v>
      </c>
      <c r="E292" t="s">
        <v>1243</v>
      </c>
      <c r="F292" s="3">
        <v>2</v>
      </c>
      <c r="G292" s="12">
        <f t="shared" si="8"/>
        <v>12.71</v>
      </c>
      <c r="H292" s="12">
        <f t="shared" si="9"/>
        <v>6.31</v>
      </c>
      <c r="I292" s="3">
        <v>19.0257304</v>
      </c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>
        <v>6.31</v>
      </c>
      <c r="GJ292" s="4"/>
      <c r="GK292" s="4">
        <v>12.71</v>
      </c>
      <c r="GL292" s="4"/>
      <c r="GM292" s="4"/>
      <c r="GN292" s="4"/>
      <c r="GO292" s="4"/>
      <c r="GP292" s="4"/>
      <c r="GQ292" s="4"/>
      <c r="GR292" s="4"/>
      <c r="GS292" s="4"/>
      <c r="GT292" s="4"/>
      <c r="GU292" s="4"/>
      <c r="GV292" s="4"/>
      <c r="GW292" s="4"/>
      <c r="GX292" s="4"/>
      <c r="GY292" s="4"/>
      <c r="GZ292" s="4"/>
      <c r="HA292" s="4"/>
      <c r="HB292" s="4"/>
      <c r="HC292" s="4"/>
      <c r="HD292" s="4"/>
      <c r="HE292" s="4"/>
      <c r="HF292" s="4"/>
      <c r="HG292" s="4"/>
      <c r="HH292" s="4"/>
      <c r="HI292" s="4"/>
      <c r="HJ292" s="4"/>
    </row>
    <row r="293" spans="1:218" hidden="1">
      <c r="A293" t="s">
        <v>1473</v>
      </c>
      <c r="B293" t="s">
        <v>1474</v>
      </c>
      <c r="C293" t="s">
        <v>1475</v>
      </c>
      <c r="D293" t="s">
        <v>1476</v>
      </c>
      <c r="E293" t="s">
        <v>1477</v>
      </c>
      <c r="F293" s="3">
        <v>2</v>
      </c>
      <c r="G293" s="12">
        <f t="shared" si="8"/>
        <v>5.67</v>
      </c>
      <c r="H293" s="12">
        <f t="shared" si="9"/>
        <v>2.06</v>
      </c>
      <c r="I293" s="3">
        <v>7.7311000000000014</v>
      </c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>
        <v>5.67</v>
      </c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>
        <v>2.06</v>
      </c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 s="4"/>
      <c r="GM293" s="4"/>
      <c r="GN293" s="4"/>
      <c r="GO293" s="4"/>
      <c r="GP293" s="4"/>
      <c r="GQ293" s="4"/>
      <c r="GR293" s="4"/>
      <c r="GS293" s="4"/>
      <c r="GT293" s="4"/>
      <c r="GU293" s="4"/>
      <c r="GV293" s="4"/>
      <c r="GW293" s="4"/>
      <c r="GX293" s="4"/>
      <c r="GY293" s="4"/>
      <c r="GZ293" s="4"/>
      <c r="HA293" s="4"/>
      <c r="HB293" s="4"/>
      <c r="HC293" s="4"/>
      <c r="HD293" s="4"/>
      <c r="HE293" s="4"/>
      <c r="HF293" s="4"/>
      <c r="HG293" s="4"/>
      <c r="HH293" s="4"/>
      <c r="HI293" s="4"/>
      <c r="HJ293" s="4"/>
    </row>
    <row r="294" spans="1:218" hidden="1">
      <c r="A294" t="s">
        <v>1281</v>
      </c>
      <c r="B294" t="s">
        <v>1282</v>
      </c>
      <c r="C294" t="s">
        <v>1283</v>
      </c>
      <c r="D294" t="s">
        <v>1284</v>
      </c>
      <c r="E294" t="s">
        <v>1285</v>
      </c>
      <c r="F294" s="3">
        <v>2</v>
      </c>
      <c r="G294" s="12">
        <f t="shared" si="8"/>
        <v>7.51</v>
      </c>
      <c r="H294" s="12">
        <f t="shared" si="9"/>
        <v>5.63</v>
      </c>
      <c r="I294" s="3">
        <v>13.1403996</v>
      </c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>
        <v>5.63</v>
      </c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>
        <v>7.51</v>
      </c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 s="4"/>
      <c r="GM294" s="4"/>
      <c r="GN294" s="4"/>
      <c r="GO294" s="4"/>
      <c r="GP294" s="4"/>
      <c r="GQ294" s="4"/>
      <c r="GR294" s="4"/>
      <c r="GS294" s="4"/>
      <c r="GT294" s="4"/>
      <c r="GU294" s="4"/>
      <c r="GV294" s="4"/>
      <c r="GW294" s="4"/>
      <c r="GX294" s="4"/>
      <c r="GY294" s="4"/>
      <c r="GZ294" s="4"/>
      <c r="HA294" s="4"/>
      <c r="HB294" s="4"/>
      <c r="HC294" s="4"/>
      <c r="HD294" s="4"/>
      <c r="HE294" s="4"/>
      <c r="HF294" s="4"/>
      <c r="HG294" s="4"/>
      <c r="HH294" s="4"/>
      <c r="HI294" s="4"/>
      <c r="HJ294" s="4"/>
    </row>
    <row r="295" spans="1:218" hidden="1">
      <c r="A295" t="s">
        <v>1545</v>
      </c>
      <c r="B295" t="s">
        <v>1546</v>
      </c>
      <c r="C295" t="s">
        <v>443</v>
      </c>
      <c r="D295" t="s">
        <v>1547</v>
      </c>
      <c r="E295" t="s">
        <v>1548</v>
      </c>
      <c r="F295" s="3">
        <v>2</v>
      </c>
      <c r="G295" s="12">
        <f t="shared" si="8"/>
        <v>3.82</v>
      </c>
      <c r="H295" s="12">
        <f t="shared" si="9"/>
        <v>2.75</v>
      </c>
      <c r="I295" s="3">
        <v>6.5690399999999993</v>
      </c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>
        <v>2.75</v>
      </c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>
        <v>3.82</v>
      </c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 s="4"/>
      <c r="GM295" s="4"/>
      <c r="GN295" s="4"/>
      <c r="GO295" s="4"/>
      <c r="GP295" s="4"/>
      <c r="GQ295" s="4"/>
      <c r="GR295" s="4"/>
      <c r="GS295" s="4"/>
      <c r="GT295" s="4"/>
      <c r="GU295" s="4"/>
      <c r="GV295" s="4"/>
      <c r="GW295" s="4"/>
      <c r="GX295" s="4"/>
      <c r="GY295" s="4"/>
      <c r="GZ295" s="4"/>
      <c r="HA295" s="4"/>
      <c r="HB295" s="4"/>
      <c r="HC295" s="4"/>
      <c r="HD295" s="4"/>
      <c r="HE295" s="4"/>
      <c r="HF295" s="4"/>
      <c r="HG295" s="4"/>
      <c r="HH295" s="4"/>
      <c r="HI295" s="4"/>
      <c r="HJ295" s="4"/>
    </row>
    <row r="296" spans="1:218" hidden="1">
      <c r="A296" t="s">
        <v>1309</v>
      </c>
      <c r="B296" t="s">
        <v>1310</v>
      </c>
      <c r="C296" t="s">
        <v>505</v>
      </c>
      <c r="D296" t="s">
        <v>1311</v>
      </c>
      <c r="E296" t="s">
        <v>1312</v>
      </c>
      <c r="F296" s="3">
        <v>2</v>
      </c>
      <c r="G296" s="12">
        <f t="shared" si="8"/>
        <v>7.37</v>
      </c>
      <c r="H296" s="12">
        <f t="shared" si="9"/>
        <v>5.08</v>
      </c>
      <c r="I296" s="3">
        <v>12.452030199999999</v>
      </c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>
        <v>5.08</v>
      </c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>
        <v>7.37</v>
      </c>
      <c r="GJ296" s="4"/>
      <c r="GK296" s="4"/>
      <c r="GL296" s="4"/>
      <c r="GM296" s="4"/>
      <c r="GN296" s="4"/>
      <c r="GO296" s="4"/>
      <c r="GP296" s="4"/>
      <c r="GQ296" s="4"/>
      <c r="GR296" s="4"/>
      <c r="GS296" s="4"/>
      <c r="GT296" s="4"/>
      <c r="GU296" s="4"/>
      <c r="GV296" s="4"/>
      <c r="GW296" s="4"/>
      <c r="GX296" s="4"/>
      <c r="GY296" s="4"/>
      <c r="GZ296" s="4"/>
      <c r="HA296" s="4"/>
      <c r="HB296" s="4"/>
      <c r="HC296" s="4"/>
      <c r="HD296" s="4"/>
      <c r="HE296" s="4"/>
      <c r="HF296" s="4"/>
      <c r="HG296" s="4"/>
      <c r="HH296" s="4"/>
      <c r="HI296" s="4"/>
      <c r="HJ296" s="4"/>
    </row>
    <row r="297" spans="1:218" hidden="1">
      <c r="A297" t="s">
        <v>1628</v>
      </c>
      <c r="B297" t="s">
        <v>1629</v>
      </c>
      <c r="C297" t="s">
        <v>792</v>
      </c>
      <c r="D297" t="s">
        <v>1630</v>
      </c>
      <c r="E297" t="s">
        <v>1631</v>
      </c>
      <c r="F297" s="3">
        <v>2</v>
      </c>
      <c r="G297" s="12">
        <f t="shared" si="8"/>
        <v>3.6</v>
      </c>
      <c r="H297" s="12">
        <f t="shared" si="9"/>
        <v>0.86</v>
      </c>
      <c r="I297" s="3">
        <v>4.4584902</v>
      </c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>
        <v>0.86</v>
      </c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 s="4"/>
      <c r="GM297" s="4"/>
      <c r="GN297" s="4"/>
      <c r="GO297" s="4"/>
      <c r="GP297" s="4"/>
      <c r="GQ297" s="4"/>
      <c r="GR297" s="4"/>
      <c r="GS297" s="4"/>
      <c r="GT297" s="4"/>
      <c r="GU297" s="4"/>
      <c r="GV297" s="4"/>
      <c r="GW297" s="4"/>
      <c r="GX297" s="4"/>
      <c r="GY297" s="4"/>
      <c r="GZ297" s="4"/>
      <c r="HA297" s="4"/>
      <c r="HB297" s="4"/>
      <c r="HC297" s="4"/>
      <c r="HD297" s="4"/>
      <c r="HE297" s="4"/>
      <c r="HF297" s="4"/>
      <c r="HG297" s="4"/>
      <c r="HH297" s="4"/>
      <c r="HI297" s="4"/>
      <c r="HJ297" s="4">
        <v>3.6</v>
      </c>
    </row>
    <row r="298" spans="1:218" hidden="1">
      <c r="A298" t="s">
        <v>1262</v>
      </c>
      <c r="B298" t="s">
        <v>1263</v>
      </c>
      <c r="C298" t="s">
        <v>1264</v>
      </c>
      <c r="D298" t="s">
        <v>1265</v>
      </c>
      <c r="E298" t="s">
        <v>1266</v>
      </c>
      <c r="F298" s="3">
        <v>2</v>
      </c>
      <c r="G298" s="12">
        <f t="shared" si="8"/>
        <v>8.15</v>
      </c>
      <c r="H298" s="12">
        <f t="shared" si="9"/>
        <v>6.56</v>
      </c>
      <c r="I298" s="3">
        <v>14.7090605</v>
      </c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>
        <v>8.15</v>
      </c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>
        <v>6.56</v>
      </c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 s="4"/>
      <c r="GM298" s="4"/>
      <c r="GN298" s="4"/>
      <c r="GO298" s="4"/>
      <c r="GP298" s="4"/>
      <c r="GQ298" s="4"/>
      <c r="GR298" s="4"/>
      <c r="GS298" s="4"/>
      <c r="GT298" s="4"/>
      <c r="GU298" s="4"/>
      <c r="GV298" s="4"/>
      <c r="GW298" s="4"/>
      <c r="GX298" s="4"/>
      <c r="GY298" s="4"/>
      <c r="GZ298" s="4"/>
      <c r="HA298" s="4"/>
      <c r="HB298" s="4"/>
      <c r="HC298" s="4"/>
      <c r="HD298" s="4"/>
      <c r="HE298" s="4"/>
      <c r="HF298" s="4"/>
      <c r="HG298" s="4"/>
      <c r="HH298" s="4"/>
      <c r="HI298" s="4"/>
      <c r="HJ298" s="4"/>
    </row>
    <row r="299" spans="1:218" hidden="1">
      <c r="A299" t="s">
        <v>1602</v>
      </c>
      <c r="B299" t="s">
        <v>1603</v>
      </c>
      <c r="C299" t="s">
        <v>963</v>
      </c>
      <c r="D299" t="s">
        <v>1604</v>
      </c>
      <c r="E299" t="s">
        <v>1605</v>
      </c>
      <c r="F299" s="3">
        <v>2</v>
      </c>
      <c r="G299" s="12">
        <f t="shared" si="8"/>
        <v>4.21</v>
      </c>
      <c r="H299" s="12">
        <f t="shared" si="9"/>
        <v>1.36</v>
      </c>
      <c r="I299" s="3">
        <v>5.5767799500000006</v>
      </c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>
        <v>1.36</v>
      </c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>
        <v>4.21</v>
      </c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 s="4"/>
      <c r="GM299" s="4"/>
      <c r="GN299" s="4"/>
      <c r="GO299" s="4"/>
      <c r="GP299" s="4"/>
      <c r="GQ299" s="4"/>
      <c r="GR299" s="4"/>
      <c r="GS299" s="4"/>
      <c r="GT299" s="4"/>
      <c r="GU299" s="4"/>
      <c r="GV299" s="4"/>
      <c r="GW299" s="4"/>
      <c r="GX299" s="4"/>
      <c r="GY299" s="4"/>
      <c r="GZ299" s="4"/>
      <c r="HA299" s="4"/>
      <c r="HB299" s="4"/>
      <c r="HC299" s="4"/>
      <c r="HD299" s="4"/>
      <c r="HE299" s="4"/>
      <c r="HF299" s="4"/>
      <c r="HG299" s="4"/>
      <c r="HH299" s="4"/>
      <c r="HI299" s="4"/>
      <c r="HJ299" s="4"/>
    </row>
    <row r="300" spans="1:218" hidden="1">
      <c r="A300" t="s">
        <v>1570</v>
      </c>
      <c r="B300" t="s">
        <v>1571</v>
      </c>
      <c r="C300" t="s">
        <v>505</v>
      </c>
      <c r="D300" t="s">
        <v>1572</v>
      </c>
      <c r="E300" t="s">
        <v>1573</v>
      </c>
      <c r="F300" s="3">
        <v>2</v>
      </c>
      <c r="G300" s="12">
        <f t="shared" si="8"/>
        <v>3.73</v>
      </c>
      <c r="H300" s="12">
        <f t="shared" si="9"/>
        <v>2.35</v>
      </c>
      <c r="I300" s="3">
        <v>6.0807299999999991</v>
      </c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>
        <v>3.73</v>
      </c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>
        <v>2.35</v>
      </c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 s="4"/>
      <c r="GM300" s="4"/>
      <c r="GN300" s="4"/>
      <c r="GO300" s="4"/>
      <c r="GP300" s="4"/>
      <c r="GQ300" s="4"/>
      <c r="GR300" s="4"/>
      <c r="GS300" s="4"/>
      <c r="GT300" s="4"/>
      <c r="GU300" s="4"/>
      <c r="GV300" s="4"/>
      <c r="GW300" s="4"/>
      <c r="GX300" s="4"/>
      <c r="GY300" s="4"/>
      <c r="GZ300" s="4"/>
      <c r="HA300" s="4"/>
      <c r="HB300" s="4"/>
      <c r="HC300" s="4"/>
      <c r="HD300" s="4"/>
      <c r="HE300" s="4"/>
      <c r="HF300" s="4"/>
      <c r="HG300" s="4"/>
      <c r="HH300" s="4"/>
      <c r="HI300" s="4"/>
      <c r="HJ300" s="4"/>
    </row>
    <row r="301" spans="1:218" hidden="1">
      <c r="A301" t="s">
        <v>1340</v>
      </c>
      <c r="B301" t="s">
        <v>1341</v>
      </c>
      <c r="C301" t="s">
        <v>783</v>
      </c>
      <c r="D301" t="s">
        <v>1342</v>
      </c>
      <c r="E301" t="s">
        <v>1343</v>
      </c>
      <c r="F301" s="3">
        <v>2</v>
      </c>
      <c r="G301" s="12">
        <f t="shared" si="8"/>
        <v>6.11</v>
      </c>
      <c r="H301" s="12">
        <f t="shared" si="9"/>
        <v>4.51</v>
      </c>
      <c r="I301" s="3">
        <v>10.6208995</v>
      </c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>
        <v>4.51</v>
      </c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>
        <v>6.11</v>
      </c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 s="4"/>
      <c r="GM301" s="4"/>
      <c r="GN301" s="4"/>
      <c r="GO301" s="4"/>
      <c r="GP301" s="4"/>
      <c r="GQ301" s="4"/>
      <c r="GR301" s="4"/>
      <c r="GS301" s="4"/>
      <c r="GT301" s="4"/>
      <c r="GU301" s="4"/>
      <c r="GV301" s="4"/>
      <c r="GW301" s="4"/>
      <c r="GX301" s="4"/>
      <c r="GY301" s="4"/>
      <c r="GZ301" s="4"/>
      <c r="HA301" s="4"/>
      <c r="HB301" s="4"/>
      <c r="HC301" s="4"/>
      <c r="HD301" s="4"/>
      <c r="HE301" s="4"/>
      <c r="HF301" s="4"/>
      <c r="HG301" s="4"/>
      <c r="HH301" s="4"/>
      <c r="HI301" s="4"/>
      <c r="HJ301" s="4"/>
    </row>
    <row r="302" spans="1:218" hidden="1">
      <c r="A302" t="s">
        <v>1407</v>
      </c>
      <c r="B302" t="s">
        <v>1408</v>
      </c>
      <c r="C302" t="s">
        <v>443</v>
      </c>
      <c r="D302" t="s">
        <v>1409</v>
      </c>
      <c r="E302" t="s">
        <v>1410</v>
      </c>
      <c r="F302" s="3">
        <v>2</v>
      </c>
      <c r="G302" s="12">
        <f t="shared" si="8"/>
        <v>4.87</v>
      </c>
      <c r="H302" s="12">
        <f t="shared" si="9"/>
        <v>4.09</v>
      </c>
      <c r="I302" s="3">
        <v>8.957390000000002</v>
      </c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>
        <v>4.09</v>
      </c>
      <c r="FU302" s="4">
        <v>4.87</v>
      </c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 s="4"/>
      <c r="GM302" s="4"/>
      <c r="GN302" s="4"/>
      <c r="GO302" s="4"/>
      <c r="GP302" s="4"/>
      <c r="GQ302" s="4"/>
      <c r="GR302" s="4"/>
      <c r="GS302" s="4"/>
      <c r="GT302" s="4"/>
      <c r="GU302" s="4"/>
      <c r="GV302" s="4"/>
      <c r="GW302" s="4"/>
      <c r="GX302" s="4"/>
      <c r="GY302" s="4"/>
      <c r="GZ302" s="4"/>
      <c r="HA302" s="4"/>
      <c r="HB302" s="4"/>
      <c r="HC302" s="4"/>
      <c r="HD302" s="4"/>
      <c r="HE302" s="4"/>
      <c r="HF302" s="4"/>
      <c r="HG302" s="4"/>
      <c r="HH302" s="4"/>
      <c r="HI302" s="4"/>
      <c r="HJ302" s="4"/>
    </row>
    <row r="303" spans="1:218" hidden="1">
      <c r="A303" t="s">
        <v>1580</v>
      </c>
      <c r="B303" t="s">
        <v>1581</v>
      </c>
      <c r="C303" t="s">
        <v>505</v>
      </c>
      <c r="D303" t="s">
        <v>1582</v>
      </c>
      <c r="E303" t="s">
        <v>1583</v>
      </c>
      <c r="F303" s="3">
        <v>2</v>
      </c>
      <c r="G303" s="12">
        <f t="shared" si="8"/>
        <v>3.77</v>
      </c>
      <c r="H303" s="12">
        <f t="shared" si="9"/>
        <v>2.09</v>
      </c>
      <c r="I303" s="3">
        <v>5.8563700000000001</v>
      </c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>
        <v>2.09</v>
      </c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>
        <v>3.77</v>
      </c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 s="4"/>
      <c r="GM303" s="4"/>
      <c r="GN303" s="4"/>
      <c r="GO303" s="4"/>
      <c r="GP303" s="4"/>
      <c r="GQ303" s="4"/>
      <c r="GR303" s="4"/>
      <c r="GS303" s="4"/>
      <c r="GT303" s="4"/>
      <c r="GU303" s="4"/>
      <c r="GV303" s="4"/>
      <c r="GW303" s="4"/>
      <c r="GX303" s="4"/>
      <c r="GY303" s="4"/>
      <c r="GZ303" s="4"/>
      <c r="HA303" s="4"/>
      <c r="HB303" s="4"/>
      <c r="HC303" s="4"/>
      <c r="HD303" s="4"/>
      <c r="HE303" s="4"/>
      <c r="HF303" s="4"/>
      <c r="HG303" s="4"/>
      <c r="HH303" s="4"/>
      <c r="HI303" s="4"/>
      <c r="HJ303" s="4"/>
    </row>
    <row r="304" spans="1:218" hidden="1">
      <c r="A304" t="s">
        <v>1446</v>
      </c>
      <c r="B304" t="s">
        <v>1447</v>
      </c>
      <c r="C304" t="s">
        <v>754</v>
      </c>
      <c r="D304" t="s">
        <v>1448</v>
      </c>
      <c r="E304" t="s">
        <v>1449</v>
      </c>
      <c r="F304" s="3">
        <v>2</v>
      </c>
      <c r="G304" s="12">
        <f t="shared" si="8"/>
        <v>4.5</v>
      </c>
      <c r="H304" s="12">
        <f t="shared" si="9"/>
        <v>3.64</v>
      </c>
      <c r="I304" s="3">
        <v>8.1472601999999998</v>
      </c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>
        <v>4.5</v>
      </c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>
        <v>3.64</v>
      </c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 s="4"/>
      <c r="GM304" s="4"/>
      <c r="GN304" s="4"/>
      <c r="GO304" s="4"/>
      <c r="GP304" s="4"/>
      <c r="GQ304" s="4"/>
      <c r="GR304" s="4"/>
      <c r="GS304" s="4"/>
      <c r="GT304" s="4"/>
      <c r="GU304" s="4"/>
      <c r="GV304" s="4"/>
      <c r="GW304" s="4"/>
      <c r="GX304" s="4"/>
      <c r="GY304" s="4"/>
      <c r="GZ304" s="4"/>
      <c r="HA304" s="4"/>
      <c r="HB304" s="4"/>
      <c r="HC304" s="4"/>
      <c r="HD304" s="4"/>
      <c r="HE304" s="4"/>
      <c r="HF304" s="4"/>
      <c r="HG304" s="4"/>
      <c r="HH304" s="4"/>
      <c r="HI304" s="4"/>
      <c r="HJ304" s="4"/>
    </row>
    <row r="305" spans="1:218" hidden="1">
      <c r="A305" t="s">
        <v>1300</v>
      </c>
      <c r="B305" t="s">
        <v>1301</v>
      </c>
      <c r="C305" t="s">
        <v>489</v>
      </c>
      <c r="D305" t="s">
        <v>490</v>
      </c>
      <c r="E305" t="s">
        <v>490</v>
      </c>
      <c r="F305" s="3">
        <v>2</v>
      </c>
      <c r="G305" s="12">
        <f t="shared" si="8"/>
        <v>8.24</v>
      </c>
      <c r="H305" s="12">
        <f t="shared" si="9"/>
        <v>4.3600000000000003</v>
      </c>
      <c r="I305" s="3">
        <v>12.6001797</v>
      </c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>
        <v>4.3600000000000003</v>
      </c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 s="4"/>
      <c r="GM305" s="4"/>
      <c r="GN305" s="4"/>
      <c r="GO305" s="4"/>
      <c r="GP305" s="4"/>
      <c r="GQ305" s="4"/>
      <c r="GR305" s="4"/>
      <c r="GS305" s="4"/>
      <c r="GT305" s="4"/>
      <c r="GU305" s="4"/>
      <c r="GV305" s="4"/>
      <c r="GW305" s="4"/>
      <c r="GX305" s="4"/>
      <c r="GY305" s="4"/>
      <c r="GZ305" s="4"/>
      <c r="HA305" s="4"/>
      <c r="HB305" s="4"/>
      <c r="HC305" s="4"/>
      <c r="HD305" s="4"/>
      <c r="HE305" s="4">
        <v>8.24</v>
      </c>
      <c r="HF305" s="4"/>
      <c r="HG305" s="4"/>
      <c r="HH305" s="4"/>
      <c r="HI305" s="4"/>
      <c r="HJ305" s="4"/>
    </row>
    <row r="306" spans="1:218" hidden="1">
      <c r="A306" t="s">
        <v>1553</v>
      </c>
      <c r="B306" t="s">
        <v>1554</v>
      </c>
      <c r="C306" t="s">
        <v>484</v>
      </c>
      <c r="D306" t="s">
        <v>1555</v>
      </c>
      <c r="E306" t="s">
        <v>1556</v>
      </c>
      <c r="F306" s="3">
        <v>2</v>
      </c>
      <c r="G306" s="12">
        <f t="shared" si="8"/>
        <v>3.44</v>
      </c>
      <c r="H306" s="12">
        <f t="shared" si="9"/>
        <v>3.05</v>
      </c>
      <c r="I306" s="3">
        <v>6.4884399999999998</v>
      </c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>
        <v>3.44</v>
      </c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>
        <v>3.05</v>
      </c>
      <c r="GJ306" s="4"/>
      <c r="GK306" s="4"/>
      <c r="GL306" s="4"/>
      <c r="GM306" s="4"/>
      <c r="GN306" s="4"/>
      <c r="GO306" s="4"/>
      <c r="GP306" s="4"/>
      <c r="GQ306" s="4"/>
      <c r="GR306" s="4"/>
      <c r="GS306" s="4"/>
      <c r="GT306" s="4"/>
      <c r="GU306" s="4"/>
      <c r="GV306" s="4"/>
      <c r="GW306" s="4"/>
      <c r="GX306" s="4"/>
      <c r="GY306" s="4"/>
      <c r="GZ306" s="4"/>
      <c r="HA306" s="4"/>
      <c r="HB306" s="4"/>
      <c r="HC306" s="4"/>
      <c r="HD306" s="4"/>
      <c r="HE306" s="4"/>
      <c r="HF306" s="4"/>
      <c r="HG306" s="4"/>
      <c r="HH306" s="4"/>
      <c r="HI306" s="4"/>
      <c r="HJ306" s="4"/>
    </row>
    <row r="307" spans="1:218" hidden="1">
      <c r="A307" t="s">
        <v>1332</v>
      </c>
      <c r="B307" t="s">
        <v>1333</v>
      </c>
      <c r="C307" t="s">
        <v>484</v>
      </c>
      <c r="D307" t="s">
        <v>1334</v>
      </c>
      <c r="E307" t="s">
        <v>1335</v>
      </c>
      <c r="F307" s="3">
        <v>2</v>
      </c>
      <c r="G307" s="12">
        <f t="shared" si="8"/>
        <v>7.6</v>
      </c>
      <c r="H307" s="12">
        <f t="shared" si="9"/>
        <v>3.65</v>
      </c>
      <c r="I307" s="3">
        <v>11.249060500000001</v>
      </c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>
        <v>7.6</v>
      </c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>
        <v>3.65</v>
      </c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 s="4"/>
      <c r="GM307" s="4"/>
      <c r="GN307" s="4"/>
      <c r="GO307" s="4"/>
      <c r="GP307" s="4"/>
      <c r="GQ307" s="4"/>
      <c r="GR307" s="4"/>
      <c r="GS307" s="4"/>
      <c r="GT307" s="4"/>
      <c r="GU307" s="4"/>
      <c r="GV307" s="4"/>
      <c r="GW307" s="4"/>
      <c r="GX307" s="4"/>
      <c r="GY307" s="4"/>
      <c r="GZ307" s="4"/>
      <c r="HA307" s="4"/>
      <c r="HB307" s="4"/>
      <c r="HC307" s="4"/>
      <c r="HD307" s="4"/>
      <c r="HE307" s="4"/>
      <c r="HF307" s="4"/>
      <c r="HG307" s="4"/>
      <c r="HH307" s="4"/>
      <c r="HI307" s="4"/>
      <c r="HJ307" s="4"/>
    </row>
    <row r="308" spans="1:218" hidden="1">
      <c r="A308" t="s">
        <v>1336</v>
      </c>
      <c r="B308" t="s">
        <v>1337</v>
      </c>
      <c r="C308" t="s">
        <v>489</v>
      </c>
      <c r="D308" t="s">
        <v>490</v>
      </c>
      <c r="E308" t="s">
        <v>490</v>
      </c>
      <c r="F308" s="3">
        <v>2</v>
      </c>
      <c r="G308" s="12">
        <f t="shared" si="8"/>
        <v>10.26</v>
      </c>
      <c r="H308" s="12">
        <f t="shared" si="9"/>
        <v>0.94</v>
      </c>
      <c r="I308" s="3">
        <v>11.191549999999999</v>
      </c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>
        <v>0.94</v>
      </c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>
        <v>10.26</v>
      </c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 s="4"/>
      <c r="GM308" s="4"/>
      <c r="GN308" s="4"/>
      <c r="GO308" s="4"/>
      <c r="GP308" s="4"/>
      <c r="GQ308" s="4"/>
      <c r="GR308" s="4"/>
      <c r="GS308" s="4"/>
      <c r="GT308" s="4"/>
      <c r="GU308" s="4"/>
      <c r="GV308" s="4"/>
      <c r="GW308" s="4"/>
      <c r="GX308" s="4"/>
      <c r="GY308" s="4"/>
      <c r="GZ308" s="4"/>
      <c r="HA308" s="4"/>
      <c r="HB308" s="4"/>
      <c r="HC308" s="4"/>
      <c r="HD308" s="4"/>
      <c r="HE308" s="4"/>
      <c r="HF308" s="4"/>
      <c r="HG308" s="4"/>
      <c r="HH308" s="4"/>
      <c r="HI308" s="4"/>
      <c r="HJ308" s="4"/>
    </row>
    <row r="309" spans="1:218" hidden="1">
      <c r="A309" t="s">
        <v>1307</v>
      </c>
      <c r="B309" t="s">
        <v>1308</v>
      </c>
      <c r="C309" t="s">
        <v>489</v>
      </c>
      <c r="D309" t="s">
        <v>490</v>
      </c>
      <c r="E309" t="s">
        <v>490</v>
      </c>
      <c r="F309" s="3">
        <v>2</v>
      </c>
      <c r="G309" s="12">
        <f t="shared" si="8"/>
        <v>6.48</v>
      </c>
      <c r="H309" s="12">
        <f t="shared" si="9"/>
        <v>6.05</v>
      </c>
      <c r="I309" s="3">
        <v>12.5265796</v>
      </c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>
        <v>6.05</v>
      </c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>
        <v>6.48</v>
      </c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 s="4"/>
      <c r="GM309" s="4"/>
      <c r="GN309" s="4"/>
      <c r="GO309" s="4"/>
      <c r="GP309" s="4"/>
      <c r="GQ309" s="4"/>
      <c r="GR309" s="4"/>
      <c r="GS309" s="4"/>
      <c r="GT309" s="4"/>
      <c r="GU309" s="4"/>
      <c r="GV309" s="4"/>
      <c r="GW309" s="4"/>
      <c r="GX309" s="4"/>
      <c r="GY309" s="4"/>
      <c r="GZ309" s="4"/>
      <c r="HA309" s="4"/>
      <c r="HB309" s="4"/>
      <c r="HC309" s="4"/>
      <c r="HD309" s="4"/>
      <c r="HE309" s="4"/>
      <c r="HF309" s="4"/>
      <c r="HG309" s="4"/>
      <c r="HH309" s="4"/>
      <c r="HI309" s="4"/>
      <c r="HJ309" s="4"/>
    </row>
    <row r="310" spans="1:218" hidden="1">
      <c r="A310" t="s">
        <v>1462</v>
      </c>
      <c r="B310" t="s">
        <v>1463</v>
      </c>
      <c r="C310" t="s">
        <v>489</v>
      </c>
      <c r="D310" t="s">
        <v>490</v>
      </c>
      <c r="E310" t="s">
        <v>490</v>
      </c>
      <c r="F310" s="3">
        <v>2</v>
      </c>
      <c r="G310" s="12">
        <f t="shared" si="8"/>
        <v>4.22</v>
      </c>
      <c r="H310" s="12">
        <f t="shared" si="9"/>
        <v>3.67</v>
      </c>
      <c r="I310" s="3">
        <v>7.8932399999999996</v>
      </c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>
        <v>3.67</v>
      </c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>
        <v>4.22</v>
      </c>
      <c r="GH310" s="4"/>
      <c r="GI310" s="4"/>
      <c r="GJ310" s="4"/>
      <c r="GK310" s="4"/>
      <c r="GL310" s="4"/>
      <c r="GM310" s="4"/>
      <c r="GN310" s="4"/>
      <c r="GO310" s="4"/>
      <c r="GP310" s="4"/>
      <c r="GQ310" s="4"/>
      <c r="GR310" s="4"/>
      <c r="GS310" s="4"/>
      <c r="GT310" s="4"/>
      <c r="GU310" s="4"/>
      <c r="GV310" s="4"/>
      <c r="GW310" s="4"/>
      <c r="GX310" s="4"/>
      <c r="GY310" s="4"/>
      <c r="GZ310" s="4"/>
      <c r="HA310" s="4"/>
      <c r="HB310" s="4"/>
      <c r="HC310" s="4"/>
      <c r="HD310" s="4"/>
      <c r="HE310" s="4"/>
      <c r="HF310" s="4"/>
      <c r="HG310" s="4"/>
      <c r="HH310" s="4"/>
      <c r="HI310" s="4"/>
      <c r="HJ310" s="4"/>
    </row>
    <row r="311" spans="1:218" hidden="1">
      <c r="A311" t="s">
        <v>1392</v>
      </c>
      <c r="B311" t="s">
        <v>1393</v>
      </c>
      <c r="C311" t="s">
        <v>1055</v>
      </c>
      <c r="D311" t="s">
        <v>1394</v>
      </c>
      <c r="E311" t="s">
        <v>1395</v>
      </c>
      <c r="F311" s="3">
        <v>2</v>
      </c>
      <c r="G311" s="12">
        <f t="shared" si="8"/>
        <v>5.34</v>
      </c>
      <c r="H311" s="12">
        <f t="shared" si="9"/>
        <v>3.72</v>
      </c>
      <c r="I311" s="3">
        <v>9.0667200000000001</v>
      </c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>
        <v>3.72</v>
      </c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>
        <v>5.34</v>
      </c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 s="4"/>
      <c r="GM311" s="4"/>
      <c r="GN311" s="4"/>
      <c r="GO311" s="4"/>
      <c r="GP311" s="4"/>
      <c r="GQ311" s="4"/>
      <c r="GR311" s="4"/>
      <c r="GS311" s="4"/>
      <c r="GT311" s="4"/>
      <c r="GU311" s="4"/>
      <c r="GV311" s="4"/>
      <c r="GW311" s="4"/>
      <c r="GX311" s="4"/>
      <c r="GY311" s="4"/>
      <c r="GZ311" s="4"/>
      <c r="HA311" s="4"/>
      <c r="HB311" s="4"/>
      <c r="HC311" s="4"/>
      <c r="HD311" s="4"/>
      <c r="HE311" s="4"/>
      <c r="HF311" s="4"/>
      <c r="HG311" s="4"/>
      <c r="HH311" s="4"/>
      <c r="HI311" s="4"/>
      <c r="HJ311" s="4"/>
    </row>
    <row r="312" spans="1:218" hidden="1">
      <c r="A312" t="s">
        <v>1338</v>
      </c>
      <c r="B312" t="s">
        <v>1339</v>
      </c>
      <c r="C312" t="s">
        <v>489</v>
      </c>
      <c r="D312" t="s">
        <v>490</v>
      </c>
      <c r="E312" t="s">
        <v>490</v>
      </c>
      <c r="F312" s="3">
        <v>2</v>
      </c>
      <c r="G312" s="12">
        <f t="shared" si="8"/>
        <v>8.2200000000000006</v>
      </c>
      <c r="H312" s="12">
        <f t="shared" si="9"/>
        <v>2.83</v>
      </c>
      <c r="I312" s="3">
        <v>11.0586801</v>
      </c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>
        <v>8.2200000000000006</v>
      </c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>
        <v>2.83</v>
      </c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 s="4"/>
      <c r="GM312" s="4"/>
      <c r="GN312" s="4"/>
      <c r="GO312" s="4"/>
      <c r="GP312" s="4"/>
      <c r="GQ312" s="4"/>
      <c r="GR312" s="4"/>
      <c r="GS312" s="4"/>
      <c r="GT312" s="4"/>
      <c r="GU312" s="4"/>
      <c r="GV312" s="4"/>
      <c r="GW312" s="4"/>
      <c r="GX312" s="4"/>
      <c r="GY312" s="4"/>
      <c r="GZ312" s="4"/>
      <c r="HA312" s="4"/>
      <c r="HB312" s="4"/>
      <c r="HC312" s="4"/>
      <c r="HD312" s="4"/>
      <c r="HE312" s="4"/>
      <c r="HF312" s="4"/>
      <c r="HG312" s="4"/>
      <c r="HH312" s="4"/>
      <c r="HI312" s="4"/>
      <c r="HJ312" s="4"/>
    </row>
    <row r="313" spans="1:218" hidden="1">
      <c r="A313" t="s">
        <v>1578</v>
      </c>
      <c r="B313" t="s">
        <v>1579</v>
      </c>
      <c r="C313" t="s">
        <v>489</v>
      </c>
      <c r="D313" t="s">
        <v>490</v>
      </c>
      <c r="E313" t="s">
        <v>490</v>
      </c>
      <c r="F313" s="3">
        <v>2</v>
      </c>
      <c r="G313" s="12">
        <f t="shared" si="8"/>
        <v>3.79</v>
      </c>
      <c r="H313" s="12">
        <f t="shared" si="9"/>
        <v>2.27</v>
      </c>
      <c r="I313" s="3">
        <v>6.0601399999999996</v>
      </c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>
        <v>3.79</v>
      </c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>
        <v>2.27</v>
      </c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 s="4"/>
      <c r="GM313" s="4"/>
      <c r="GN313" s="4"/>
      <c r="GO313" s="4"/>
      <c r="GP313" s="4"/>
      <c r="GQ313" s="4"/>
      <c r="GR313" s="4"/>
      <c r="GS313" s="4"/>
      <c r="GT313" s="4"/>
      <c r="GU313" s="4"/>
      <c r="GV313" s="4"/>
      <c r="GW313" s="4"/>
      <c r="GX313" s="4"/>
      <c r="GY313" s="4"/>
      <c r="GZ313" s="4"/>
      <c r="HA313" s="4"/>
      <c r="HB313" s="4"/>
      <c r="HC313" s="4"/>
      <c r="HD313" s="4"/>
      <c r="HE313" s="4"/>
      <c r="HF313" s="4"/>
      <c r="HG313" s="4"/>
      <c r="HH313" s="4"/>
      <c r="HI313" s="4"/>
      <c r="HJ313" s="4"/>
    </row>
    <row r="314" spans="1:218" hidden="1">
      <c r="A314" t="s">
        <v>1636</v>
      </c>
      <c r="B314" t="s">
        <v>1637</v>
      </c>
      <c r="C314" t="s">
        <v>489</v>
      </c>
      <c r="D314" t="s">
        <v>490</v>
      </c>
      <c r="E314" t="s">
        <v>490</v>
      </c>
      <c r="F314" s="3">
        <v>2</v>
      </c>
      <c r="G314" s="12">
        <f t="shared" si="8"/>
        <v>2.98</v>
      </c>
      <c r="H314" s="12">
        <f t="shared" si="9"/>
        <v>0.96</v>
      </c>
      <c r="I314" s="3">
        <v>3.9432299999999998</v>
      </c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>
        <v>2.98</v>
      </c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>
        <v>0.96</v>
      </c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 s="4"/>
      <c r="GM314" s="4"/>
      <c r="GN314" s="4"/>
      <c r="GO314" s="4"/>
      <c r="GP314" s="4"/>
      <c r="GQ314" s="4"/>
      <c r="GR314" s="4"/>
      <c r="GS314" s="4"/>
      <c r="GT314" s="4"/>
      <c r="GU314" s="4"/>
      <c r="GV314" s="4"/>
      <c r="GW314" s="4"/>
      <c r="GX314" s="4"/>
      <c r="GY314" s="4"/>
      <c r="GZ314" s="4"/>
      <c r="HA314" s="4"/>
      <c r="HB314" s="4"/>
      <c r="HC314" s="4"/>
      <c r="HD314" s="4"/>
      <c r="HE314" s="4"/>
      <c r="HF314" s="4"/>
      <c r="HG314" s="4"/>
      <c r="HH314" s="4"/>
      <c r="HI314" s="4"/>
      <c r="HJ314" s="4"/>
    </row>
    <row r="315" spans="1:218" hidden="1">
      <c r="A315" t="s">
        <v>1272</v>
      </c>
      <c r="B315" t="s">
        <v>1273</v>
      </c>
      <c r="C315" t="s">
        <v>505</v>
      </c>
      <c r="D315" t="s">
        <v>1274</v>
      </c>
      <c r="E315" t="s">
        <v>1275</v>
      </c>
      <c r="F315" s="3">
        <v>2</v>
      </c>
      <c r="G315" s="12">
        <f t="shared" si="8"/>
        <v>9.25</v>
      </c>
      <c r="H315" s="12">
        <f t="shared" si="9"/>
        <v>4.3600000000000003</v>
      </c>
      <c r="I315" s="3">
        <v>13.6110492</v>
      </c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>
        <v>9.25</v>
      </c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>
        <v>4.3600000000000003</v>
      </c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 s="4"/>
      <c r="GM315" s="4"/>
      <c r="GN315" s="4"/>
      <c r="GO315" s="4"/>
      <c r="GP315" s="4"/>
      <c r="GQ315" s="4"/>
      <c r="GR315" s="4"/>
      <c r="GS315" s="4"/>
      <c r="GT315" s="4"/>
      <c r="GU315" s="4"/>
      <c r="GV315" s="4"/>
      <c r="GW315" s="4"/>
      <c r="GX315" s="4"/>
      <c r="GY315" s="4"/>
      <c r="GZ315" s="4"/>
      <c r="HA315" s="4"/>
      <c r="HB315" s="4"/>
      <c r="HC315" s="4"/>
      <c r="HD315" s="4"/>
      <c r="HE315" s="4"/>
      <c r="HF315" s="4"/>
      <c r="HG315" s="4"/>
      <c r="HH315" s="4"/>
      <c r="HI315" s="4"/>
      <c r="HJ315" s="4"/>
    </row>
    <row r="316" spans="1:218" hidden="1">
      <c r="A316" t="s">
        <v>1294</v>
      </c>
      <c r="B316" t="s">
        <v>1295</v>
      </c>
      <c r="C316" t="s">
        <v>489</v>
      </c>
      <c r="D316" t="s">
        <v>490</v>
      </c>
      <c r="E316" t="s">
        <v>490</v>
      </c>
      <c r="F316" s="3">
        <v>2</v>
      </c>
      <c r="G316" s="12">
        <f t="shared" si="8"/>
        <v>8.86</v>
      </c>
      <c r="H316" s="12">
        <f t="shared" si="9"/>
        <v>3.91</v>
      </c>
      <c r="I316" s="3">
        <v>12.76587</v>
      </c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>
        <v>3.91</v>
      </c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>
        <v>8.86</v>
      </c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 s="4"/>
      <c r="GM316" s="4"/>
      <c r="GN316" s="4"/>
      <c r="GO316" s="4"/>
      <c r="GP316" s="4"/>
      <c r="GQ316" s="4"/>
      <c r="GR316" s="4"/>
      <c r="GS316" s="4"/>
      <c r="GT316" s="4"/>
      <c r="GU316" s="4"/>
      <c r="GV316" s="4"/>
      <c r="GW316" s="4"/>
      <c r="GX316" s="4"/>
      <c r="GY316" s="4"/>
      <c r="GZ316" s="4"/>
      <c r="HA316" s="4"/>
      <c r="HB316" s="4"/>
      <c r="HC316" s="4"/>
      <c r="HD316" s="4"/>
      <c r="HE316" s="4"/>
      <c r="HF316" s="4"/>
      <c r="HG316" s="4"/>
      <c r="HH316" s="4"/>
      <c r="HI316" s="4"/>
      <c r="HJ316" s="4"/>
    </row>
    <row r="317" spans="1:218" hidden="1">
      <c r="A317" t="s">
        <v>1574</v>
      </c>
      <c r="B317" t="s">
        <v>1575</v>
      </c>
      <c r="C317" t="s">
        <v>1055</v>
      </c>
      <c r="D317" t="s">
        <v>1576</v>
      </c>
      <c r="E317" t="s">
        <v>1577</v>
      </c>
      <c r="F317" s="3">
        <v>2</v>
      </c>
      <c r="G317" s="12">
        <f t="shared" si="8"/>
        <v>3.56</v>
      </c>
      <c r="H317" s="12" t="e">
        <f t="shared" si="9"/>
        <v>#NUM!</v>
      </c>
      <c r="I317" s="3">
        <v>6.0787097000000001</v>
      </c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>
        <v>3.56</v>
      </c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 s="4"/>
      <c r="GM317" s="4"/>
      <c r="GN317" s="4"/>
      <c r="GO317" s="4"/>
      <c r="GP317" s="4"/>
      <c r="GQ317" s="4"/>
      <c r="GR317" s="4"/>
      <c r="GS317" s="4"/>
      <c r="GT317" s="4"/>
      <c r="GU317" s="4"/>
      <c r="GV317" s="4"/>
      <c r="GW317" s="4"/>
      <c r="GX317" s="4"/>
      <c r="GY317" s="4"/>
      <c r="GZ317" s="4"/>
      <c r="HA317" s="4"/>
      <c r="HB317" s="4"/>
      <c r="HC317" s="4"/>
      <c r="HD317" s="4"/>
      <c r="HE317" s="4"/>
      <c r="HF317" s="4"/>
      <c r="HG317" s="4"/>
      <c r="HH317" s="4"/>
      <c r="HI317" s="4"/>
      <c r="HJ317" s="4"/>
    </row>
    <row r="318" spans="1:218" hidden="1">
      <c r="A318" t="s">
        <v>1495</v>
      </c>
      <c r="B318" t="s">
        <v>1496</v>
      </c>
      <c r="C318" t="s">
        <v>489</v>
      </c>
      <c r="D318" t="s">
        <v>490</v>
      </c>
      <c r="E318" t="s">
        <v>490</v>
      </c>
      <c r="F318" s="3">
        <v>2</v>
      </c>
      <c r="G318" s="12">
        <f t="shared" si="8"/>
        <v>3.8</v>
      </c>
      <c r="H318" s="12">
        <f t="shared" si="9"/>
        <v>3.6</v>
      </c>
      <c r="I318" s="3">
        <v>7.4003299999999994</v>
      </c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>
        <v>3.8</v>
      </c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>
        <v>3.6</v>
      </c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 s="4"/>
      <c r="GM318" s="4"/>
      <c r="GN318" s="4"/>
      <c r="GO318" s="4"/>
      <c r="GP318" s="4"/>
      <c r="GQ318" s="4"/>
      <c r="GR318" s="4"/>
      <c r="GS318" s="4"/>
      <c r="GT318" s="4"/>
      <c r="GU318" s="4"/>
      <c r="GV318" s="4"/>
      <c r="GW318" s="4"/>
      <c r="GX318" s="4"/>
      <c r="GY318" s="4"/>
      <c r="GZ318" s="4"/>
      <c r="HA318" s="4"/>
      <c r="HB318" s="4"/>
      <c r="HC318" s="4"/>
      <c r="HD318" s="4"/>
      <c r="HE318" s="4"/>
      <c r="HF318" s="4"/>
      <c r="HG318" s="4"/>
      <c r="HH318" s="4"/>
      <c r="HI318" s="4"/>
      <c r="HJ318" s="4"/>
    </row>
    <row r="319" spans="1:218" hidden="1">
      <c r="A319" t="s">
        <v>1427</v>
      </c>
      <c r="B319" t="s">
        <v>1428</v>
      </c>
      <c r="C319" t="s">
        <v>489</v>
      </c>
      <c r="D319" t="s">
        <v>490</v>
      </c>
      <c r="E319" t="s">
        <v>490</v>
      </c>
      <c r="F319" s="3">
        <v>2</v>
      </c>
      <c r="G319" s="12">
        <f t="shared" si="8"/>
        <v>4.72</v>
      </c>
      <c r="H319" s="12">
        <f t="shared" si="9"/>
        <v>3.74</v>
      </c>
      <c r="I319" s="3">
        <v>8.4552099999999992</v>
      </c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>
        <v>4.72</v>
      </c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>
        <v>3.74</v>
      </c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 s="4"/>
      <c r="GM319" s="4"/>
      <c r="GN319" s="4"/>
      <c r="GO319" s="4"/>
      <c r="GP319" s="4"/>
      <c r="GQ319" s="4"/>
      <c r="GR319" s="4"/>
      <c r="GS319" s="4"/>
      <c r="GT319" s="4"/>
      <c r="GU319" s="4"/>
      <c r="GV319" s="4"/>
      <c r="GW319" s="4"/>
      <c r="GX319" s="4"/>
      <c r="GY319" s="4"/>
      <c r="GZ319" s="4"/>
      <c r="HA319" s="4"/>
      <c r="HB319" s="4"/>
      <c r="HC319" s="4"/>
      <c r="HD319" s="4"/>
      <c r="HE319" s="4"/>
      <c r="HF319" s="4"/>
      <c r="HG319" s="4"/>
      <c r="HH319" s="4"/>
      <c r="HI319" s="4"/>
      <c r="HJ319" s="4"/>
    </row>
    <row r="320" spans="1:218" hidden="1">
      <c r="A320" t="s">
        <v>1600</v>
      </c>
      <c r="B320" t="s">
        <v>1601</v>
      </c>
      <c r="C320" t="s">
        <v>489</v>
      </c>
      <c r="D320" t="s">
        <v>490</v>
      </c>
      <c r="E320" t="s">
        <v>490</v>
      </c>
      <c r="F320" s="3">
        <v>2</v>
      </c>
      <c r="G320" s="12">
        <f t="shared" si="8"/>
        <v>2.96</v>
      </c>
      <c r="H320" s="12">
        <f t="shared" si="9"/>
        <v>2.67</v>
      </c>
      <c r="I320" s="3">
        <v>5.62453</v>
      </c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>
        <v>2.67</v>
      </c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 s="4"/>
      <c r="GM320" s="4"/>
      <c r="GN320" s="4"/>
      <c r="GO320" s="4"/>
      <c r="GP320" s="4"/>
      <c r="GQ320" s="4"/>
      <c r="GR320" s="4">
        <v>2.96</v>
      </c>
      <c r="GS320" s="4"/>
      <c r="GT320" s="4"/>
      <c r="GU320" s="4"/>
      <c r="GV320" s="4"/>
      <c r="GW320" s="4"/>
      <c r="GX320" s="4"/>
      <c r="GY320" s="4"/>
      <c r="GZ320" s="4"/>
      <c r="HA320" s="4"/>
      <c r="HB320" s="4"/>
      <c r="HC320" s="4"/>
      <c r="HD320" s="4"/>
      <c r="HE320" s="4"/>
      <c r="HF320" s="4"/>
      <c r="HG320" s="4"/>
      <c r="HH320" s="4"/>
      <c r="HI320" s="4"/>
      <c r="HJ320" s="4"/>
    </row>
    <row r="321" spans="1:218" hidden="1">
      <c r="A321" t="s">
        <v>1313</v>
      </c>
      <c r="B321" t="s">
        <v>1314</v>
      </c>
      <c r="C321" t="s">
        <v>489</v>
      </c>
      <c r="D321" t="s">
        <v>490</v>
      </c>
      <c r="E321" t="s">
        <v>490</v>
      </c>
      <c r="F321" s="3">
        <v>2</v>
      </c>
      <c r="G321" s="12">
        <f t="shared" si="8"/>
        <v>10.16</v>
      </c>
      <c r="H321" s="12">
        <f t="shared" si="9"/>
        <v>1.88</v>
      </c>
      <c r="I321" s="3">
        <v>12.043480000000001</v>
      </c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>
        <v>10.16</v>
      </c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>
        <v>1.88</v>
      </c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 s="4"/>
      <c r="GM321" s="4"/>
      <c r="GN321" s="4"/>
      <c r="GO321" s="4"/>
      <c r="GP321" s="4"/>
      <c r="GQ321" s="4"/>
      <c r="GR321" s="4"/>
      <c r="GS321" s="4"/>
      <c r="GT321" s="4"/>
      <c r="GU321" s="4"/>
      <c r="GV321" s="4"/>
      <c r="GW321" s="4"/>
      <c r="GX321" s="4"/>
      <c r="GY321" s="4"/>
      <c r="GZ321" s="4"/>
      <c r="HA321" s="4"/>
      <c r="HB321" s="4"/>
      <c r="HC321" s="4"/>
      <c r="HD321" s="4"/>
      <c r="HE321" s="4"/>
      <c r="HF321" s="4"/>
      <c r="HG321" s="4"/>
      <c r="HH321" s="4"/>
      <c r="HI321" s="4"/>
      <c r="HJ321" s="4"/>
    </row>
    <row r="322" spans="1:218" hidden="1">
      <c r="A322" t="s">
        <v>1372</v>
      </c>
      <c r="B322" t="s">
        <v>1373</v>
      </c>
      <c r="C322" t="s">
        <v>489</v>
      </c>
      <c r="D322" t="s">
        <v>490</v>
      </c>
      <c r="E322" t="s">
        <v>490</v>
      </c>
      <c r="F322" s="3">
        <v>2</v>
      </c>
      <c r="G322" s="12">
        <f t="shared" si="8"/>
        <v>6.55</v>
      </c>
      <c r="H322" s="12">
        <f t="shared" si="9"/>
        <v>3.15</v>
      </c>
      <c r="I322" s="3">
        <v>9.6974999999999998</v>
      </c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>
        <v>3.15</v>
      </c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>
        <v>6.55</v>
      </c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 s="4"/>
      <c r="GM322" s="4"/>
      <c r="GN322" s="4"/>
      <c r="GO322" s="4"/>
      <c r="GP322" s="4"/>
      <c r="GQ322" s="4"/>
      <c r="GR322" s="4"/>
      <c r="GS322" s="4"/>
      <c r="GT322" s="4"/>
      <c r="GU322" s="4"/>
      <c r="GV322" s="4"/>
      <c r="GW322" s="4"/>
      <c r="GX322" s="4"/>
      <c r="GY322" s="4"/>
      <c r="GZ322" s="4"/>
      <c r="HA322" s="4"/>
      <c r="HB322" s="4"/>
      <c r="HC322" s="4"/>
      <c r="HD322" s="4"/>
      <c r="HE322" s="4"/>
      <c r="HF322" s="4"/>
      <c r="HG322" s="4"/>
      <c r="HH322" s="4"/>
      <c r="HI322" s="4"/>
      <c r="HJ322" s="4"/>
    </row>
    <row r="323" spans="1:218" hidden="1">
      <c r="A323" t="s">
        <v>1632</v>
      </c>
      <c r="B323" t="s">
        <v>1633</v>
      </c>
      <c r="C323" t="s">
        <v>1055</v>
      </c>
      <c r="D323" t="s">
        <v>1634</v>
      </c>
      <c r="E323" t="s">
        <v>1635</v>
      </c>
      <c r="F323" s="3">
        <v>2</v>
      </c>
      <c r="G323" s="12">
        <f t="shared" si="8"/>
        <v>2.4300000000000002</v>
      </c>
      <c r="H323" s="12">
        <f t="shared" si="9"/>
        <v>1.83</v>
      </c>
      <c r="I323" s="3">
        <v>4.2577999999999996</v>
      </c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>
        <v>2.4300000000000002</v>
      </c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>
        <v>1.83</v>
      </c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 s="4"/>
      <c r="GM323" s="4"/>
      <c r="GN323" s="4"/>
      <c r="GO323" s="4"/>
      <c r="GP323" s="4"/>
      <c r="GQ323" s="4"/>
      <c r="GR323" s="4"/>
      <c r="GS323" s="4"/>
      <c r="GT323" s="4"/>
      <c r="GU323" s="4"/>
      <c r="GV323" s="4"/>
      <c r="GW323" s="4"/>
      <c r="GX323" s="4"/>
      <c r="GY323" s="4"/>
      <c r="GZ323" s="4"/>
      <c r="HA323" s="4"/>
      <c r="HB323" s="4"/>
      <c r="HC323" s="4"/>
      <c r="HD323" s="4"/>
      <c r="HE323" s="4"/>
      <c r="HF323" s="4"/>
      <c r="HG323" s="4"/>
      <c r="HH323" s="4"/>
      <c r="HI323" s="4"/>
      <c r="HJ323" s="4"/>
    </row>
    <row r="324" spans="1:218" hidden="1">
      <c r="A324" t="s">
        <v>1390</v>
      </c>
      <c r="B324" t="s">
        <v>1391</v>
      </c>
      <c r="C324" t="s">
        <v>489</v>
      </c>
      <c r="D324" t="s">
        <v>490</v>
      </c>
      <c r="E324" t="s">
        <v>490</v>
      </c>
      <c r="F324" s="3">
        <v>2</v>
      </c>
      <c r="G324" s="12">
        <f t="shared" si="8"/>
        <v>4.76</v>
      </c>
      <c r="H324" s="12">
        <f t="shared" si="9"/>
        <v>4.3099999999999996</v>
      </c>
      <c r="I324" s="3">
        <v>9.0711202999999987</v>
      </c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>
        <v>4.76</v>
      </c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 s="4"/>
      <c r="GM324" s="4"/>
      <c r="GN324" s="4"/>
      <c r="GO324" s="4"/>
      <c r="GP324" s="4"/>
      <c r="GQ324" s="4"/>
      <c r="GR324" s="4"/>
      <c r="GS324" s="4"/>
      <c r="GT324" s="4"/>
      <c r="GU324" s="4"/>
      <c r="GV324" s="4">
        <v>4.3099999999999996</v>
      </c>
      <c r="GW324" s="4"/>
      <c r="GX324" s="4"/>
      <c r="GY324" s="4"/>
      <c r="GZ324" s="4"/>
      <c r="HA324" s="4"/>
      <c r="HB324" s="4"/>
      <c r="HC324" s="4"/>
      <c r="HD324" s="4"/>
      <c r="HE324" s="4"/>
      <c r="HF324" s="4"/>
      <c r="HG324" s="4"/>
      <c r="HH324" s="4"/>
      <c r="HI324" s="4"/>
      <c r="HJ324" s="4"/>
    </row>
    <row r="325" spans="1:218" hidden="1">
      <c r="A325" t="s">
        <v>2575</v>
      </c>
      <c r="B325" t="s">
        <v>2576</v>
      </c>
      <c r="C325" t="s">
        <v>505</v>
      </c>
      <c r="D325" t="s">
        <v>2577</v>
      </c>
      <c r="E325" t="s">
        <v>2578</v>
      </c>
      <c r="F325" s="3">
        <v>1</v>
      </c>
      <c r="G325" s="12">
        <f t="shared" si="8"/>
        <v>3.46</v>
      </c>
      <c r="H325" s="12" t="e">
        <f t="shared" si="9"/>
        <v>#NUM!</v>
      </c>
      <c r="I325" s="3">
        <v>3.4629500000000002</v>
      </c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>
        <v>3.46</v>
      </c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 s="4"/>
      <c r="GM325" s="4"/>
      <c r="GN325" s="4"/>
      <c r="GO325" s="4"/>
      <c r="GP325" s="4"/>
      <c r="GQ325" s="4"/>
      <c r="GR325" s="4"/>
      <c r="GS325" s="4"/>
      <c r="GT325" s="4"/>
      <c r="GU325" s="4"/>
      <c r="GV325" s="4"/>
      <c r="GW325" s="4"/>
      <c r="GX325" s="4"/>
      <c r="GY325" s="4"/>
      <c r="GZ325" s="4"/>
      <c r="HA325" s="4"/>
      <c r="HB325" s="4"/>
      <c r="HC325" s="4"/>
      <c r="HD325" s="4"/>
      <c r="HE325" s="4"/>
      <c r="HF325" s="4"/>
      <c r="HG325" s="4"/>
      <c r="HH325" s="4"/>
      <c r="HI325" s="4"/>
      <c r="HJ325" s="4"/>
    </row>
    <row r="326" spans="1:218" hidden="1">
      <c r="A326" t="s">
        <v>1689</v>
      </c>
      <c r="B326" t="s">
        <v>1690</v>
      </c>
      <c r="C326" t="s">
        <v>585</v>
      </c>
      <c r="D326" t="s">
        <v>1691</v>
      </c>
      <c r="E326" t="s">
        <v>1692</v>
      </c>
      <c r="F326" s="3">
        <v>1</v>
      </c>
      <c r="G326" s="12">
        <f t="shared" si="8"/>
        <v>8.64</v>
      </c>
      <c r="H326" s="12" t="e">
        <f t="shared" si="9"/>
        <v>#NUM!</v>
      </c>
      <c r="I326" s="3">
        <v>8.6433399999999985</v>
      </c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>
        <v>8.64</v>
      </c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 s="4"/>
      <c r="GM326" s="4"/>
      <c r="GN326" s="4"/>
      <c r="GO326" s="4"/>
      <c r="GP326" s="4"/>
      <c r="GQ326" s="4"/>
      <c r="GR326" s="4"/>
      <c r="GS326" s="4"/>
      <c r="GT326" s="4"/>
      <c r="GU326" s="4"/>
      <c r="GV326" s="4"/>
      <c r="GW326" s="4"/>
      <c r="GX326" s="4"/>
      <c r="GY326" s="4"/>
      <c r="GZ326" s="4"/>
      <c r="HA326" s="4"/>
      <c r="HB326" s="4"/>
      <c r="HC326" s="4"/>
      <c r="HD326" s="4"/>
      <c r="HE326" s="4"/>
      <c r="HF326" s="4"/>
      <c r="HG326" s="4"/>
      <c r="HH326" s="4"/>
      <c r="HI326" s="4"/>
      <c r="HJ326" s="4"/>
    </row>
    <row r="327" spans="1:218" hidden="1">
      <c r="A327" t="s">
        <v>1822</v>
      </c>
      <c r="B327" t="s">
        <v>1823</v>
      </c>
      <c r="C327" t="s">
        <v>489</v>
      </c>
      <c r="D327" t="s">
        <v>490</v>
      </c>
      <c r="E327" t="s">
        <v>490</v>
      </c>
      <c r="F327" s="3">
        <v>1</v>
      </c>
      <c r="G327" s="12">
        <f t="shared" ref="G327:G390" si="10">LARGE($J327:$HJ327,1)</f>
        <v>5.96</v>
      </c>
      <c r="H327" s="12" t="e">
        <f t="shared" ref="H327:H390" si="11">LARGE($J327:$HJ327,2)</f>
        <v>#NUM!</v>
      </c>
      <c r="I327" s="3">
        <v>5.9601698000000001</v>
      </c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>
        <v>5.96</v>
      </c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 s="4"/>
      <c r="GM327" s="4"/>
      <c r="GN327" s="4"/>
      <c r="GO327" s="4"/>
      <c r="GP327" s="4"/>
      <c r="GQ327" s="4"/>
      <c r="GR327" s="4"/>
      <c r="GS327" s="4"/>
      <c r="GT327" s="4"/>
      <c r="GU327" s="4"/>
      <c r="GV327" s="4"/>
      <c r="GW327" s="4"/>
      <c r="GX327" s="4"/>
      <c r="GY327" s="4"/>
      <c r="GZ327" s="4"/>
      <c r="HA327" s="4"/>
      <c r="HB327" s="4"/>
      <c r="HC327" s="4"/>
      <c r="HD327" s="4"/>
      <c r="HE327" s="4"/>
      <c r="HF327" s="4"/>
      <c r="HG327" s="4"/>
      <c r="HH327" s="4"/>
      <c r="HI327" s="4"/>
      <c r="HJ327" s="4"/>
    </row>
    <row r="328" spans="1:218" hidden="1">
      <c r="A328" t="s">
        <v>2232</v>
      </c>
      <c r="B328" t="s">
        <v>2233</v>
      </c>
      <c r="C328" t="s">
        <v>585</v>
      </c>
      <c r="D328" t="s">
        <v>2234</v>
      </c>
      <c r="E328" t="s">
        <v>2235</v>
      </c>
      <c r="F328" s="3">
        <v>1</v>
      </c>
      <c r="G328" s="12">
        <f t="shared" si="10"/>
        <v>4.25</v>
      </c>
      <c r="H328" s="12" t="e">
        <f t="shared" si="11"/>
        <v>#NUM!</v>
      </c>
      <c r="I328" s="3">
        <v>4.25366</v>
      </c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>
        <v>4.25</v>
      </c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 s="4"/>
      <c r="GM328" s="4"/>
      <c r="GN328" s="4"/>
      <c r="GO328" s="4"/>
      <c r="GP328" s="4"/>
      <c r="GQ328" s="4"/>
      <c r="GR328" s="4"/>
      <c r="GS328" s="4"/>
      <c r="GT328" s="4"/>
      <c r="GU328" s="4"/>
      <c r="GV328" s="4"/>
      <c r="GW328" s="4"/>
      <c r="GX328" s="4"/>
      <c r="GY328" s="4"/>
      <c r="GZ328" s="4"/>
      <c r="HA328" s="4"/>
      <c r="HB328" s="4"/>
      <c r="HC328" s="4"/>
      <c r="HD328" s="4"/>
      <c r="HE328" s="4"/>
      <c r="HF328" s="4"/>
      <c r="HG328" s="4"/>
      <c r="HH328" s="4"/>
      <c r="HI328" s="4"/>
      <c r="HJ328" s="4"/>
    </row>
    <row r="329" spans="1:218" hidden="1">
      <c r="A329" t="s">
        <v>2587</v>
      </c>
      <c r="B329" t="s">
        <v>2588</v>
      </c>
      <c r="C329" t="s">
        <v>1118</v>
      </c>
      <c r="D329" t="s">
        <v>2589</v>
      </c>
      <c r="E329" t="s">
        <v>2590</v>
      </c>
      <c r="F329" s="3">
        <v>1</v>
      </c>
      <c r="G329" s="12">
        <f t="shared" si="10"/>
        <v>3.46</v>
      </c>
      <c r="H329" s="12" t="e">
        <f t="shared" si="11"/>
        <v>#NUM!</v>
      </c>
      <c r="I329" s="3">
        <v>3.45682</v>
      </c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>
        <v>3.46</v>
      </c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 s="4"/>
      <c r="GM329" s="4"/>
      <c r="GN329" s="4"/>
      <c r="GO329" s="4"/>
      <c r="GP329" s="4"/>
      <c r="GQ329" s="4"/>
      <c r="GR329" s="4"/>
      <c r="GS329" s="4"/>
      <c r="GT329" s="4"/>
      <c r="GU329" s="4"/>
      <c r="GV329" s="4"/>
      <c r="GW329" s="4"/>
      <c r="GX329" s="4"/>
      <c r="GY329" s="4"/>
      <c r="GZ329" s="4"/>
      <c r="HA329" s="4"/>
      <c r="HB329" s="4"/>
      <c r="HC329" s="4"/>
      <c r="HD329" s="4"/>
      <c r="HE329" s="4"/>
      <c r="HF329" s="4"/>
      <c r="HG329" s="4"/>
      <c r="HH329" s="4"/>
      <c r="HI329" s="4"/>
      <c r="HJ329" s="4"/>
    </row>
    <row r="330" spans="1:218" hidden="1">
      <c r="A330" t="s">
        <v>1753</v>
      </c>
      <c r="B330" t="s">
        <v>1754</v>
      </c>
      <c r="C330" t="s">
        <v>443</v>
      </c>
      <c r="D330" t="s">
        <v>1755</v>
      </c>
      <c r="E330" t="s">
        <v>1756</v>
      </c>
      <c r="F330" s="3">
        <v>1</v>
      </c>
      <c r="G330" s="12">
        <f t="shared" si="10"/>
        <v>6.94</v>
      </c>
      <c r="H330" s="12" t="e">
        <f t="shared" si="11"/>
        <v>#NUM!</v>
      </c>
      <c r="I330" s="3">
        <v>6.9357300000000004</v>
      </c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>
        <v>6.94</v>
      </c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 s="4"/>
      <c r="GM330" s="4"/>
      <c r="GN330" s="4"/>
      <c r="GO330" s="4"/>
      <c r="GP330" s="4"/>
      <c r="GQ330" s="4"/>
      <c r="GR330" s="4"/>
      <c r="GS330" s="4"/>
      <c r="GT330" s="4"/>
      <c r="GU330" s="4"/>
      <c r="GV330" s="4"/>
      <c r="GW330" s="4"/>
      <c r="GX330" s="4"/>
      <c r="GY330" s="4"/>
      <c r="GZ330" s="4"/>
      <c r="HA330" s="4"/>
      <c r="HB330" s="4"/>
      <c r="HC330" s="4"/>
      <c r="HD330" s="4"/>
      <c r="HE330" s="4"/>
      <c r="HF330" s="4"/>
      <c r="HG330" s="4"/>
      <c r="HH330" s="4"/>
      <c r="HI330" s="4"/>
      <c r="HJ330" s="4"/>
    </row>
    <row r="331" spans="1:218" hidden="1">
      <c r="A331" t="s">
        <v>2816</v>
      </c>
      <c r="B331" t="s">
        <v>2817</v>
      </c>
      <c r="C331" t="s">
        <v>443</v>
      </c>
      <c r="D331" t="s">
        <v>2818</v>
      </c>
      <c r="E331" t="s">
        <v>2819</v>
      </c>
      <c r="F331" s="3">
        <v>1</v>
      </c>
      <c r="G331" s="12">
        <f t="shared" si="10"/>
        <v>2.72</v>
      </c>
      <c r="H331" s="12" t="e">
        <f t="shared" si="11"/>
        <v>#NUM!</v>
      </c>
      <c r="I331" s="3">
        <v>2.7202199999999999</v>
      </c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>
        <v>2.72</v>
      </c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 s="4"/>
      <c r="GM331" s="4"/>
      <c r="GN331" s="4"/>
      <c r="GO331" s="4"/>
      <c r="GP331" s="4"/>
      <c r="GQ331" s="4"/>
      <c r="GR331" s="4"/>
      <c r="GS331" s="4"/>
      <c r="GT331" s="4"/>
      <c r="GU331" s="4"/>
      <c r="GV331" s="4"/>
      <c r="GW331" s="4"/>
      <c r="GX331" s="4"/>
      <c r="GY331" s="4"/>
      <c r="GZ331" s="4"/>
      <c r="HA331" s="4"/>
      <c r="HB331" s="4"/>
      <c r="HC331" s="4"/>
      <c r="HD331" s="4"/>
      <c r="HE331" s="4"/>
      <c r="HF331" s="4"/>
      <c r="HG331" s="4"/>
      <c r="HH331" s="4"/>
      <c r="HI331" s="4"/>
      <c r="HJ331" s="4"/>
    </row>
    <row r="332" spans="1:218" hidden="1">
      <c r="A332" t="s">
        <v>2765</v>
      </c>
      <c r="B332" t="s">
        <v>2766</v>
      </c>
      <c r="C332" t="s">
        <v>590</v>
      </c>
      <c r="D332" t="s">
        <v>2767</v>
      </c>
      <c r="E332" t="s">
        <v>2768</v>
      </c>
      <c r="F332" s="3">
        <v>1</v>
      </c>
      <c r="G332" s="12">
        <f t="shared" si="10"/>
        <v>2.93</v>
      </c>
      <c r="H332" s="12" t="e">
        <f t="shared" si="11"/>
        <v>#NUM!</v>
      </c>
      <c r="I332" s="3">
        <v>2.9307598000000001</v>
      </c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>
        <v>2.93</v>
      </c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 s="4"/>
      <c r="GM332" s="4"/>
      <c r="GN332" s="4"/>
      <c r="GO332" s="4"/>
      <c r="GP332" s="4"/>
      <c r="GQ332" s="4"/>
      <c r="GR332" s="4"/>
      <c r="GS332" s="4"/>
      <c r="GT332" s="4"/>
      <c r="GU332" s="4"/>
      <c r="GV332" s="4"/>
      <c r="GW332" s="4"/>
      <c r="GX332" s="4"/>
      <c r="GY332" s="4"/>
      <c r="GZ332" s="4"/>
      <c r="HA332" s="4"/>
      <c r="HB332" s="4"/>
      <c r="HC332" s="4"/>
      <c r="HD332" s="4"/>
      <c r="HE332" s="4"/>
      <c r="HF332" s="4"/>
      <c r="HG332" s="4"/>
      <c r="HH332" s="4"/>
      <c r="HI332" s="4"/>
      <c r="HJ332" s="4"/>
    </row>
    <row r="333" spans="1:218" hidden="1">
      <c r="A333" t="s">
        <v>2870</v>
      </c>
      <c r="B333" t="s">
        <v>2871</v>
      </c>
      <c r="C333" t="s">
        <v>2872</v>
      </c>
      <c r="D333" t="s">
        <v>2873</v>
      </c>
      <c r="E333" t="s">
        <v>2874</v>
      </c>
      <c r="F333" s="3">
        <v>1</v>
      </c>
      <c r="G333" s="12">
        <f t="shared" si="10"/>
        <v>2.5299999999999998</v>
      </c>
      <c r="H333" s="12" t="e">
        <f t="shared" si="11"/>
        <v>#NUM!</v>
      </c>
      <c r="I333" s="3">
        <v>2.5280999999999998</v>
      </c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>
        <v>2.5299999999999998</v>
      </c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 s="4"/>
      <c r="GM333" s="4"/>
      <c r="GN333" s="4"/>
      <c r="GO333" s="4"/>
      <c r="GP333" s="4"/>
      <c r="GQ333" s="4"/>
      <c r="GR333" s="4"/>
      <c r="GS333" s="4"/>
      <c r="GT333" s="4"/>
      <c r="GU333" s="4"/>
      <c r="GV333" s="4"/>
      <c r="GW333" s="4"/>
      <c r="GX333" s="4"/>
      <c r="GY333" s="4"/>
      <c r="GZ333" s="4"/>
      <c r="HA333" s="4"/>
      <c r="HB333" s="4"/>
      <c r="HC333" s="4"/>
      <c r="HD333" s="4"/>
      <c r="HE333" s="4"/>
      <c r="HF333" s="4"/>
      <c r="HG333" s="4"/>
      <c r="HH333" s="4"/>
      <c r="HI333" s="4"/>
      <c r="HJ333" s="4"/>
    </row>
    <row r="334" spans="1:218" hidden="1">
      <c r="A334" t="s">
        <v>1701</v>
      </c>
      <c r="B334" t="s">
        <v>1702</v>
      </c>
      <c r="C334" t="s">
        <v>489</v>
      </c>
      <c r="D334" t="s">
        <v>490</v>
      </c>
      <c r="E334" t="s">
        <v>490</v>
      </c>
      <c r="F334" s="3">
        <v>1</v>
      </c>
      <c r="G334" s="12">
        <f t="shared" si="10"/>
        <v>8.0399999999999991</v>
      </c>
      <c r="H334" s="12" t="e">
        <f t="shared" si="11"/>
        <v>#NUM!</v>
      </c>
      <c r="I334" s="3">
        <v>8.037840000000001</v>
      </c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>
        <v>8.0399999999999991</v>
      </c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 s="4"/>
      <c r="GM334" s="4"/>
      <c r="GN334" s="4"/>
      <c r="GO334" s="4"/>
      <c r="GP334" s="4"/>
      <c r="GQ334" s="4"/>
      <c r="GR334" s="4"/>
      <c r="GS334" s="4"/>
      <c r="GT334" s="4"/>
      <c r="GU334" s="4"/>
      <c r="GV334" s="4"/>
      <c r="GW334" s="4"/>
      <c r="GX334" s="4"/>
      <c r="GY334" s="4"/>
      <c r="GZ334" s="4"/>
      <c r="HA334" s="4"/>
      <c r="HB334" s="4"/>
      <c r="HC334" s="4"/>
      <c r="HD334" s="4"/>
      <c r="HE334" s="4"/>
      <c r="HF334" s="4"/>
      <c r="HG334" s="4"/>
      <c r="HH334" s="4"/>
      <c r="HI334" s="4"/>
      <c r="HJ334" s="4"/>
    </row>
    <row r="335" spans="1:218" hidden="1">
      <c r="A335" t="s">
        <v>1828</v>
      </c>
      <c r="B335" t="s">
        <v>1829</v>
      </c>
      <c r="C335" t="s">
        <v>505</v>
      </c>
      <c r="D335" t="s">
        <v>1725</v>
      </c>
      <c r="E335" t="s">
        <v>1830</v>
      </c>
      <c r="F335" s="3">
        <v>1</v>
      </c>
      <c r="G335" s="12">
        <f t="shared" si="10"/>
        <v>5.95</v>
      </c>
      <c r="H335" s="12" t="e">
        <f t="shared" si="11"/>
        <v>#NUM!</v>
      </c>
      <c r="I335" s="3">
        <v>5.9530903000000004</v>
      </c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>
        <v>5.95</v>
      </c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 s="4"/>
      <c r="GM335" s="4"/>
      <c r="GN335" s="4"/>
      <c r="GO335" s="4"/>
      <c r="GP335" s="4"/>
      <c r="GQ335" s="4"/>
      <c r="GR335" s="4"/>
      <c r="GS335" s="4"/>
      <c r="GT335" s="4"/>
      <c r="GU335" s="4"/>
      <c r="GV335" s="4"/>
      <c r="GW335" s="4"/>
      <c r="GX335" s="4"/>
      <c r="GY335" s="4"/>
      <c r="GZ335" s="4"/>
      <c r="HA335" s="4"/>
      <c r="HB335" s="4"/>
      <c r="HC335" s="4"/>
      <c r="HD335" s="4"/>
      <c r="HE335" s="4"/>
      <c r="HF335" s="4"/>
      <c r="HG335" s="4"/>
      <c r="HH335" s="4"/>
      <c r="HI335" s="4"/>
      <c r="HJ335" s="4"/>
    </row>
    <row r="336" spans="1:218" hidden="1">
      <c r="A336" t="s">
        <v>1799</v>
      </c>
      <c r="B336" t="s">
        <v>1800</v>
      </c>
      <c r="C336" t="s">
        <v>505</v>
      </c>
      <c r="D336" t="s">
        <v>1801</v>
      </c>
      <c r="E336" t="s">
        <v>1802</v>
      </c>
      <c r="F336" s="3">
        <v>1</v>
      </c>
      <c r="G336" s="12">
        <f t="shared" si="10"/>
        <v>6.24</v>
      </c>
      <c r="H336" s="12" t="e">
        <f t="shared" si="11"/>
        <v>#NUM!</v>
      </c>
      <c r="I336" s="3">
        <v>6.2387300000000003</v>
      </c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 s="4"/>
      <c r="GM336" s="4"/>
      <c r="GN336" s="4"/>
      <c r="GO336" s="4"/>
      <c r="GP336" s="4"/>
      <c r="GQ336" s="4"/>
      <c r="GR336" s="4"/>
      <c r="GS336" s="4"/>
      <c r="GT336" s="4">
        <v>6.24</v>
      </c>
      <c r="GU336" s="4"/>
      <c r="GV336" s="4"/>
      <c r="GW336" s="4"/>
      <c r="GX336" s="4"/>
      <c r="GY336" s="4"/>
      <c r="GZ336" s="4"/>
      <c r="HA336" s="4"/>
      <c r="HB336" s="4"/>
      <c r="HC336" s="4"/>
      <c r="HD336" s="4"/>
      <c r="HE336" s="4"/>
      <c r="HF336" s="4"/>
      <c r="HG336" s="4"/>
      <c r="HH336" s="4"/>
      <c r="HI336" s="4"/>
      <c r="HJ336" s="4"/>
    </row>
    <row r="337" spans="1:218" hidden="1">
      <c r="A337" t="s">
        <v>2168</v>
      </c>
      <c r="B337" t="s">
        <v>2169</v>
      </c>
      <c r="C337" t="s">
        <v>850</v>
      </c>
      <c r="D337" t="s">
        <v>2170</v>
      </c>
      <c r="E337" t="s">
        <v>2171</v>
      </c>
      <c r="F337" s="3">
        <v>1</v>
      </c>
      <c r="G337" s="12">
        <f t="shared" si="10"/>
        <v>4.4000000000000004</v>
      </c>
      <c r="H337" s="12" t="e">
        <f t="shared" si="11"/>
        <v>#NUM!</v>
      </c>
      <c r="I337" s="3">
        <v>4.4039999999999999</v>
      </c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>
        <v>4.4000000000000004</v>
      </c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</row>
    <row r="338" spans="1:218" hidden="1">
      <c r="A338" t="s">
        <v>1976</v>
      </c>
      <c r="B338" t="s">
        <v>1977</v>
      </c>
      <c r="C338" t="s">
        <v>754</v>
      </c>
      <c r="D338" t="s">
        <v>1978</v>
      </c>
      <c r="E338" t="s">
        <v>1979</v>
      </c>
      <c r="F338" s="3">
        <v>1</v>
      </c>
      <c r="G338" s="12">
        <f t="shared" si="10"/>
        <v>4.8499999999999996</v>
      </c>
      <c r="H338" s="12" t="e">
        <f t="shared" si="11"/>
        <v>#NUM!</v>
      </c>
      <c r="I338" s="3">
        <v>4.8544900000000002</v>
      </c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>
        <v>4.8499999999999996</v>
      </c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 s="4"/>
      <c r="GM338" s="4"/>
      <c r="GN338" s="4"/>
      <c r="GO338" s="4"/>
      <c r="GP338" s="4"/>
      <c r="GQ338" s="4"/>
      <c r="GR338" s="4"/>
      <c r="GS338" s="4"/>
      <c r="GT338" s="4"/>
      <c r="GU338" s="4"/>
      <c r="GV338" s="4"/>
      <c r="GW338" s="4"/>
      <c r="GX338" s="4"/>
      <c r="GY338" s="4"/>
      <c r="GZ338" s="4"/>
      <c r="HA338" s="4"/>
      <c r="HB338" s="4"/>
      <c r="HC338" s="4"/>
      <c r="HD338" s="4"/>
      <c r="HE338" s="4"/>
      <c r="HF338" s="4"/>
      <c r="HG338" s="4"/>
      <c r="HH338" s="4"/>
      <c r="HI338" s="4"/>
      <c r="HJ338" s="4"/>
    </row>
    <row r="339" spans="1:218" hidden="1">
      <c r="A339" t="s">
        <v>2434</v>
      </c>
      <c r="B339" t="s">
        <v>2435</v>
      </c>
      <c r="C339" t="s">
        <v>505</v>
      </c>
      <c r="D339" t="s">
        <v>2436</v>
      </c>
      <c r="E339" t="s">
        <v>2437</v>
      </c>
      <c r="F339" s="3">
        <v>1</v>
      </c>
      <c r="G339" s="12">
        <f t="shared" si="10"/>
        <v>3.83</v>
      </c>
      <c r="H339" s="12" t="e">
        <f t="shared" si="11"/>
        <v>#NUM!</v>
      </c>
      <c r="I339" s="3">
        <v>3.8332099999999998</v>
      </c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>
        <v>3.83</v>
      </c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 s="4"/>
      <c r="GM339" s="4"/>
      <c r="GN339" s="4"/>
      <c r="GO339" s="4"/>
      <c r="GP339" s="4"/>
      <c r="GQ339" s="4"/>
      <c r="GR339" s="4"/>
      <c r="GS339" s="4"/>
      <c r="GT339" s="4"/>
      <c r="GU339" s="4"/>
      <c r="GV339" s="4"/>
      <c r="GW339" s="4"/>
      <c r="GX339" s="4"/>
      <c r="GY339" s="4"/>
      <c r="GZ339" s="4"/>
      <c r="HA339" s="4"/>
      <c r="HB339" s="4"/>
      <c r="HC339" s="4"/>
      <c r="HD339" s="4"/>
      <c r="HE339" s="4"/>
      <c r="HF339" s="4"/>
      <c r="HG339" s="4"/>
      <c r="HH339" s="4"/>
      <c r="HI339" s="4"/>
      <c r="HJ339" s="4"/>
    </row>
    <row r="340" spans="1:218" hidden="1">
      <c r="A340" t="s">
        <v>2579</v>
      </c>
      <c r="B340" t="s">
        <v>2580</v>
      </c>
      <c r="C340" t="s">
        <v>505</v>
      </c>
      <c r="D340" t="s">
        <v>2581</v>
      </c>
      <c r="E340" t="s">
        <v>2582</v>
      </c>
      <c r="F340" s="3">
        <v>1</v>
      </c>
      <c r="G340" s="12">
        <f t="shared" si="10"/>
        <v>3.46</v>
      </c>
      <c r="H340" s="12" t="e">
        <f t="shared" si="11"/>
        <v>#NUM!</v>
      </c>
      <c r="I340" s="3">
        <v>3.46096</v>
      </c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>
        <v>3.46</v>
      </c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 s="4"/>
      <c r="GM340" s="4"/>
      <c r="GN340" s="4"/>
      <c r="GO340" s="4"/>
      <c r="GP340" s="4"/>
      <c r="GQ340" s="4"/>
      <c r="GR340" s="4"/>
      <c r="GS340" s="4"/>
      <c r="GT340" s="4"/>
      <c r="GU340" s="4"/>
      <c r="GV340" s="4"/>
      <c r="GW340" s="4"/>
      <c r="GX340" s="4"/>
      <c r="GY340" s="4"/>
      <c r="GZ340" s="4"/>
      <c r="HA340" s="4"/>
      <c r="HB340" s="4"/>
      <c r="HC340" s="4"/>
      <c r="HD340" s="4"/>
      <c r="HE340" s="4"/>
      <c r="HF340" s="4"/>
      <c r="HG340" s="4"/>
      <c r="HH340" s="4"/>
      <c r="HI340" s="4"/>
      <c r="HJ340" s="4"/>
    </row>
    <row r="341" spans="1:218" hidden="1">
      <c r="A341" t="s">
        <v>2135</v>
      </c>
      <c r="B341" t="s">
        <v>2136</v>
      </c>
      <c r="C341" t="s">
        <v>754</v>
      </c>
      <c r="D341" t="s">
        <v>2137</v>
      </c>
      <c r="E341" t="s">
        <v>2138</v>
      </c>
      <c r="F341" s="3">
        <v>1</v>
      </c>
      <c r="G341" s="12">
        <f t="shared" si="10"/>
        <v>4.45</v>
      </c>
      <c r="H341" s="12" t="e">
        <f t="shared" si="11"/>
        <v>#NUM!</v>
      </c>
      <c r="I341" s="3">
        <v>4.4548302999999994</v>
      </c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>
        <v>4.45</v>
      </c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 s="4"/>
      <c r="GM341" s="4"/>
      <c r="GN341" s="4"/>
      <c r="GO341" s="4"/>
      <c r="GP341" s="4"/>
      <c r="GQ341" s="4"/>
      <c r="GR341" s="4"/>
      <c r="GS341" s="4"/>
      <c r="GT341" s="4"/>
      <c r="GU341" s="4"/>
      <c r="GV341" s="4"/>
      <c r="GW341" s="4"/>
      <c r="GX341" s="4"/>
      <c r="GY341" s="4"/>
      <c r="GZ341" s="4"/>
      <c r="HA341" s="4"/>
      <c r="HB341" s="4"/>
      <c r="HC341" s="4"/>
      <c r="HD341" s="4"/>
      <c r="HE341" s="4"/>
      <c r="HF341" s="4"/>
      <c r="HG341" s="4"/>
      <c r="HH341" s="4"/>
      <c r="HI341" s="4"/>
      <c r="HJ341" s="4"/>
    </row>
    <row r="342" spans="1:218" hidden="1">
      <c r="A342" t="s">
        <v>2115</v>
      </c>
      <c r="B342" t="s">
        <v>2116</v>
      </c>
      <c r="C342" t="s">
        <v>443</v>
      </c>
      <c r="D342" t="s">
        <v>2117</v>
      </c>
      <c r="E342" t="s">
        <v>2118</v>
      </c>
      <c r="F342" s="3">
        <v>1</v>
      </c>
      <c r="G342" s="12">
        <f t="shared" si="10"/>
        <v>4.49</v>
      </c>
      <c r="H342" s="12" t="e">
        <f t="shared" si="11"/>
        <v>#NUM!</v>
      </c>
      <c r="I342" s="3">
        <v>4.48895</v>
      </c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>
        <v>4.49</v>
      </c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 s="4"/>
      <c r="GM342" s="4"/>
      <c r="GN342" s="4"/>
      <c r="GO342" s="4"/>
      <c r="GP342" s="4"/>
      <c r="GQ342" s="4"/>
      <c r="GR342" s="4"/>
      <c r="GS342" s="4"/>
      <c r="GT342" s="4"/>
      <c r="GU342" s="4"/>
      <c r="GV342" s="4"/>
      <c r="GW342" s="4"/>
      <c r="GX342" s="4"/>
      <c r="GY342" s="4"/>
      <c r="GZ342" s="4"/>
      <c r="HA342" s="4"/>
      <c r="HB342" s="4"/>
      <c r="HC342" s="4"/>
      <c r="HD342" s="4"/>
      <c r="HE342" s="4"/>
      <c r="HF342" s="4"/>
      <c r="HG342" s="4"/>
      <c r="HH342" s="4"/>
      <c r="HI342" s="4"/>
      <c r="HJ342" s="4"/>
    </row>
    <row r="343" spans="1:218" hidden="1">
      <c r="A343" t="s">
        <v>1931</v>
      </c>
      <c r="B343" t="s">
        <v>1932</v>
      </c>
      <c r="C343" t="s">
        <v>505</v>
      </c>
      <c r="D343" t="s">
        <v>1933</v>
      </c>
      <c r="E343" t="s">
        <v>1934</v>
      </c>
      <c r="F343" s="3">
        <v>1</v>
      </c>
      <c r="G343" s="12">
        <f t="shared" si="10"/>
        <v>5.04</v>
      </c>
      <c r="H343" s="12" t="e">
        <f t="shared" si="11"/>
        <v>#NUM!</v>
      </c>
      <c r="I343" s="3">
        <v>5.0388596999999997</v>
      </c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>
        <v>5.04</v>
      </c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 s="4"/>
      <c r="GM343" s="4"/>
      <c r="GN343" s="4"/>
      <c r="GO343" s="4"/>
      <c r="GP343" s="4"/>
      <c r="GQ343" s="4"/>
      <c r="GR343" s="4"/>
      <c r="GS343" s="4"/>
      <c r="GT343" s="4"/>
      <c r="GU343" s="4"/>
      <c r="GV343" s="4"/>
      <c r="GW343" s="4"/>
      <c r="GX343" s="4"/>
      <c r="GY343" s="4"/>
      <c r="GZ343" s="4"/>
      <c r="HA343" s="4"/>
      <c r="HB343" s="4"/>
      <c r="HC343" s="4"/>
      <c r="HD343" s="4"/>
      <c r="HE343" s="4"/>
      <c r="HF343" s="4"/>
      <c r="HG343" s="4"/>
      <c r="HH343" s="4"/>
      <c r="HI343" s="4"/>
      <c r="HJ343" s="4"/>
    </row>
    <row r="344" spans="1:218" hidden="1">
      <c r="A344" t="s">
        <v>3133</v>
      </c>
      <c r="B344" t="s">
        <v>3134</v>
      </c>
      <c r="C344" t="s">
        <v>576</v>
      </c>
      <c r="D344" t="s">
        <v>3135</v>
      </c>
      <c r="E344" t="s">
        <v>3136</v>
      </c>
      <c r="F344" s="3">
        <v>1</v>
      </c>
      <c r="G344" s="12">
        <f t="shared" si="10"/>
        <v>1.22</v>
      </c>
      <c r="H344" s="12" t="e">
        <f t="shared" si="11"/>
        <v>#NUM!</v>
      </c>
      <c r="I344" s="3">
        <v>1.22038</v>
      </c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>
        <v>1.22</v>
      </c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 s="4"/>
      <c r="GM344" s="4"/>
      <c r="GN344" s="4"/>
      <c r="GO344" s="4"/>
      <c r="GP344" s="4"/>
      <c r="GQ344" s="4"/>
      <c r="GR344" s="4"/>
      <c r="GS344" s="4"/>
      <c r="GT344" s="4"/>
      <c r="GU344" s="4"/>
      <c r="GV344" s="4"/>
      <c r="GW344" s="4"/>
      <c r="GX344" s="4"/>
      <c r="GY344" s="4"/>
      <c r="GZ344" s="4"/>
      <c r="HA344" s="4"/>
      <c r="HB344" s="4"/>
      <c r="HC344" s="4"/>
      <c r="HD344" s="4"/>
      <c r="HE344" s="4"/>
      <c r="HF344" s="4"/>
      <c r="HG344" s="4"/>
      <c r="HH344" s="4"/>
      <c r="HI344" s="4"/>
      <c r="HJ344" s="4"/>
    </row>
    <row r="345" spans="1:218" hidden="1">
      <c r="A345" t="s">
        <v>2916</v>
      </c>
      <c r="B345" t="s">
        <v>2917</v>
      </c>
      <c r="C345" t="s">
        <v>505</v>
      </c>
      <c r="D345" t="s">
        <v>2918</v>
      </c>
      <c r="E345" t="s">
        <v>2919</v>
      </c>
      <c r="F345" s="3">
        <v>1</v>
      </c>
      <c r="G345" s="12">
        <f t="shared" si="10"/>
        <v>2.34</v>
      </c>
      <c r="H345" s="12" t="e">
        <f t="shared" si="11"/>
        <v>#NUM!</v>
      </c>
      <c r="I345" s="3">
        <v>2.34301</v>
      </c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>
        <v>2.34</v>
      </c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 s="4"/>
      <c r="GM345" s="4"/>
      <c r="GN345" s="4"/>
      <c r="GO345" s="4"/>
      <c r="GP345" s="4"/>
      <c r="GQ345" s="4"/>
      <c r="GR345" s="4"/>
      <c r="GS345" s="4"/>
      <c r="GT345" s="4"/>
      <c r="GU345" s="4"/>
      <c r="GV345" s="4"/>
      <c r="GW345" s="4"/>
      <c r="GX345" s="4"/>
      <c r="GY345" s="4"/>
      <c r="GZ345" s="4"/>
      <c r="HA345" s="4"/>
      <c r="HB345" s="4"/>
      <c r="HC345" s="4"/>
      <c r="HD345" s="4"/>
      <c r="HE345" s="4"/>
      <c r="HF345" s="4"/>
      <c r="HG345" s="4"/>
      <c r="HH345" s="4"/>
      <c r="HI345" s="4"/>
      <c r="HJ345" s="4"/>
    </row>
    <row r="346" spans="1:218" hidden="1">
      <c r="A346" t="s">
        <v>2860</v>
      </c>
      <c r="B346" t="s">
        <v>2861</v>
      </c>
      <c r="C346" t="s">
        <v>443</v>
      </c>
      <c r="D346" t="s">
        <v>2862</v>
      </c>
      <c r="E346" t="s">
        <v>2863</v>
      </c>
      <c r="F346" s="3">
        <v>1</v>
      </c>
      <c r="G346" s="12">
        <f t="shared" si="10"/>
        <v>2.6</v>
      </c>
      <c r="H346" s="12" t="e">
        <f t="shared" si="11"/>
        <v>#NUM!</v>
      </c>
      <c r="I346" s="3">
        <v>2.59552</v>
      </c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>
        <v>2.6</v>
      </c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 s="4"/>
      <c r="GM346" s="4"/>
      <c r="GN346" s="4"/>
      <c r="GO346" s="4"/>
      <c r="GP346" s="4"/>
      <c r="GQ346" s="4"/>
      <c r="GR346" s="4"/>
      <c r="GS346" s="4"/>
      <c r="GT346" s="4"/>
      <c r="GU346" s="4"/>
      <c r="GV346" s="4"/>
      <c r="GW346" s="4"/>
      <c r="GX346" s="4"/>
      <c r="GY346" s="4"/>
      <c r="GZ346" s="4"/>
      <c r="HA346" s="4"/>
      <c r="HB346" s="4"/>
      <c r="HC346" s="4"/>
      <c r="HD346" s="4"/>
      <c r="HE346" s="4"/>
      <c r="HF346" s="4"/>
      <c r="HG346" s="4"/>
      <c r="HH346" s="4"/>
      <c r="HI346" s="4"/>
      <c r="HJ346" s="4"/>
    </row>
    <row r="347" spans="1:218" hidden="1">
      <c r="A347" t="s">
        <v>2549</v>
      </c>
      <c r="B347" t="s">
        <v>2550</v>
      </c>
      <c r="C347" t="s">
        <v>1055</v>
      </c>
      <c r="D347" t="s">
        <v>2551</v>
      </c>
      <c r="E347" t="s">
        <v>2552</v>
      </c>
      <c r="F347" s="3">
        <v>1</v>
      </c>
      <c r="G347" s="12">
        <f t="shared" si="10"/>
        <v>3.49</v>
      </c>
      <c r="H347" s="12" t="e">
        <f t="shared" si="11"/>
        <v>#NUM!</v>
      </c>
      <c r="I347" s="3">
        <v>3.4881000000000002</v>
      </c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>
        <v>3.49</v>
      </c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 s="4"/>
      <c r="GM347" s="4"/>
      <c r="GN347" s="4"/>
      <c r="GO347" s="4"/>
      <c r="GP347" s="4"/>
      <c r="GQ347" s="4"/>
      <c r="GR347" s="4"/>
      <c r="GS347" s="4"/>
      <c r="GT347" s="4"/>
      <c r="GU347" s="4"/>
      <c r="GV347" s="4"/>
      <c r="GW347" s="4"/>
      <c r="GX347" s="4"/>
      <c r="GY347" s="4"/>
      <c r="GZ347" s="4"/>
      <c r="HA347" s="4"/>
      <c r="HB347" s="4"/>
      <c r="HC347" s="4"/>
      <c r="HD347" s="4"/>
      <c r="HE347" s="4"/>
      <c r="HF347" s="4"/>
      <c r="HG347" s="4"/>
      <c r="HH347" s="4"/>
      <c r="HI347" s="4"/>
      <c r="HJ347" s="4"/>
    </row>
    <row r="348" spans="1:218" hidden="1">
      <c r="A348" t="s">
        <v>2516</v>
      </c>
      <c r="B348" t="s">
        <v>2517</v>
      </c>
      <c r="C348" t="s">
        <v>2518</v>
      </c>
      <c r="D348" t="s">
        <v>2519</v>
      </c>
      <c r="E348" t="s">
        <v>2520</v>
      </c>
      <c r="F348" s="3">
        <v>1</v>
      </c>
      <c r="G348" s="12">
        <f t="shared" si="10"/>
        <v>3.6</v>
      </c>
      <c r="H348" s="12" t="e">
        <f t="shared" si="11"/>
        <v>#NUM!</v>
      </c>
      <c r="I348" s="3">
        <v>3.6008301999999999</v>
      </c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>
        <v>3.6</v>
      </c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 s="4"/>
      <c r="GM348" s="4"/>
      <c r="GN348" s="4"/>
      <c r="GO348" s="4"/>
      <c r="GP348" s="4"/>
      <c r="GQ348" s="4"/>
      <c r="GR348" s="4"/>
      <c r="GS348" s="4"/>
      <c r="GT348" s="4"/>
      <c r="GU348" s="4"/>
      <c r="GV348" s="4"/>
      <c r="GW348" s="4"/>
      <c r="GX348" s="4"/>
      <c r="GY348" s="4"/>
      <c r="GZ348" s="4"/>
      <c r="HA348" s="4"/>
      <c r="HB348" s="4"/>
      <c r="HC348" s="4"/>
      <c r="HD348" s="4"/>
      <c r="HE348" s="4"/>
      <c r="HF348" s="4"/>
      <c r="HG348" s="4"/>
      <c r="HH348" s="4"/>
      <c r="HI348" s="4"/>
      <c r="HJ348" s="4"/>
    </row>
    <row r="349" spans="1:218" hidden="1">
      <c r="A349" t="s">
        <v>2685</v>
      </c>
      <c r="B349" t="s">
        <v>2686</v>
      </c>
      <c r="C349" t="s">
        <v>1790</v>
      </c>
      <c r="D349" t="s">
        <v>2687</v>
      </c>
      <c r="E349" t="s">
        <v>2688</v>
      </c>
      <c r="F349" s="3">
        <v>1</v>
      </c>
      <c r="G349" s="12">
        <f t="shared" si="10"/>
        <v>3.1</v>
      </c>
      <c r="H349" s="12" t="e">
        <f t="shared" si="11"/>
        <v>#NUM!</v>
      </c>
      <c r="I349" s="3">
        <v>3.0985999999999998</v>
      </c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>
        <v>3.1</v>
      </c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 s="4"/>
      <c r="GM349" s="4"/>
      <c r="GN349" s="4"/>
      <c r="GO349" s="4"/>
      <c r="GP349" s="4"/>
      <c r="GQ349" s="4"/>
      <c r="GR349" s="4"/>
      <c r="GS349" s="4"/>
      <c r="GT349" s="4"/>
      <c r="GU349" s="4"/>
      <c r="GV349" s="4"/>
      <c r="GW349" s="4"/>
      <c r="GX349" s="4"/>
      <c r="GY349" s="4"/>
      <c r="GZ349" s="4"/>
      <c r="HA349" s="4"/>
      <c r="HB349" s="4"/>
      <c r="HC349" s="4"/>
      <c r="HD349" s="4"/>
      <c r="HE349" s="4"/>
      <c r="HF349" s="4"/>
      <c r="HG349" s="4"/>
      <c r="HH349" s="4"/>
      <c r="HI349" s="4"/>
      <c r="HJ349" s="4"/>
    </row>
    <row r="350" spans="1:218" hidden="1">
      <c r="A350" t="s">
        <v>3031</v>
      </c>
      <c r="B350" t="s">
        <v>3032</v>
      </c>
      <c r="C350" t="s">
        <v>505</v>
      </c>
      <c r="D350" t="s">
        <v>3033</v>
      </c>
      <c r="E350" t="s">
        <v>3034</v>
      </c>
      <c r="F350" s="3">
        <v>1</v>
      </c>
      <c r="G350" s="12">
        <f t="shared" si="10"/>
        <v>2.0499999999999998</v>
      </c>
      <c r="H350" s="12" t="e">
        <f t="shared" si="11"/>
        <v>#NUM!</v>
      </c>
      <c r="I350" s="3">
        <v>2.0518702000000002</v>
      </c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>
        <v>2.0499999999999998</v>
      </c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 s="4"/>
      <c r="GM350" s="4"/>
      <c r="GN350" s="4"/>
      <c r="GO350" s="4"/>
      <c r="GP350" s="4"/>
      <c r="GQ350" s="4"/>
      <c r="GR350" s="4"/>
      <c r="GS350" s="4"/>
      <c r="GT350" s="4"/>
      <c r="GU350" s="4"/>
      <c r="GV350" s="4"/>
      <c r="GW350" s="4"/>
      <c r="GX350" s="4"/>
      <c r="GY350" s="4"/>
      <c r="GZ350" s="4"/>
      <c r="HA350" s="4"/>
      <c r="HB350" s="4"/>
      <c r="HC350" s="4"/>
      <c r="HD350" s="4"/>
      <c r="HE350" s="4"/>
      <c r="HF350" s="4"/>
      <c r="HG350" s="4"/>
      <c r="HH350" s="4"/>
      <c r="HI350" s="4"/>
      <c r="HJ350" s="4"/>
    </row>
    <row r="351" spans="1:218" hidden="1">
      <c r="A351" t="s">
        <v>3105</v>
      </c>
      <c r="B351" t="s">
        <v>3106</v>
      </c>
      <c r="C351" t="s">
        <v>754</v>
      </c>
      <c r="D351" t="s">
        <v>3107</v>
      </c>
      <c r="E351" t="s">
        <v>3108</v>
      </c>
      <c r="F351" s="3">
        <v>1</v>
      </c>
      <c r="G351" s="12">
        <f t="shared" si="10"/>
        <v>1.43</v>
      </c>
      <c r="H351" s="12" t="e">
        <f t="shared" si="11"/>
        <v>#NUM!</v>
      </c>
      <c r="I351" s="3">
        <v>1.4258200000000001</v>
      </c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>
        <v>1.43</v>
      </c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 s="4"/>
      <c r="GM351" s="4"/>
      <c r="GN351" s="4"/>
      <c r="GO351" s="4"/>
      <c r="GP351" s="4"/>
      <c r="GQ351" s="4"/>
      <c r="GR351" s="4"/>
      <c r="GS351" s="4"/>
      <c r="GT351" s="4"/>
      <c r="GU351" s="4"/>
      <c r="GV351" s="4"/>
      <c r="GW351" s="4"/>
      <c r="GX351" s="4"/>
      <c r="GY351" s="4"/>
      <c r="GZ351" s="4"/>
      <c r="HA351" s="4"/>
      <c r="HB351" s="4"/>
      <c r="HC351" s="4"/>
      <c r="HD351" s="4"/>
      <c r="HE351" s="4"/>
      <c r="HF351" s="4"/>
      <c r="HG351" s="4"/>
      <c r="HH351" s="4"/>
      <c r="HI351" s="4"/>
      <c r="HJ351" s="4"/>
    </row>
    <row r="352" spans="1:218" hidden="1">
      <c r="A352" t="s">
        <v>1863</v>
      </c>
      <c r="B352" t="s">
        <v>1864</v>
      </c>
      <c r="C352" t="s">
        <v>1055</v>
      </c>
      <c r="D352" t="s">
        <v>1865</v>
      </c>
      <c r="E352" t="s">
        <v>1866</v>
      </c>
      <c r="F352" s="3">
        <v>1</v>
      </c>
      <c r="G352" s="12">
        <f t="shared" si="10"/>
        <v>5.65</v>
      </c>
      <c r="H352" s="12" t="e">
        <f t="shared" si="11"/>
        <v>#NUM!</v>
      </c>
      <c r="I352" s="3">
        <v>5.6498600000000003</v>
      </c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 s="4"/>
      <c r="GM352" s="4"/>
      <c r="GN352" s="4"/>
      <c r="GO352" s="4"/>
      <c r="GP352" s="4"/>
      <c r="GQ352" s="4"/>
      <c r="GR352" s="4"/>
      <c r="GS352" s="4"/>
      <c r="GT352" s="4"/>
      <c r="GU352" s="4">
        <v>5.65</v>
      </c>
      <c r="GV352" s="4"/>
      <c r="GW352" s="4"/>
      <c r="GX352" s="4"/>
      <c r="GY352" s="4"/>
      <c r="GZ352" s="4"/>
      <c r="HA352" s="4"/>
      <c r="HB352" s="4"/>
      <c r="HC352" s="4"/>
      <c r="HD352" s="4"/>
      <c r="HE352" s="4"/>
      <c r="HF352" s="4"/>
      <c r="HG352" s="4"/>
      <c r="HH352" s="4"/>
      <c r="HI352" s="4"/>
      <c r="HJ352" s="4"/>
    </row>
    <row r="353" spans="1:218" hidden="1">
      <c r="A353" t="s">
        <v>1723</v>
      </c>
      <c r="B353" t="s">
        <v>1724</v>
      </c>
      <c r="C353" t="s">
        <v>505</v>
      </c>
      <c r="D353" t="s">
        <v>1725</v>
      </c>
      <c r="E353" t="s">
        <v>1726</v>
      </c>
      <c r="F353" s="3">
        <v>1</v>
      </c>
      <c r="G353" s="12">
        <f t="shared" si="10"/>
        <v>7.34</v>
      </c>
      <c r="H353" s="12" t="e">
        <f t="shared" si="11"/>
        <v>#NUM!</v>
      </c>
      <c r="I353" s="3">
        <v>7.3368100000000007</v>
      </c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>
        <v>7.34</v>
      </c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 s="4"/>
      <c r="GM353" s="4"/>
      <c r="GN353" s="4"/>
      <c r="GO353" s="4"/>
      <c r="GP353" s="4"/>
      <c r="GQ353" s="4"/>
      <c r="GR353" s="4"/>
      <c r="GS353" s="4"/>
      <c r="GT353" s="4"/>
      <c r="GU353" s="4"/>
      <c r="GV353" s="4"/>
      <c r="GW353" s="4"/>
      <c r="GX353" s="4"/>
      <c r="GY353" s="4"/>
      <c r="GZ353" s="4"/>
      <c r="HA353" s="4"/>
      <c r="HB353" s="4"/>
      <c r="HC353" s="4"/>
      <c r="HD353" s="4"/>
      <c r="HE353" s="4"/>
      <c r="HF353" s="4"/>
      <c r="HG353" s="4"/>
      <c r="HH353" s="4"/>
      <c r="HI353" s="4"/>
      <c r="HJ353" s="4"/>
    </row>
    <row r="354" spans="1:218" hidden="1">
      <c r="A354" t="s">
        <v>2339</v>
      </c>
      <c r="B354" t="s">
        <v>2340</v>
      </c>
      <c r="C354" t="s">
        <v>505</v>
      </c>
      <c r="D354" t="s">
        <v>2341</v>
      </c>
      <c r="E354" t="s">
        <v>2342</v>
      </c>
      <c r="F354" s="3">
        <v>1</v>
      </c>
      <c r="G354" s="12">
        <f t="shared" si="10"/>
        <v>4.0599999999999996</v>
      </c>
      <c r="H354" s="12" t="e">
        <f t="shared" si="11"/>
        <v>#NUM!</v>
      </c>
      <c r="I354" s="3">
        <v>4.0605900000000004</v>
      </c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>
        <v>4.0599999999999996</v>
      </c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 s="4"/>
      <c r="GM354" s="4"/>
      <c r="GN354" s="4"/>
      <c r="GO354" s="4"/>
      <c r="GP354" s="4"/>
      <c r="GQ354" s="4"/>
      <c r="GR354" s="4"/>
      <c r="GS354" s="4"/>
      <c r="GT354" s="4"/>
      <c r="GU354" s="4"/>
      <c r="GV354" s="4"/>
      <c r="GW354" s="4"/>
      <c r="GX354" s="4"/>
      <c r="GY354" s="4"/>
      <c r="GZ354" s="4"/>
      <c r="HA354" s="4"/>
      <c r="HB354" s="4"/>
      <c r="HC354" s="4"/>
      <c r="HD354" s="4"/>
      <c r="HE354" s="4"/>
      <c r="HF354" s="4"/>
      <c r="HG354" s="4"/>
      <c r="HH354" s="4"/>
      <c r="HI354" s="4"/>
      <c r="HJ354" s="4"/>
    </row>
    <row r="355" spans="1:218" hidden="1">
      <c r="A355" t="s">
        <v>1881</v>
      </c>
      <c r="B355" t="s">
        <v>1882</v>
      </c>
      <c r="C355" t="s">
        <v>443</v>
      </c>
      <c r="D355" t="s">
        <v>1883</v>
      </c>
      <c r="E355" t="s">
        <v>1884</v>
      </c>
      <c r="F355" s="3">
        <v>1</v>
      </c>
      <c r="G355" s="12">
        <f t="shared" si="10"/>
        <v>5.49</v>
      </c>
      <c r="H355" s="12" t="e">
        <f t="shared" si="11"/>
        <v>#NUM!</v>
      </c>
      <c r="I355" s="3">
        <v>5.4860100000000003</v>
      </c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>
        <v>5.49</v>
      </c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 s="4"/>
      <c r="GM355" s="4"/>
      <c r="GN355" s="4"/>
      <c r="GO355" s="4"/>
      <c r="GP355" s="4"/>
      <c r="GQ355" s="4"/>
      <c r="GR355" s="4"/>
      <c r="GS355" s="4"/>
      <c r="GT355" s="4"/>
      <c r="GU355" s="4"/>
      <c r="GV355" s="4"/>
      <c r="GW355" s="4"/>
      <c r="GX355" s="4"/>
      <c r="GY355" s="4"/>
      <c r="GZ355" s="4"/>
      <c r="HA355" s="4"/>
      <c r="HB355" s="4"/>
      <c r="HC355" s="4"/>
      <c r="HD355" s="4"/>
      <c r="HE355" s="4"/>
      <c r="HF355" s="4"/>
      <c r="HG355" s="4"/>
      <c r="HH355" s="4"/>
      <c r="HI355" s="4"/>
      <c r="HJ355" s="4"/>
    </row>
    <row r="356" spans="1:218" hidden="1">
      <c r="A356" t="s">
        <v>3095</v>
      </c>
      <c r="B356" t="s">
        <v>3096</v>
      </c>
      <c r="C356" t="s">
        <v>2367</v>
      </c>
      <c r="D356" t="s">
        <v>3097</v>
      </c>
      <c r="E356" t="s">
        <v>3098</v>
      </c>
      <c r="F356" s="3">
        <v>1</v>
      </c>
      <c r="G356" s="12">
        <f t="shared" si="10"/>
        <v>1.54</v>
      </c>
      <c r="H356" s="12" t="e">
        <f t="shared" si="11"/>
        <v>#NUM!</v>
      </c>
      <c r="I356" s="3">
        <v>1.54027</v>
      </c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>
        <v>1.54</v>
      </c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 s="4"/>
      <c r="GM356" s="4"/>
      <c r="GN356" s="4"/>
      <c r="GO356" s="4"/>
      <c r="GP356" s="4"/>
      <c r="GQ356" s="4"/>
      <c r="GR356" s="4"/>
      <c r="GS356" s="4"/>
      <c r="GT356" s="4"/>
      <c r="GU356" s="4"/>
      <c r="GV356" s="4"/>
      <c r="GW356" s="4"/>
      <c r="GX356" s="4"/>
      <c r="GY356" s="4"/>
      <c r="GZ356" s="4"/>
      <c r="HA356" s="4"/>
      <c r="HB356" s="4"/>
      <c r="HC356" s="4"/>
      <c r="HD356" s="4"/>
      <c r="HE356" s="4"/>
      <c r="HF356" s="4"/>
      <c r="HG356" s="4"/>
      <c r="HH356" s="4"/>
      <c r="HI356" s="4"/>
      <c r="HJ356" s="4"/>
    </row>
    <row r="357" spans="1:218" hidden="1">
      <c r="A357" t="s">
        <v>1885</v>
      </c>
      <c r="B357" t="s">
        <v>1886</v>
      </c>
      <c r="C357" t="s">
        <v>1887</v>
      </c>
      <c r="D357" t="s">
        <v>1888</v>
      </c>
      <c r="E357" t="s">
        <v>1889</v>
      </c>
      <c r="F357" s="3">
        <v>1</v>
      </c>
      <c r="G357" s="12">
        <f t="shared" si="10"/>
        <v>5.47</v>
      </c>
      <c r="H357" s="12" t="e">
        <f t="shared" si="11"/>
        <v>#NUM!</v>
      </c>
      <c r="I357" s="3">
        <v>5.4712399999999999</v>
      </c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>
        <v>5.47</v>
      </c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 s="4"/>
      <c r="GM357" s="4"/>
      <c r="GN357" s="4"/>
      <c r="GO357" s="4"/>
      <c r="GP357" s="4"/>
      <c r="GQ357" s="4"/>
      <c r="GR357" s="4"/>
      <c r="GS357" s="4"/>
      <c r="GT357" s="4"/>
      <c r="GU357" s="4"/>
      <c r="GV357" s="4"/>
      <c r="GW357" s="4"/>
      <c r="GX357" s="4"/>
      <c r="GY357" s="4"/>
      <c r="GZ357" s="4"/>
      <c r="HA357" s="4"/>
      <c r="HB357" s="4"/>
      <c r="HC357" s="4"/>
      <c r="HD357" s="4"/>
      <c r="HE357" s="4"/>
      <c r="HF357" s="4"/>
      <c r="HG357" s="4"/>
      <c r="HH357" s="4"/>
      <c r="HI357" s="4"/>
      <c r="HJ357" s="4"/>
    </row>
    <row r="358" spans="1:218" hidden="1">
      <c r="A358" t="s">
        <v>1849</v>
      </c>
      <c r="B358" t="s">
        <v>1850</v>
      </c>
      <c r="C358" t="s">
        <v>1283</v>
      </c>
      <c r="D358" t="s">
        <v>1851</v>
      </c>
      <c r="E358" t="s">
        <v>1852</v>
      </c>
      <c r="F358" s="3">
        <v>1</v>
      </c>
      <c r="G358" s="12">
        <f t="shared" si="10"/>
        <v>5.76</v>
      </c>
      <c r="H358" s="12" t="e">
        <f t="shared" si="11"/>
        <v>#NUM!</v>
      </c>
      <c r="I358" s="3">
        <v>5.7574899999999998</v>
      </c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>
        <v>5.76</v>
      </c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 s="4"/>
      <c r="GM358" s="4"/>
      <c r="GN358" s="4"/>
      <c r="GO358" s="4"/>
      <c r="GP358" s="4"/>
      <c r="GQ358" s="4"/>
      <c r="GR358" s="4"/>
      <c r="GS358" s="4"/>
      <c r="GT358" s="4"/>
      <c r="GU358" s="4"/>
      <c r="GV358" s="4"/>
      <c r="GW358" s="4"/>
      <c r="GX358" s="4"/>
      <c r="GY358" s="4"/>
      <c r="GZ358" s="4"/>
      <c r="HA358" s="4"/>
      <c r="HB358" s="4"/>
      <c r="HC358" s="4"/>
      <c r="HD358" s="4"/>
      <c r="HE358" s="4"/>
      <c r="HF358" s="4"/>
      <c r="HG358" s="4"/>
      <c r="HH358" s="4"/>
      <c r="HI358" s="4"/>
      <c r="HJ358" s="4"/>
    </row>
    <row r="359" spans="1:218" hidden="1">
      <c r="A359" t="s">
        <v>2802</v>
      </c>
      <c r="B359" t="s">
        <v>2803</v>
      </c>
      <c r="C359" t="s">
        <v>792</v>
      </c>
      <c r="D359" t="s">
        <v>2804</v>
      </c>
      <c r="E359" t="s">
        <v>2805</v>
      </c>
      <c r="F359" s="3">
        <v>1</v>
      </c>
      <c r="G359" s="12">
        <f t="shared" si="10"/>
        <v>2.76</v>
      </c>
      <c r="H359" s="12" t="e">
        <f t="shared" si="11"/>
        <v>#NUM!</v>
      </c>
      <c r="I359" s="3">
        <v>2.7558600000000002</v>
      </c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>
        <v>2.76</v>
      </c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 s="4"/>
      <c r="GM359" s="4"/>
      <c r="GN359" s="4"/>
      <c r="GO359" s="4"/>
      <c r="GP359" s="4"/>
      <c r="GQ359" s="4"/>
      <c r="GR359" s="4"/>
      <c r="GS359" s="4"/>
      <c r="GT359" s="4"/>
      <c r="GU359" s="4"/>
      <c r="GV359" s="4"/>
      <c r="GW359" s="4"/>
      <c r="GX359" s="4"/>
      <c r="GY359" s="4"/>
      <c r="GZ359" s="4"/>
      <c r="HA359" s="4"/>
      <c r="HB359" s="4"/>
      <c r="HC359" s="4"/>
      <c r="HD359" s="4"/>
      <c r="HE359" s="4"/>
      <c r="HF359" s="4"/>
      <c r="HG359" s="4"/>
      <c r="HH359" s="4"/>
      <c r="HI359" s="4"/>
      <c r="HJ359" s="4"/>
    </row>
    <row r="360" spans="1:218" hidden="1">
      <c r="A360" t="s">
        <v>2606</v>
      </c>
      <c r="B360" t="s">
        <v>2607</v>
      </c>
      <c r="C360" t="s">
        <v>443</v>
      </c>
      <c r="D360" t="s">
        <v>2608</v>
      </c>
      <c r="E360" t="s">
        <v>2609</v>
      </c>
      <c r="F360" s="3">
        <v>1</v>
      </c>
      <c r="G360" s="12">
        <f t="shared" si="10"/>
        <v>3.4</v>
      </c>
      <c r="H360" s="12" t="e">
        <f t="shared" si="11"/>
        <v>#NUM!</v>
      </c>
      <c r="I360" s="3">
        <v>3.3981300000000001</v>
      </c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>
        <v>3.4</v>
      </c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 s="4"/>
      <c r="GM360" s="4"/>
      <c r="GN360" s="4"/>
      <c r="GO360" s="4"/>
      <c r="GP360" s="4"/>
      <c r="GQ360" s="4"/>
      <c r="GR360" s="4"/>
      <c r="GS360" s="4"/>
      <c r="GT360" s="4"/>
      <c r="GU360" s="4"/>
      <c r="GV360" s="4"/>
      <c r="GW360" s="4"/>
      <c r="GX360" s="4"/>
      <c r="GY360" s="4"/>
      <c r="GZ360" s="4"/>
      <c r="HA360" s="4"/>
      <c r="HB360" s="4"/>
      <c r="HC360" s="4"/>
      <c r="HD360" s="4"/>
      <c r="HE360" s="4"/>
      <c r="HF360" s="4"/>
      <c r="HG360" s="4"/>
      <c r="HH360" s="4"/>
      <c r="HI360" s="4"/>
      <c r="HJ360" s="4"/>
    </row>
    <row r="361" spans="1:218" hidden="1">
      <c r="A361" t="s">
        <v>1793</v>
      </c>
      <c r="B361" t="s">
        <v>1794</v>
      </c>
      <c r="C361" t="s">
        <v>443</v>
      </c>
      <c r="D361" t="s">
        <v>1795</v>
      </c>
      <c r="E361" t="s">
        <v>1796</v>
      </c>
      <c r="F361" s="3">
        <v>1</v>
      </c>
      <c r="G361" s="12">
        <f t="shared" si="10"/>
        <v>6.4</v>
      </c>
      <c r="H361" s="12" t="e">
        <f t="shared" si="11"/>
        <v>#NUM!</v>
      </c>
      <c r="I361" s="3">
        <v>6.3999899999999998</v>
      </c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>
        <v>6.4</v>
      </c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 s="4"/>
      <c r="GM361" s="4"/>
      <c r="GN361" s="4"/>
      <c r="GO361" s="4"/>
      <c r="GP361" s="4"/>
      <c r="GQ361" s="4"/>
      <c r="GR361" s="4"/>
      <c r="GS361" s="4"/>
      <c r="GT361" s="4"/>
      <c r="GU361" s="4"/>
      <c r="GV361" s="4"/>
      <c r="GW361" s="4"/>
      <c r="GX361" s="4"/>
      <c r="GY361" s="4"/>
      <c r="GZ361" s="4"/>
      <c r="HA361" s="4"/>
      <c r="HB361" s="4"/>
      <c r="HC361" s="4"/>
      <c r="HD361" s="4"/>
      <c r="HE361" s="4"/>
      <c r="HF361" s="4"/>
      <c r="HG361" s="4"/>
      <c r="HH361" s="4"/>
      <c r="HI361" s="4"/>
      <c r="HJ361" s="4"/>
    </row>
    <row r="362" spans="1:218" hidden="1">
      <c r="A362" t="s">
        <v>2699</v>
      </c>
      <c r="B362" t="s">
        <v>2700</v>
      </c>
      <c r="C362" t="s">
        <v>1028</v>
      </c>
      <c r="D362" t="s">
        <v>2701</v>
      </c>
      <c r="E362" t="s">
        <v>2702</v>
      </c>
      <c r="F362" s="3">
        <v>1</v>
      </c>
      <c r="G362" s="12">
        <f t="shared" si="10"/>
        <v>3.08</v>
      </c>
      <c r="H362" s="12" t="e">
        <f t="shared" si="11"/>
        <v>#NUM!</v>
      </c>
      <c r="I362" s="3">
        <v>3.0797300000000001</v>
      </c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>
        <v>3.08</v>
      </c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 s="4"/>
      <c r="GM362" s="4"/>
      <c r="GN362" s="4"/>
      <c r="GO362" s="4"/>
      <c r="GP362" s="4"/>
      <c r="GQ362" s="4"/>
      <c r="GR362" s="4"/>
      <c r="GS362" s="4"/>
      <c r="GT362" s="4"/>
      <c r="GU362" s="4"/>
      <c r="GV362" s="4"/>
      <c r="GW362" s="4"/>
      <c r="GX362" s="4"/>
      <c r="GY362" s="4"/>
      <c r="GZ362" s="4"/>
      <c r="HA362" s="4"/>
      <c r="HB362" s="4"/>
      <c r="HC362" s="4"/>
      <c r="HD362" s="4"/>
      <c r="HE362" s="4"/>
      <c r="HF362" s="4"/>
      <c r="HG362" s="4"/>
      <c r="HH362" s="4"/>
      <c r="HI362" s="4"/>
      <c r="HJ362" s="4"/>
    </row>
    <row r="363" spans="1:218" hidden="1">
      <c r="A363" t="s">
        <v>2730</v>
      </c>
      <c r="B363" t="s">
        <v>2731</v>
      </c>
      <c r="C363" t="s">
        <v>1028</v>
      </c>
      <c r="D363" t="s">
        <v>2732</v>
      </c>
      <c r="E363" t="s">
        <v>2733</v>
      </c>
      <c r="F363" s="3">
        <v>1</v>
      </c>
      <c r="G363" s="12">
        <f t="shared" si="10"/>
        <v>3.02</v>
      </c>
      <c r="H363" s="12" t="e">
        <f t="shared" si="11"/>
        <v>#NUM!</v>
      </c>
      <c r="I363" s="3">
        <v>3.0238700000000001</v>
      </c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>
        <v>3.02</v>
      </c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 s="4"/>
      <c r="GM363" s="4"/>
      <c r="GN363" s="4"/>
      <c r="GO363" s="4"/>
      <c r="GP363" s="4"/>
      <c r="GQ363" s="4"/>
      <c r="GR363" s="4"/>
      <c r="GS363" s="4"/>
      <c r="GT363" s="4"/>
      <c r="GU363" s="4"/>
      <c r="GV363" s="4"/>
      <c r="GW363" s="4"/>
      <c r="GX363" s="4"/>
      <c r="GY363" s="4"/>
      <c r="GZ363" s="4"/>
      <c r="HA363" s="4"/>
      <c r="HB363" s="4"/>
      <c r="HC363" s="4"/>
      <c r="HD363" s="4"/>
      <c r="HE363" s="4"/>
      <c r="HF363" s="4"/>
      <c r="HG363" s="4"/>
      <c r="HH363" s="4"/>
      <c r="HI363" s="4"/>
      <c r="HJ363" s="4"/>
    </row>
    <row r="364" spans="1:218" hidden="1">
      <c r="A364" t="s">
        <v>2591</v>
      </c>
      <c r="B364" t="s">
        <v>2592</v>
      </c>
      <c r="C364" t="s">
        <v>783</v>
      </c>
      <c r="D364" t="s">
        <v>2593</v>
      </c>
      <c r="E364" t="s">
        <v>2594</v>
      </c>
      <c r="F364" s="3">
        <v>1</v>
      </c>
      <c r="G364" s="12">
        <f t="shared" si="10"/>
        <v>3.44</v>
      </c>
      <c r="H364" s="12" t="e">
        <f t="shared" si="11"/>
        <v>#NUM!</v>
      </c>
      <c r="I364" s="3">
        <v>3.44042</v>
      </c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>
        <v>3.44</v>
      </c>
      <c r="GK364" s="4"/>
      <c r="GL364" s="4"/>
      <c r="GM364" s="4"/>
      <c r="GN364" s="4"/>
      <c r="GO364" s="4"/>
      <c r="GP364" s="4"/>
      <c r="GQ364" s="4"/>
      <c r="GR364" s="4"/>
      <c r="GS364" s="4"/>
      <c r="GT364" s="4"/>
      <c r="GU364" s="4"/>
      <c r="GV364" s="4"/>
      <c r="GW364" s="4"/>
      <c r="GX364" s="4"/>
      <c r="GY364" s="4"/>
      <c r="GZ364" s="4"/>
      <c r="HA364" s="4"/>
      <c r="HB364" s="4"/>
      <c r="HC364" s="4"/>
      <c r="HD364" s="4"/>
      <c r="HE364" s="4"/>
      <c r="HF364" s="4"/>
      <c r="HG364" s="4"/>
      <c r="HH364" s="4"/>
      <c r="HI364" s="4"/>
      <c r="HJ364" s="4"/>
    </row>
    <row r="365" spans="1:218" hidden="1">
      <c r="A365" t="s">
        <v>2957</v>
      </c>
      <c r="B365" t="s">
        <v>2958</v>
      </c>
      <c r="C365" t="s">
        <v>754</v>
      </c>
      <c r="D365" t="s">
        <v>2959</v>
      </c>
      <c r="E365" t="s">
        <v>2960</v>
      </c>
      <c r="F365" s="3">
        <v>1</v>
      </c>
      <c r="G365" s="12">
        <f t="shared" si="10"/>
        <v>2.29</v>
      </c>
      <c r="H365" s="12" t="e">
        <f t="shared" si="11"/>
        <v>#NUM!</v>
      </c>
      <c r="I365" s="3">
        <v>2.2922099999999999</v>
      </c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>
        <v>2.29</v>
      </c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 s="4"/>
      <c r="GM365" s="4"/>
      <c r="GN365" s="4"/>
      <c r="GO365" s="4"/>
      <c r="GP365" s="4"/>
      <c r="GQ365" s="4"/>
      <c r="GR365" s="4"/>
      <c r="GS365" s="4"/>
      <c r="GT365" s="4"/>
      <c r="GU365" s="4"/>
      <c r="GV365" s="4"/>
      <c r="GW365" s="4"/>
      <c r="GX365" s="4"/>
      <c r="GY365" s="4"/>
      <c r="GZ365" s="4"/>
      <c r="HA365" s="4"/>
      <c r="HB365" s="4"/>
      <c r="HC365" s="4"/>
      <c r="HD365" s="4"/>
      <c r="HE365" s="4"/>
      <c r="HF365" s="4"/>
      <c r="HG365" s="4"/>
      <c r="HH365" s="4"/>
      <c r="HI365" s="4"/>
      <c r="HJ365" s="4"/>
    </row>
    <row r="366" spans="1:218" hidden="1">
      <c r="A366" t="s">
        <v>1968</v>
      </c>
      <c r="B366" t="s">
        <v>1969</v>
      </c>
      <c r="C366" t="s">
        <v>590</v>
      </c>
      <c r="D366" t="s">
        <v>1970</v>
      </c>
      <c r="E366" t="s">
        <v>1971</v>
      </c>
      <c r="F366" s="3">
        <v>1</v>
      </c>
      <c r="G366" s="12">
        <f t="shared" si="10"/>
        <v>4.88</v>
      </c>
      <c r="H366" s="12" t="e">
        <f t="shared" si="11"/>
        <v>#NUM!</v>
      </c>
      <c r="I366" s="3">
        <v>4.8827400000000001</v>
      </c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>
        <v>4.88</v>
      </c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 s="4"/>
      <c r="GM366" s="4"/>
      <c r="GN366" s="4"/>
      <c r="GO366" s="4"/>
      <c r="GP366" s="4"/>
      <c r="GQ366" s="4"/>
      <c r="GR366" s="4"/>
      <c r="GS366" s="4"/>
      <c r="GT366" s="4"/>
      <c r="GU366" s="4"/>
      <c r="GV366" s="4"/>
      <c r="GW366" s="4"/>
      <c r="GX366" s="4"/>
      <c r="GY366" s="4"/>
      <c r="GZ366" s="4"/>
      <c r="HA366" s="4"/>
      <c r="HB366" s="4"/>
      <c r="HC366" s="4"/>
      <c r="HD366" s="4"/>
      <c r="HE366" s="4"/>
      <c r="HF366" s="4"/>
      <c r="HG366" s="4"/>
      <c r="HH366" s="4"/>
      <c r="HI366" s="4"/>
      <c r="HJ366" s="4"/>
    </row>
    <row r="367" spans="1:218" hidden="1">
      <c r="A367" t="s">
        <v>2094</v>
      </c>
      <c r="B367" t="s">
        <v>2095</v>
      </c>
      <c r="C367" t="s">
        <v>826</v>
      </c>
      <c r="D367" t="s">
        <v>2096</v>
      </c>
      <c r="E367" t="s">
        <v>2097</v>
      </c>
      <c r="F367" s="3">
        <v>1</v>
      </c>
      <c r="G367" s="12">
        <f t="shared" si="10"/>
        <v>4.5599999999999996</v>
      </c>
      <c r="H367" s="12" t="e">
        <f t="shared" si="11"/>
        <v>#NUM!</v>
      </c>
      <c r="I367" s="3">
        <v>4.5596297999999997</v>
      </c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>
        <v>4.5599999999999996</v>
      </c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 s="4"/>
      <c r="GM367" s="4"/>
      <c r="GN367" s="4"/>
      <c r="GO367" s="4"/>
      <c r="GP367" s="4"/>
      <c r="GQ367" s="4"/>
      <c r="GR367" s="4"/>
      <c r="GS367" s="4"/>
      <c r="GT367" s="4"/>
      <c r="GU367" s="4"/>
      <c r="GV367" s="4"/>
      <c r="GW367" s="4"/>
      <c r="GX367" s="4"/>
      <c r="GY367" s="4"/>
      <c r="GZ367" s="4"/>
      <c r="HA367" s="4"/>
      <c r="HB367" s="4"/>
      <c r="HC367" s="4"/>
      <c r="HD367" s="4"/>
      <c r="HE367" s="4"/>
      <c r="HF367" s="4"/>
      <c r="HG367" s="4"/>
      <c r="HH367" s="4"/>
      <c r="HI367" s="4"/>
      <c r="HJ367" s="4"/>
    </row>
    <row r="368" spans="1:218" hidden="1">
      <c r="A368" t="s">
        <v>2797</v>
      </c>
      <c r="B368" t="s">
        <v>2798</v>
      </c>
      <c r="C368" t="s">
        <v>2799</v>
      </c>
      <c r="D368" t="s">
        <v>2800</v>
      </c>
      <c r="E368" t="s">
        <v>2801</v>
      </c>
      <c r="F368" s="3">
        <v>1</v>
      </c>
      <c r="G368" s="12">
        <f t="shared" si="10"/>
        <v>2.81</v>
      </c>
      <c r="H368" s="12" t="e">
        <f t="shared" si="11"/>
        <v>#NUM!</v>
      </c>
      <c r="I368" s="3">
        <v>2.8120501</v>
      </c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>
        <v>2.81</v>
      </c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 s="4"/>
      <c r="GM368" s="4"/>
      <c r="GN368" s="4"/>
      <c r="GO368" s="4"/>
      <c r="GP368" s="4"/>
      <c r="GQ368" s="4"/>
      <c r="GR368" s="4"/>
      <c r="GS368" s="4"/>
      <c r="GT368" s="4"/>
      <c r="GU368" s="4"/>
      <c r="GV368" s="4"/>
      <c r="GW368" s="4"/>
      <c r="GX368" s="4"/>
      <c r="GY368" s="4"/>
      <c r="GZ368" s="4"/>
      <c r="HA368" s="4"/>
      <c r="HB368" s="4"/>
      <c r="HC368" s="4"/>
      <c r="HD368" s="4"/>
      <c r="HE368" s="4"/>
      <c r="HF368" s="4"/>
      <c r="HG368" s="4"/>
      <c r="HH368" s="4"/>
      <c r="HI368" s="4"/>
      <c r="HJ368" s="4"/>
    </row>
    <row r="369" spans="1:218" hidden="1">
      <c r="A369" t="s">
        <v>3037</v>
      </c>
      <c r="B369" t="s">
        <v>3038</v>
      </c>
      <c r="C369" t="s">
        <v>505</v>
      </c>
      <c r="D369" t="s">
        <v>3039</v>
      </c>
      <c r="E369" t="s">
        <v>3040</v>
      </c>
      <c r="F369" s="3">
        <v>1</v>
      </c>
      <c r="G369" s="12">
        <f t="shared" si="10"/>
        <v>1.98</v>
      </c>
      <c r="H369" s="12" t="e">
        <f t="shared" si="11"/>
        <v>#NUM!</v>
      </c>
      <c r="I369" s="3">
        <v>1.9818800000000001</v>
      </c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>
        <v>1.98</v>
      </c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 s="4"/>
      <c r="GM369" s="4"/>
      <c r="GN369" s="4"/>
      <c r="GO369" s="4"/>
      <c r="GP369" s="4"/>
      <c r="GQ369" s="4"/>
      <c r="GR369" s="4"/>
      <c r="GS369" s="4"/>
      <c r="GT369" s="4"/>
      <c r="GU369" s="4"/>
      <c r="GV369" s="4"/>
      <c r="GW369" s="4"/>
      <c r="GX369" s="4"/>
      <c r="GY369" s="4"/>
      <c r="GZ369" s="4"/>
      <c r="HA369" s="4"/>
      <c r="HB369" s="4"/>
      <c r="HC369" s="4"/>
      <c r="HD369" s="4"/>
      <c r="HE369" s="4"/>
      <c r="HF369" s="4"/>
      <c r="HG369" s="4"/>
      <c r="HH369" s="4"/>
      <c r="HI369" s="4"/>
      <c r="HJ369" s="4"/>
    </row>
    <row r="370" spans="1:218" hidden="1">
      <c r="A370" t="s">
        <v>1745</v>
      </c>
      <c r="B370" t="s">
        <v>1746</v>
      </c>
      <c r="C370" t="s">
        <v>954</v>
      </c>
      <c r="D370" t="s">
        <v>1747</v>
      </c>
      <c r="E370" t="s">
        <v>1748</v>
      </c>
      <c r="F370" s="3">
        <v>1</v>
      </c>
      <c r="G370" s="12">
        <f t="shared" si="10"/>
        <v>7.1</v>
      </c>
      <c r="H370" s="12" t="e">
        <f t="shared" si="11"/>
        <v>#NUM!</v>
      </c>
      <c r="I370" s="3">
        <v>7.0997500000000002</v>
      </c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 s="4"/>
      <c r="GM370" s="4"/>
      <c r="GN370" s="4"/>
      <c r="GO370" s="4"/>
      <c r="GP370" s="4"/>
      <c r="GQ370" s="4"/>
      <c r="GR370" s="4"/>
      <c r="GS370" s="4"/>
      <c r="GT370" s="4"/>
      <c r="GU370" s="4"/>
      <c r="GV370" s="4"/>
      <c r="GW370" s="4"/>
      <c r="GX370" s="4">
        <v>7.1</v>
      </c>
      <c r="GY370" s="4"/>
      <c r="GZ370" s="4"/>
      <c r="HA370" s="4"/>
      <c r="HB370" s="4"/>
      <c r="HC370" s="4"/>
      <c r="HD370" s="4"/>
      <c r="HE370" s="4"/>
      <c r="HF370" s="4"/>
      <c r="HG370" s="4"/>
      <c r="HH370" s="4"/>
      <c r="HI370" s="4"/>
      <c r="HJ370" s="4"/>
    </row>
    <row r="371" spans="1:218" hidden="1">
      <c r="A371" t="s">
        <v>1719</v>
      </c>
      <c r="B371" t="s">
        <v>1720</v>
      </c>
      <c r="C371" t="s">
        <v>954</v>
      </c>
      <c r="D371" t="s">
        <v>1721</v>
      </c>
      <c r="E371" t="s">
        <v>1722</v>
      </c>
      <c r="F371" s="3">
        <v>1</v>
      </c>
      <c r="G371" s="12">
        <f t="shared" si="10"/>
        <v>7.41</v>
      </c>
      <c r="H371" s="12" t="e">
        <f t="shared" si="11"/>
        <v>#NUM!</v>
      </c>
      <c r="I371" s="3">
        <v>7.407420000000001</v>
      </c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>
        <v>7.41</v>
      </c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 s="4"/>
      <c r="GM371" s="4"/>
      <c r="GN371" s="4"/>
      <c r="GO371" s="4"/>
      <c r="GP371" s="4"/>
      <c r="GQ371" s="4"/>
      <c r="GR371" s="4"/>
      <c r="GS371" s="4"/>
      <c r="GT371" s="4"/>
      <c r="GU371" s="4"/>
      <c r="GV371" s="4"/>
      <c r="GW371" s="4"/>
      <c r="GX371" s="4"/>
      <c r="GY371" s="4"/>
      <c r="GZ371" s="4"/>
      <c r="HA371" s="4"/>
      <c r="HB371" s="4"/>
      <c r="HC371" s="4"/>
      <c r="HD371" s="4"/>
      <c r="HE371" s="4"/>
      <c r="HF371" s="4"/>
      <c r="HG371" s="4"/>
      <c r="HH371" s="4"/>
      <c r="HI371" s="4"/>
      <c r="HJ371" s="4"/>
    </row>
    <row r="372" spans="1:218" hidden="1">
      <c r="A372" t="s">
        <v>2773</v>
      </c>
      <c r="B372" t="s">
        <v>2774</v>
      </c>
      <c r="C372" t="s">
        <v>489</v>
      </c>
      <c r="D372" t="s">
        <v>490</v>
      </c>
      <c r="E372" t="s">
        <v>490</v>
      </c>
      <c r="F372" s="3">
        <v>1</v>
      </c>
      <c r="G372" s="12">
        <f t="shared" si="10"/>
        <v>2.91</v>
      </c>
      <c r="H372" s="12" t="e">
        <f t="shared" si="11"/>
        <v>#NUM!</v>
      </c>
      <c r="I372" s="3">
        <v>2.9062199999999998</v>
      </c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 s="4"/>
      <c r="GM372" s="4"/>
      <c r="GN372" s="4"/>
      <c r="GO372" s="4"/>
      <c r="GP372" s="4"/>
      <c r="GQ372" s="4"/>
      <c r="GR372" s="4">
        <v>2.91</v>
      </c>
      <c r="GS372" s="4"/>
      <c r="GT372" s="4"/>
      <c r="GU372" s="4"/>
      <c r="GV372" s="4"/>
      <c r="GW372" s="4"/>
      <c r="GX372" s="4"/>
      <c r="GY372" s="4"/>
      <c r="GZ372" s="4"/>
      <c r="HA372" s="4"/>
      <c r="HB372" s="4"/>
      <c r="HC372" s="4"/>
      <c r="HD372" s="4"/>
      <c r="HE372" s="4"/>
      <c r="HF372" s="4"/>
      <c r="HG372" s="4"/>
      <c r="HH372" s="4"/>
      <c r="HI372" s="4"/>
      <c r="HJ372" s="4"/>
    </row>
    <row r="373" spans="1:218" hidden="1">
      <c r="A373" t="s">
        <v>2565</v>
      </c>
      <c r="B373" t="s">
        <v>2566</v>
      </c>
      <c r="C373" t="s">
        <v>489</v>
      </c>
      <c r="D373" t="s">
        <v>490</v>
      </c>
      <c r="E373" t="s">
        <v>490</v>
      </c>
      <c r="F373" s="3">
        <v>1</v>
      </c>
      <c r="G373" s="12">
        <f t="shared" si="10"/>
        <v>3.48</v>
      </c>
      <c r="H373" s="12" t="e">
        <f t="shared" si="11"/>
        <v>#NUM!</v>
      </c>
      <c r="I373" s="3">
        <v>3.4751300000000001</v>
      </c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>
        <v>3.48</v>
      </c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 s="4"/>
      <c r="GM373" s="4"/>
      <c r="GN373" s="4"/>
      <c r="GO373" s="4"/>
      <c r="GP373" s="4"/>
      <c r="GQ373" s="4"/>
      <c r="GR373" s="4"/>
      <c r="GS373" s="4"/>
      <c r="GT373" s="4"/>
      <c r="GU373" s="4"/>
      <c r="GV373" s="4"/>
      <c r="GW373" s="4"/>
      <c r="GX373" s="4"/>
      <c r="GY373" s="4"/>
      <c r="GZ373" s="4"/>
      <c r="HA373" s="4"/>
      <c r="HB373" s="4"/>
      <c r="HC373" s="4"/>
      <c r="HD373" s="4"/>
      <c r="HE373" s="4"/>
      <c r="HF373" s="4"/>
      <c r="HG373" s="4"/>
      <c r="HH373" s="4"/>
      <c r="HI373" s="4"/>
      <c r="HJ373" s="4"/>
    </row>
    <row r="374" spans="1:218" hidden="1">
      <c r="A374" t="s">
        <v>2655</v>
      </c>
      <c r="B374" t="s">
        <v>2656</v>
      </c>
      <c r="C374" t="s">
        <v>590</v>
      </c>
      <c r="D374" t="s">
        <v>2657</v>
      </c>
      <c r="E374" t="s">
        <v>2658</v>
      </c>
      <c r="F374" s="3">
        <v>1</v>
      </c>
      <c r="G374" s="12">
        <f t="shared" si="10"/>
        <v>3.21</v>
      </c>
      <c r="H374" s="12" t="e">
        <f t="shared" si="11"/>
        <v>#NUM!</v>
      </c>
      <c r="I374" s="3">
        <v>3.2080899999999999</v>
      </c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>
        <v>3.21</v>
      </c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 s="4"/>
      <c r="GM374" s="4"/>
      <c r="GN374" s="4"/>
      <c r="GO374" s="4"/>
      <c r="GP374" s="4"/>
      <c r="GQ374" s="4"/>
      <c r="GR374" s="4"/>
      <c r="GS374" s="4"/>
      <c r="GT374" s="4"/>
      <c r="GU374" s="4"/>
      <c r="GV374" s="4"/>
      <c r="GW374" s="4"/>
      <c r="GX374" s="4"/>
      <c r="GY374" s="4"/>
      <c r="GZ374" s="4"/>
      <c r="HA374" s="4"/>
      <c r="HB374" s="4"/>
      <c r="HC374" s="4"/>
      <c r="HD374" s="4"/>
      <c r="HE374" s="4"/>
      <c r="HF374" s="4"/>
      <c r="HG374" s="4"/>
      <c r="HH374" s="4"/>
      <c r="HI374" s="4"/>
      <c r="HJ374" s="4"/>
    </row>
    <row r="375" spans="1:218" hidden="1">
      <c r="A375" t="s">
        <v>2910</v>
      </c>
      <c r="B375" t="s">
        <v>2911</v>
      </c>
      <c r="C375" t="s">
        <v>505</v>
      </c>
      <c r="D375" t="s">
        <v>2912</v>
      </c>
      <c r="E375" t="s">
        <v>2913</v>
      </c>
      <c r="F375" s="3">
        <v>1</v>
      </c>
      <c r="G375" s="12">
        <f t="shared" si="10"/>
        <v>2.37</v>
      </c>
      <c r="H375" s="12" t="e">
        <f t="shared" si="11"/>
        <v>#NUM!</v>
      </c>
      <c r="I375" s="3">
        <v>2.3701300000000001</v>
      </c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>
        <v>2.37</v>
      </c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 s="4"/>
      <c r="GM375" s="4"/>
      <c r="GN375" s="4"/>
      <c r="GO375" s="4"/>
      <c r="GP375" s="4"/>
      <c r="GQ375" s="4"/>
      <c r="GR375" s="4"/>
      <c r="GS375" s="4"/>
      <c r="GT375" s="4"/>
      <c r="GU375" s="4"/>
      <c r="GV375" s="4"/>
      <c r="GW375" s="4"/>
      <c r="GX375" s="4"/>
      <c r="GY375" s="4"/>
      <c r="GZ375" s="4"/>
      <c r="HA375" s="4"/>
      <c r="HB375" s="4"/>
      <c r="HC375" s="4"/>
      <c r="HD375" s="4"/>
      <c r="HE375" s="4"/>
      <c r="HF375" s="4"/>
      <c r="HG375" s="4"/>
      <c r="HH375" s="4"/>
      <c r="HI375" s="4"/>
      <c r="HJ375" s="4"/>
    </row>
    <row r="376" spans="1:218" hidden="1">
      <c r="A376" t="s">
        <v>3049</v>
      </c>
      <c r="B376" t="s">
        <v>3050</v>
      </c>
      <c r="C376" t="s">
        <v>443</v>
      </c>
      <c r="D376" t="s">
        <v>3051</v>
      </c>
      <c r="E376" t="s">
        <v>3052</v>
      </c>
      <c r="F376" s="3">
        <v>1</v>
      </c>
      <c r="G376" s="12">
        <f t="shared" si="10"/>
        <v>1.92</v>
      </c>
      <c r="H376" s="12" t="e">
        <f t="shared" si="11"/>
        <v>#NUM!</v>
      </c>
      <c r="I376" s="3">
        <v>1.9232899999999999</v>
      </c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 s="4"/>
      <c r="GM376" s="4"/>
      <c r="GN376" s="4"/>
      <c r="GO376" s="4"/>
      <c r="GP376" s="4"/>
      <c r="GQ376" s="4"/>
      <c r="GR376" s="4"/>
      <c r="GS376" s="4"/>
      <c r="GT376" s="4"/>
      <c r="GU376" s="4"/>
      <c r="GV376" s="4"/>
      <c r="GW376" s="4">
        <v>1.92</v>
      </c>
      <c r="GX376" s="4"/>
      <c r="GY376" s="4"/>
      <c r="GZ376" s="4"/>
      <c r="HA376" s="4"/>
      <c r="HB376" s="4"/>
      <c r="HC376" s="4"/>
      <c r="HD376" s="4"/>
      <c r="HE376" s="4"/>
      <c r="HF376" s="4"/>
      <c r="HG376" s="4"/>
      <c r="HH376" s="4"/>
      <c r="HI376" s="4"/>
      <c r="HJ376" s="4"/>
    </row>
    <row r="377" spans="1:218" hidden="1">
      <c r="A377" t="s">
        <v>2630</v>
      </c>
      <c r="B377" t="s">
        <v>2631</v>
      </c>
      <c r="C377" t="s">
        <v>826</v>
      </c>
      <c r="D377" t="s">
        <v>2632</v>
      </c>
      <c r="E377" t="s">
        <v>2633</v>
      </c>
      <c r="F377" s="3">
        <v>1</v>
      </c>
      <c r="G377" s="12">
        <f t="shared" si="10"/>
        <v>3.33</v>
      </c>
      <c r="H377" s="12" t="e">
        <f t="shared" si="11"/>
        <v>#NUM!</v>
      </c>
      <c r="I377" s="3">
        <v>3.3254999999999999</v>
      </c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>
        <v>3.33</v>
      </c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 s="4"/>
      <c r="GM377" s="4"/>
      <c r="GN377" s="4"/>
      <c r="GO377" s="4"/>
      <c r="GP377" s="4"/>
      <c r="GQ377" s="4"/>
      <c r="GR377" s="4"/>
      <c r="GS377" s="4"/>
      <c r="GT377" s="4"/>
      <c r="GU377" s="4"/>
      <c r="GV377" s="4"/>
      <c r="GW377" s="4"/>
      <c r="GX377" s="4"/>
      <c r="GY377" s="4"/>
      <c r="GZ377" s="4"/>
      <c r="HA377" s="4"/>
      <c r="HB377" s="4"/>
      <c r="HC377" s="4"/>
      <c r="HD377" s="4"/>
      <c r="HE377" s="4"/>
      <c r="HF377" s="4"/>
      <c r="HG377" s="4"/>
      <c r="HH377" s="4"/>
      <c r="HI377" s="4"/>
      <c r="HJ377" s="4"/>
    </row>
    <row r="378" spans="1:218" hidden="1">
      <c r="A378" t="s">
        <v>2983</v>
      </c>
      <c r="B378" t="s">
        <v>2984</v>
      </c>
      <c r="C378" t="s">
        <v>754</v>
      </c>
      <c r="D378" t="s">
        <v>2985</v>
      </c>
      <c r="E378" t="s">
        <v>2986</v>
      </c>
      <c r="F378" s="3">
        <v>1</v>
      </c>
      <c r="G378" s="12">
        <f t="shared" si="10"/>
        <v>2.2599999999999998</v>
      </c>
      <c r="H378" s="12" t="e">
        <f t="shared" si="11"/>
        <v>#NUM!</v>
      </c>
      <c r="I378" s="3">
        <v>2.2628800999999998</v>
      </c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>
        <v>2.2599999999999998</v>
      </c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 s="4"/>
      <c r="GM378" s="4"/>
      <c r="GN378" s="4"/>
      <c r="GO378" s="4"/>
      <c r="GP378" s="4"/>
      <c r="GQ378" s="4"/>
      <c r="GR378" s="4"/>
      <c r="GS378" s="4"/>
      <c r="GT378" s="4"/>
      <c r="GU378" s="4"/>
      <c r="GV378" s="4"/>
      <c r="GW378" s="4"/>
      <c r="GX378" s="4"/>
      <c r="GY378" s="4"/>
      <c r="GZ378" s="4"/>
      <c r="HA378" s="4"/>
      <c r="HB378" s="4"/>
      <c r="HC378" s="4"/>
      <c r="HD378" s="4"/>
      <c r="HE378" s="4"/>
      <c r="HF378" s="4"/>
      <c r="HG378" s="4"/>
      <c r="HH378" s="4"/>
      <c r="HI378" s="4"/>
      <c r="HJ378" s="4"/>
    </row>
    <row r="379" spans="1:218" hidden="1">
      <c r="A379" t="s">
        <v>2828</v>
      </c>
      <c r="B379" t="s">
        <v>2829</v>
      </c>
      <c r="C379" t="s">
        <v>1229</v>
      </c>
      <c r="D379" t="s">
        <v>2830</v>
      </c>
      <c r="E379" t="s">
        <v>2831</v>
      </c>
      <c r="F379" s="3">
        <v>1</v>
      </c>
      <c r="G379" s="12">
        <f t="shared" si="10"/>
        <v>2.71</v>
      </c>
      <c r="H379" s="12" t="e">
        <f t="shared" si="11"/>
        <v>#NUM!</v>
      </c>
      <c r="I379" s="3">
        <v>2.7076297999999999</v>
      </c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>
        <v>2.71</v>
      </c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 s="4"/>
      <c r="GM379" s="4"/>
      <c r="GN379" s="4"/>
      <c r="GO379" s="4"/>
      <c r="GP379" s="4"/>
      <c r="GQ379" s="4"/>
      <c r="GR379" s="4"/>
      <c r="GS379" s="4"/>
      <c r="GT379" s="4"/>
      <c r="GU379" s="4"/>
      <c r="GV379" s="4"/>
      <c r="GW379" s="4"/>
      <c r="GX379" s="4"/>
      <c r="GY379" s="4"/>
      <c r="GZ379" s="4"/>
      <c r="HA379" s="4"/>
      <c r="HB379" s="4"/>
      <c r="HC379" s="4"/>
      <c r="HD379" s="4"/>
      <c r="HE379" s="4"/>
      <c r="HF379" s="4"/>
      <c r="HG379" s="4"/>
      <c r="HH379" s="4"/>
      <c r="HI379" s="4"/>
      <c r="HJ379" s="4"/>
    </row>
    <row r="380" spans="1:218" hidden="1">
      <c r="A380" t="s">
        <v>3145</v>
      </c>
      <c r="B380" t="s">
        <v>3146</v>
      </c>
      <c r="C380" t="s">
        <v>443</v>
      </c>
      <c r="D380" t="s">
        <v>3147</v>
      </c>
      <c r="E380" t="s">
        <v>3148</v>
      </c>
      <c r="F380" s="3">
        <v>1</v>
      </c>
      <c r="G380" s="12">
        <f t="shared" si="10"/>
        <v>0.99</v>
      </c>
      <c r="H380" s="12" t="e">
        <f t="shared" si="11"/>
        <v>#NUM!</v>
      </c>
      <c r="I380" s="3">
        <v>0.99215999999999993</v>
      </c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>
        <v>0.99</v>
      </c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 s="4"/>
      <c r="GM380" s="4"/>
      <c r="GN380" s="4"/>
      <c r="GO380" s="4"/>
      <c r="GP380" s="4"/>
      <c r="GQ380" s="4"/>
      <c r="GR380" s="4"/>
      <c r="GS380" s="4"/>
      <c r="GT380" s="4"/>
      <c r="GU380" s="4"/>
      <c r="GV380" s="4"/>
      <c r="GW380" s="4"/>
      <c r="GX380" s="4"/>
      <c r="GY380" s="4"/>
      <c r="GZ380" s="4"/>
      <c r="HA380" s="4"/>
      <c r="HB380" s="4"/>
      <c r="HC380" s="4"/>
      <c r="HD380" s="4"/>
      <c r="HE380" s="4"/>
      <c r="HF380" s="4"/>
      <c r="HG380" s="4"/>
      <c r="HH380" s="4"/>
      <c r="HI380" s="4"/>
      <c r="HJ380" s="4"/>
    </row>
    <row r="381" spans="1:218" hidden="1">
      <c r="A381" t="s">
        <v>1709</v>
      </c>
      <c r="B381" t="s">
        <v>1710</v>
      </c>
      <c r="C381" t="s">
        <v>489</v>
      </c>
      <c r="D381" t="s">
        <v>490</v>
      </c>
      <c r="E381" t="s">
        <v>490</v>
      </c>
      <c r="F381" s="3">
        <v>1</v>
      </c>
      <c r="G381" s="12">
        <f t="shared" si="10"/>
        <v>7.73</v>
      </c>
      <c r="H381" s="12" t="e">
        <f t="shared" si="11"/>
        <v>#NUM!</v>
      </c>
      <c r="I381" s="3">
        <v>7.7273300000000003</v>
      </c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>
        <v>7.73</v>
      </c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 s="4"/>
      <c r="GM381" s="4"/>
      <c r="GN381" s="4"/>
      <c r="GO381" s="4"/>
      <c r="GP381" s="4"/>
      <c r="GQ381" s="4"/>
      <c r="GR381" s="4"/>
      <c r="GS381" s="4"/>
      <c r="GT381" s="4"/>
      <c r="GU381" s="4"/>
      <c r="GV381" s="4"/>
      <c r="GW381" s="4"/>
      <c r="GX381" s="4"/>
      <c r="GY381" s="4"/>
      <c r="GZ381" s="4"/>
      <c r="HA381" s="4"/>
      <c r="HB381" s="4"/>
      <c r="HC381" s="4"/>
      <c r="HD381" s="4"/>
      <c r="HE381" s="4"/>
      <c r="HF381" s="4"/>
      <c r="HG381" s="4"/>
      <c r="HH381" s="4"/>
      <c r="HI381" s="4"/>
      <c r="HJ381" s="4"/>
    </row>
    <row r="382" spans="1:218" hidden="1">
      <c r="A382" t="s">
        <v>2370</v>
      </c>
      <c r="B382" t="s">
        <v>2371</v>
      </c>
      <c r="C382" t="s">
        <v>443</v>
      </c>
      <c r="D382" t="s">
        <v>2372</v>
      </c>
      <c r="E382" t="s">
        <v>2373</v>
      </c>
      <c r="F382" s="3">
        <v>1</v>
      </c>
      <c r="G382" s="12">
        <f t="shared" si="10"/>
        <v>3.99</v>
      </c>
      <c r="H382" s="12" t="e">
        <f t="shared" si="11"/>
        <v>#NUM!</v>
      </c>
      <c r="I382" s="3">
        <v>3.9939597</v>
      </c>
      <c r="K382" s="4"/>
      <c r="L382" s="4"/>
      <c r="M382" s="4"/>
      <c r="N382" s="4"/>
      <c r="O382" s="4"/>
      <c r="P382" s="4"/>
      <c r="Q382" s="4">
        <v>3.99</v>
      </c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 s="4"/>
      <c r="GM382" s="4"/>
      <c r="GN382" s="4"/>
      <c r="GO382" s="4"/>
      <c r="GP382" s="4"/>
      <c r="GQ382" s="4"/>
      <c r="GR382" s="4"/>
      <c r="GS382" s="4"/>
      <c r="GT382" s="4"/>
      <c r="GU382" s="4"/>
      <c r="GV382" s="4"/>
      <c r="GW382" s="4"/>
      <c r="GX382" s="4"/>
      <c r="GY382" s="4"/>
      <c r="GZ382" s="4"/>
      <c r="HA382" s="4"/>
      <c r="HB382" s="4"/>
      <c r="HC382" s="4"/>
      <c r="HD382" s="4"/>
      <c r="HE382" s="4"/>
      <c r="HF382" s="4"/>
      <c r="HG382" s="4"/>
      <c r="HH382" s="4"/>
      <c r="HI382" s="4"/>
      <c r="HJ382" s="4"/>
    </row>
    <row r="383" spans="1:218" hidden="1">
      <c r="A383" t="s">
        <v>1727</v>
      </c>
      <c r="B383" t="s">
        <v>1728</v>
      </c>
      <c r="C383" t="s">
        <v>505</v>
      </c>
      <c r="D383" t="s">
        <v>1729</v>
      </c>
      <c r="E383" t="s">
        <v>1730</v>
      </c>
      <c r="F383" s="3">
        <v>1</v>
      </c>
      <c r="G383" s="12">
        <f t="shared" si="10"/>
        <v>7.34</v>
      </c>
      <c r="H383" s="12" t="e">
        <f t="shared" si="11"/>
        <v>#NUM!</v>
      </c>
      <c r="I383" s="3">
        <v>7.3361300000000007</v>
      </c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>
        <v>7.34</v>
      </c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 s="4"/>
      <c r="GM383" s="4"/>
      <c r="GN383" s="4"/>
      <c r="GO383" s="4"/>
      <c r="GP383" s="4"/>
      <c r="GQ383" s="4"/>
      <c r="GR383" s="4"/>
      <c r="GS383" s="4"/>
      <c r="GT383" s="4"/>
      <c r="GU383" s="4"/>
      <c r="GV383" s="4"/>
      <c r="GW383" s="4"/>
      <c r="GX383" s="4"/>
      <c r="GY383" s="4"/>
      <c r="GZ383" s="4"/>
      <c r="HA383" s="4"/>
      <c r="HB383" s="4"/>
      <c r="HC383" s="4"/>
      <c r="HD383" s="4"/>
      <c r="HE383" s="4"/>
      <c r="HF383" s="4"/>
      <c r="HG383" s="4"/>
      <c r="HH383" s="4"/>
      <c r="HI383" s="4"/>
      <c r="HJ383" s="4"/>
    </row>
    <row r="384" spans="1:218" hidden="1">
      <c r="A384" t="s">
        <v>3053</v>
      </c>
      <c r="B384" t="s">
        <v>3054</v>
      </c>
      <c r="C384" t="s">
        <v>3055</v>
      </c>
      <c r="D384" t="s">
        <v>490</v>
      </c>
      <c r="E384" t="s">
        <v>3056</v>
      </c>
      <c r="F384" s="3">
        <v>1</v>
      </c>
      <c r="G384" s="12">
        <f t="shared" si="10"/>
        <v>1.91</v>
      </c>
      <c r="H384" s="12" t="e">
        <f t="shared" si="11"/>
        <v>#NUM!</v>
      </c>
      <c r="I384" s="3">
        <v>1.9096500000000001</v>
      </c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>
        <v>1.91</v>
      </c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 s="4"/>
      <c r="GM384" s="4"/>
      <c r="GN384" s="4"/>
      <c r="GO384" s="4"/>
      <c r="GP384" s="4"/>
      <c r="GQ384" s="4"/>
      <c r="GR384" s="4"/>
      <c r="GS384" s="4"/>
      <c r="GT384" s="4"/>
      <c r="GU384" s="4"/>
      <c r="GV384" s="4"/>
      <c r="GW384" s="4"/>
      <c r="GX384" s="4"/>
      <c r="GY384" s="4"/>
      <c r="GZ384" s="4"/>
      <c r="HA384" s="4"/>
      <c r="HB384" s="4"/>
      <c r="HC384" s="4"/>
      <c r="HD384" s="4"/>
      <c r="HE384" s="4"/>
      <c r="HF384" s="4"/>
      <c r="HG384" s="4"/>
      <c r="HH384" s="4"/>
      <c r="HI384" s="4"/>
      <c r="HJ384" s="4"/>
    </row>
    <row r="385" spans="1:218" hidden="1">
      <c r="A385" t="s">
        <v>2189</v>
      </c>
      <c r="B385" t="s">
        <v>2190</v>
      </c>
      <c r="C385" t="s">
        <v>505</v>
      </c>
      <c r="D385" t="s">
        <v>2191</v>
      </c>
      <c r="E385" t="s">
        <v>2192</v>
      </c>
      <c r="F385" s="3">
        <v>1</v>
      </c>
      <c r="G385" s="12">
        <f t="shared" si="10"/>
        <v>4.33</v>
      </c>
      <c r="H385" s="12" t="e">
        <f t="shared" si="11"/>
        <v>#NUM!</v>
      </c>
      <c r="I385" s="3">
        <v>4.3281399999999994</v>
      </c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>
        <v>4.33</v>
      </c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 s="4"/>
      <c r="GM385" s="4"/>
      <c r="GN385" s="4"/>
      <c r="GO385" s="4"/>
      <c r="GP385" s="4"/>
      <c r="GQ385" s="4"/>
      <c r="GR385" s="4"/>
      <c r="GS385" s="4"/>
      <c r="GT385" s="4"/>
      <c r="GU385" s="4"/>
      <c r="GV385" s="4"/>
      <c r="GW385" s="4"/>
      <c r="GX385" s="4"/>
      <c r="GY385" s="4"/>
      <c r="GZ385" s="4"/>
      <c r="HA385" s="4"/>
      <c r="HB385" s="4"/>
      <c r="HC385" s="4"/>
      <c r="HD385" s="4"/>
      <c r="HE385" s="4"/>
      <c r="HF385" s="4"/>
      <c r="HG385" s="4"/>
      <c r="HH385" s="4"/>
      <c r="HI385" s="4"/>
      <c r="HJ385" s="4"/>
    </row>
    <row r="386" spans="1:218" hidden="1">
      <c r="A386" t="s">
        <v>2064</v>
      </c>
      <c r="B386" t="s">
        <v>2065</v>
      </c>
      <c r="C386" t="s">
        <v>443</v>
      </c>
      <c r="D386" t="s">
        <v>2066</v>
      </c>
      <c r="E386" t="s">
        <v>2067</v>
      </c>
      <c r="F386" s="3">
        <v>1</v>
      </c>
      <c r="G386" s="12">
        <f t="shared" si="10"/>
        <v>4.6100000000000003</v>
      </c>
      <c r="H386" s="12" t="e">
        <f t="shared" si="11"/>
        <v>#NUM!</v>
      </c>
      <c r="I386" s="3">
        <v>4.60947</v>
      </c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>
        <v>4.6100000000000003</v>
      </c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 s="4"/>
      <c r="GM386" s="4"/>
      <c r="GN386" s="4"/>
      <c r="GO386" s="4"/>
      <c r="GP386" s="4"/>
      <c r="GQ386" s="4"/>
      <c r="GR386" s="4"/>
      <c r="GS386" s="4"/>
      <c r="GT386" s="4"/>
      <c r="GU386" s="4"/>
      <c r="GV386" s="4"/>
      <c r="GW386" s="4"/>
      <c r="GX386" s="4"/>
      <c r="GY386" s="4"/>
      <c r="GZ386" s="4"/>
      <c r="HA386" s="4"/>
      <c r="HB386" s="4"/>
      <c r="HC386" s="4"/>
      <c r="HD386" s="4"/>
      <c r="HE386" s="4"/>
      <c r="HF386" s="4"/>
      <c r="HG386" s="4"/>
      <c r="HH386" s="4"/>
      <c r="HI386" s="4"/>
      <c r="HJ386" s="4"/>
    </row>
    <row r="387" spans="1:218" hidden="1">
      <c r="A387" t="s">
        <v>2193</v>
      </c>
      <c r="B387" t="s">
        <v>2194</v>
      </c>
      <c r="C387" t="s">
        <v>2195</v>
      </c>
      <c r="D387" t="s">
        <v>2196</v>
      </c>
      <c r="E387" t="s">
        <v>2197</v>
      </c>
      <c r="F387" s="3">
        <v>1</v>
      </c>
      <c r="G387" s="12">
        <f t="shared" si="10"/>
        <v>4.32</v>
      </c>
      <c r="H387" s="12" t="e">
        <f t="shared" si="11"/>
        <v>#NUM!</v>
      </c>
      <c r="I387" s="3">
        <v>4.3237800000000002</v>
      </c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>
        <v>4.32</v>
      </c>
      <c r="GK387" s="4"/>
      <c r="GL387" s="4"/>
      <c r="GM387" s="4"/>
      <c r="GN387" s="4"/>
      <c r="GO387" s="4"/>
      <c r="GP387" s="4"/>
      <c r="GQ387" s="4"/>
      <c r="GR387" s="4"/>
      <c r="GS387" s="4"/>
      <c r="GT387" s="4"/>
      <c r="GU387" s="4"/>
      <c r="GV387" s="4"/>
      <c r="GW387" s="4"/>
      <c r="GX387" s="4"/>
      <c r="GY387" s="4"/>
      <c r="GZ387" s="4"/>
      <c r="HA387" s="4"/>
      <c r="HB387" s="4"/>
      <c r="HC387" s="4"/>
      <c r="HD387" s="4"/>
      <c r="HE387" s="4"/>
      <c r="HF387" s="4"/>
      <c r="HG387" s="4"/>
      <c r="HH387" s="4"/>
      <c r="HI387" s="4"/>
      <c r="HJ387" s="4"/>
    </row>
    <row r="388" spans="1:218" hidden="1">
      <c r="A388" t="s">
        <v>2216</v>
      </c>
      <c r="B388" t="s">
        <v>2217</v>
      </c>
      <c r="C388" t="s">
        <v>845</v>
      </c>
      <c r="D388" t="s">
        <v>2218</v>
      </c>
      <c r="E388" t="s">
        <v>2219</v>
      </c>
      <c r="F388" s="3">
        <v>1</v>
      </c>
      <c r="G388" s="12">
        <f t="shared" si="10"/>
        <v>4.29</v>
      </c>
      <c r="H388" s="12" t="e">
        <f t="shared" si="11"/>
        <v>#NUM!</v>
      </c>
      <c r="I388" s="3">
        <v>4.2929202000000002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>
        <v>4.29</v>
      </c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 s="4"/>
      <c r="GM388" s="4"/>
      <c r="GN388" s="4"/>
      <c r="GO388" s="4"/>
      <c r="GP388" s="4"/>
      <c r="GQ388" s="4"/>
      <c r="GR388" s="4"/>
      <c r="GS388" s="4"/>
      <c r="GT388" s="4"/>
      <c r="GU388" s="4"/>
      <c r="GV388" s="4"/>
      <c r="GW388" s="4"/>
      <c r="GX388" s="4"/>
      <c r="GY388" s="4"/>
      <c r="GZ388" s="4"/>
      <c r="HA388" s="4"/>
      <c r="HB388" s="4"/>
      <c r="HC388" s="4"/>
      <c r="HD388" s="4"/>
      <c r="HE388" s="4"/>
      <c r="HF388" s="4"/>
      <c r="HG388" s="4"/>
      <c r="HH388" s="4"/>
      <c r="HI388" s="4"/>
      <c r="HJ388" s="4"/>
    </row>
    <row r="389" spans="1:218" hidden="1">
      <c r="A389" t="s">
        <v>2978</v>
      </c>
      <c r="B389" t="s">
        <v>2979</v>
      </c>
      <c r="C389" t="s">
        <v>2980</v>
      </c>
      <c r="D389" t="s">
        <v>2981</v>
      </c>
      <c r="E389" t="s">
        <v>2982</v>
      </c>
      <c r="F389" s="3">
        <v>1</v>
      </c>
      <c r="G389" s="12">
        <f t="shared" si="10"/>
        <v>2.2599999999999998</v>
      </c>
      <c r="H389" s="12" t="e">
        <f t="shared" si="11"/>
        <v>#NUM!</v>
      </c>
      <c r="I389" s="3">
        <v>2.2635100000000001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>
        <v>2.2599999999999998</v>
      </c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 s="4"/>
      <c r="GM389" s="4"/>
      <c r="GN389" s="4"/>
      <c r="GO389" s="4"/>
      <c r="GP389" s="4"/>
      <c r="GQ389" s="4"/>
      <c r="GR389" s="4"/>
      <c r="GS389" s="4"/>
      <c r="GT389" s="4"/>
      <c r="GU389" s="4"/>
      <c r="GV389" s="4"/>
      <c r="GW389" s="4"/>
      <c r="GX389" s="4"/>
      <c r="GY389" s="4"/>
      <c r="GZ389" s="4"/>
      <c r="HA389" s="4"/>
      <c r="HB389" s="4"/>
      <c r="HC389" s="4"/>
      <c r="HD389" s="4"/>
      <c r="HE389" s="4"/>
      <c r="HF389" s="4"/>
      <c r="HG389" s="4"/>
      <c r="HH389" s="4"/>
      <c r="HI389" s="4"/>
      <c r="HJ389" s="4"/>
    </row>
    <row r="390" spans="1:218" hidden="1">
      <c r="A390" t="s">
        <v>2601</v>
      </c>
      <c r="B390" t="s">
        <v>2602</v>
      </c>
      <c r="C390" t="s">
        <v>2603</v>
      </c>
      <c r="D390" t="s">
        <v>2604</v>
      </c>
      <c r="E390" t="s">
        <v>2605</v>
      </c>
      <c r="F390" s="3">
        <v>1</v>
      </c>
      <c r="G390" s="12">
        <f t="shared" si="10"/>
        <v>3.4</v>
      </c>
      <c r="H390" s="12" t="e">
        <f t="shared" si="11"/>
        <v>#NUM!</v>
      </c>
      <c r="I390" s="3">
        <v>3.3986002000000002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>
        <v>3.4</v>
      </c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 s="4"/>
      <c r="GM390" s="4"/>
      <c r="GN390" s="4"/>
      <c r="GO390" s="4"/>
      <c r="GP390" s="4"/>
      <c r="GQ390" s="4"/>
      <c r="GR390" s="4"/>
      <c r="GS390" s="4"/>
      <c r="GT390" s="4"/>
      <c r="GU390" s="4"/>
      <c r="GV390" s="4"/>
      <c r="GW390" s="4"/>
      <c r="GX390" s="4"/>
      <c r="GY390" s="4"/>
      <c r="GZ390" s="4"/>
      <c r="HA390" s="4"/>
      <c r="HB390" s="4"/>
      <c r="HC390" s="4"/>
      <c r="HD390" s="4"/>
      <c r="HE390" s="4"/>
      <c r="HF390" s="4"/>
      <c r="HG390" s="4"/>
      <c r="HH390" s="4"/>
      <c r="HI390" s="4"/>
      <c r="HJ390" s="4"/>
    </row>
    <row r="391" spans="1:218" hidden="1">
      <c r="A391" t="s">
        <v>2716</v>
      </c>
      <c r="B391" t="s">
        <v>2717</v>
      </c>
      <c r="C391" t="s">
        <v>1028</v>
      </c>
      <c r="D391" t="s">
        <v>2718</v>
      </c>
      <c r="E391" t="s">
        <v>2719</v>
      </c>
      <c r="F391" s="3">
        <v>1</v>
      </c>
      <c r="G391" s="12">
        <f t="shared" ref="G391:G454" si="12">LARGE($J391:$HJ391,1)</f>
        <v>3.03</v>
      </c>
      <c r="H391" s="12" t="e">
        <f t="shared" ref="H391:H454" si="13">LARGE($J391:$HJ391,2)</f>
        <v>#NUM!</v>
      </c>
      <c r="I391" s="3">
        <v>3.02955</v>
      </c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>
        <v>3.03</v>
      </c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 s="4"/>
      <c r="GM391" s="4"/>
      <c r="GN391" s="4"/>
      <c r="GO391" s="4"/>
      <c r="GP391" s="4"/>
      <c r="GQ391" s="4"/>
      <c r="GR391" s="4"/>
      <c r="GS391" s="4"/>
      <c r="GT391" s="4"/>
      <c r="GU391" s="4"/>
      <c r="GV391" s="4"/>
      <c r="GW391" s="4"/>
      <c r="GX391" s="4"/>
      <c r="GY391" s="4"/>
      <c r="GZ391" s="4"/>
      <c r="HA391" s="4"/>
      <c r="HB391" s="4"/>
      <c r="HC391" s="4"/>
      <c r="HD391" s="4"/>
      <c r="HE391" s="4"/>
      <c r="HF391" s="4"/>
      <c r="HG391" s="4"/>
      <c r="HH391" s="4"/>
      <c r="HI391" s="4"/>
      <c r="HJ391" s="4"/>
    </row>
    <row r="392" spans="1:218" hidden="1">
      <c r="A392" t="s">
        <v>3166</v>
      </c>
      <c r="B392" t="s">
        <v>3167</v>
      </c>
      <c r="C392" t="s">
        <v>489</v>
      </c>
      <c r="D392" t="s">
        <v>490</v>
      </c>
      <c r="E392" t="s">
        <v>490</v>
      </c>
      <c r="F392" s="3">
        <v>1</v>
      </c>
      <c r="G392" s="12">
        <f t="shared" si="12"/>
        <v>0.86</v>
      </c>
      <c r="H392" s="12" t="e">
        <f t="shared" si="13"/>
        <v>#NUM!</v>
      </c>
      <c r="I392" s="3">
        <v>0.86041000000000001</v>
      </c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>
        <v>0.86</v>
      </c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 s="4"/>
      <c r="GM392" s="4"/>
      <c r="GN392" s="4"/>
      <c r="GO392" s="4"/>
      <c r="GP392" s="4"/>
      <c r="GQ392" s="4"/>
      <c r="GR392" s="4"/>
      <c r="GS392" s="4"/>
      <c r="GT392" s="4"/>
      <c r="GU392" s="4"/>
      <c r="GV392" s="4"/>
      <c r="GW392" s="4"/>
      <c r="GX392" s="4"/>
      <c r="GY392" s="4"/>
      <c r="GZ392" s="4"/>
      <c r="HA392" s="4"/>
      <c r="HB392" s="4"/>
      <c r="HC392" s="4"/>
      <c r="HD392" s="4"/>
      <c r="HE392" s="4"/>
      <c r="HF392" s="4"/>
      <c r="HG392" s="4"/>
      <c r="HH392" s="4"/>
      <c r="HI392" s="4"/>
      <c r="HJ392" s="4"/>
    </row>
    <row r="393" spans="1:218" hidden="1">
      <c r="A393" t="s">
        <v>2834</v>
      </c>
      <c r="B393" t="s">
        <v>2835</v>
      </c>
      <c r="C393" t="s">
        <v>489</v>
      </c>
      <c r="D393" t="s">
        <v>490</v>
      </c>
      <c r="E393" t="s">
        <v>490</v>
      </c>
      <c r="F393" s="3">
        <v>1</v>
      </c>
      <c r="G393" s="12">
        <f t="shared" si="12"/>
        <v>2.69</v>
      </c>
      <c r="H393" s="12" t="e">
        <f t="shared" si="13"/>
        <v>#NUM!</v>
      </c>
      <c r="I393" s="3">
        <v>2.6935302000000001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>
        <v>2.69</v>
      </c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 s="4"/>
      <c r="GM393" s="4"/>
      <c r="GN393" s="4"/>
      <c r="GO393" s="4"/>
      <c r="GP393" s="4"/>
      <c r="GQ393" s="4"/>
      <c r="GR393" s="4"/>
      <c r="GS393" s="4"/>
      <c r="GT393" s="4"/>
      <c r="GU393" s="4"/>
      <c r="GV393" s="4"/>
      <c r="GW393" s="4"/>
      <c r="GX393" s="4"/>
      <c r="GY393" s="4"/>
      <c r="GZ393" s="4"/>
      <c r="HA393" s="4"/>
      <c r="HB393" s="4"/>
      <c r="HC393" s="4"/>
      <c r="HD393" s="4"/>
      <c r="HE393" s="4"/>
      <c r="HF393" s="4"/>
      <c r="HG393" s="4"/>
      <c r="HH393" s="4"/>
      <c r="HI393" s="4"/>
      <c r="HJ393" s="4"/>
    </row>
    <row r="394" spans="1:218" hidden="1">
      <c r="A394" t="s">
        <v>2459</v>
      </c>
      <c r="B394" t="s">
        <v>2460</v>
      </c>
      <c r="C394" t="s">
        <v>1028</v>
      </c>
      <c r="D394" t="s">
        <v>2461</v>
      </c>
      <c r="E394" t="s">
        <v>2462</v>
      </c>
      <c r="F394" s="3">
        <v>1</v>
      </c>
      <c r="G394" s="12">
        <f t="shared" si="12"/>
        <v>3.77</v>
      </c>
      <c r="H394" s="12" t="e">
        <f t="shared" si="13"/>
        <v>#NUM!</v>
      </c>
      <c r="I394" s="3">
        <v>3.7654999999999998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>
        <v>3.77</v>
      </c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 s="4"/>
      <c r="GM394" s="4"/>
      <c r="GN394" s="4"/>
      <c r="GO394" s="4"/>
      <c r="GP394" s="4"/>
      <c r="GQ394" s="4"/>
      <c r="GR394" s="4"/>
      <c r="GS394" s="4"/>
      <c r="GT394" s="4"/>
      <c r="GU394" s="4"/>
      <c r="GV394" s="4"/>
      <c r="GW394" s="4"/>
      <c r="GX394" s="4"/>
      <c r="GY394" s="4"/>
      <c r="GZ394" s="4"/>
      <c r="HA394" s="4"/>
      <c r="HB394" s="4"/>
      <c r="HC394" s="4"/>
      <c r="HD394" s="4"/>
      <c r="HE394" s="4"/>
      <c r="HF394" s="4"/>
      <c r="HG394" s="4"/>
      <c r="HH394" s="4"/>
      <c r="HI394" s="4"/>
      <c r="HJ394" s="4"/>
    </row>
    <row r="395" spans="1:218" hidden="1">
      <c r="A395" t="s">
        <v>2156</v>
      </c>
      <c r="B395" t="s">
        <v>2157</v>
      </c>
      <c r="C395" t="s">
        <v>505</v>
      </c>
      <c r="D395" t="s">
        <v>2158</v>
      </c>
      <c r="E395" t="s">
        <v>2159</v>
      </c>
      <c r="F395" s="3">
        <v>1</v>
      </c>
      <c r="G395" s="12">
        <f t="shared" si="12"/>
        <v>4.42</v>
      </c>
      <c r="H395" s="12" t="e">
        <f t="shared" si="13"/>
        <v>#NUM!</v>
      </c>
      <c r="I395" s="3">
        <v>4.4222495999999998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>
        <v>4.42</v>
      </c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 s="4"/>
      <c r="GM395" s="4"/>
      <c r="GN395" s="4"/>
      <c r="GO395" s="4"/>
      <c r="GP395" s="4"/>
      <c r="GQ395" s="4"/>
      <c r="GR395" s="4"/>
      <c r="GS395" s="4"/>
      <c r="GT395" s="4"/>
      <c r="GU395" s="4"/>
      <c r="GV395" s="4"/>
      <c r="GW395" s="4"/>
      <c r="GX395" s="4"/>
      <c r="GY395" s="4"/>
      <c r="GZ395" s="4"/>
      <c r="HA395" s="4"/>
      <c r="HB395" s="4"/>
      <c r="HC395" s="4"/>
      <c r="HD395" s="4"/>
      <c r="HE395" s="4"/>
      <c r="HF395" s="4"/>
      <c r="HG395" s="4"/>
      <c r="HH395" s="4"/>
      <c r="HI395" s="4"/>
      <c r="HJ395" s="4"/>
    </row>
    <row r="396" spans="1:218" hidden="1">
      <c r="A396" t="s">
        <v>2991</v>
      </c>
      <c r="B396" t="s">
        <v>2992</v>
      </c>
      <c r="C396" t="s">
        <v>505</v>
      </c>
      <c r="D396" t="s">
        <v>2993</v>
      </c>
      <c r="E396" t="s">
        <v>2994</v>
      </c>
      <c r="F396" s="3">
        <v>1</v>
      </c>
      <c r="G396" s="12">
        <f t="shared" si="12"/>
        <v>2.2400000000000002</v>
      </c>
      <c r="H396" s="12" t="e">
        <f t="shared" si="13"/>
        <v>#NUM!</v>
      </c>
      <c r="I396" s="3">
        <v>2.2388699000000001</v>
      </c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>
        <v>2.2400000000000002</v>
      </c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 s="4"/>
      <c r="GM396" s="4"/>
      <c r="GN396" s="4"/>
      <c r="GO396" s="4"/>
      <c r="GP396" s="4"/>
      <c r="GQ396" s="4"/>
      <c r="GR396" s="4"/>
      <c r="GS396" s="4"/>
      <c r="GT396" s="4"/>
      <c r="GU396" s="4"/>
      <c r="GV396" s="4"/>
      <c r="GW396" s="4"/>
      <c r="GX396" s="4"/>
      <c r="GY396" s="4"/>
      <c r="GZ396" s="4"/>
      <c r="HA396" s="4"/>
      <c r="HB396" s="4"/>
      <c r="HC396" s="4"/>
      <c r="HD396" s="4"/>
      <c r="HE396" s="4"/>
      <c r="HF396" s="4"/>
      <c r="HG396" s="4"/>
      <c r="HH396" s="4"/>
      <c r="HI396" s="4"/>
      <c r="HJ396" s="4"/>
    </row>
    <row r="397" spans="1:218" hidden="1">
      <c r="A397" t="s">
        <v>2395</v>
      </c>
      <c r="B397" t="s">
        <v>2396</v>
      </c>
      <c r="C397" t="s">
        <v>505</v>
      </c>
      <c r="D397" t="s">
        <v>2397</v>
      </c>
      <c r="E397" t="s">
        <v>2398</v>
      </c>
      <c r="F397" s="3">
        <v>1</v>
      </c>
      <c r="G397" s="12">
        <f t="shared" si="12"/>
        <v>3.93</v>
      </c>
      <c r="H397" s="12" t="e">
        <f t="shared" si="13"/>
        <v>#NUM!</v>
      </c>
      <c r="I397" s="3">
        <v>3.9344203000000002</v>
      </c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>
        <v>3.93</v>
      </c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 s="4"/>
      <c r="GM397" s="4"/>
      <c r="GN397" s="4"/>
      <c r="GO397" s="4"/>
      <c r="GP397" s="4"/>
      <c r="GQ397" s="4"/>
      <c r="GR397" s="4"/>
      <c r="GS397" s="4"/>
      <c r="GT397" s="4"/>
      <c r="GU397" s="4"/>
      <c r="GV397" s="4"/>
      <c r="GW397" s="4"/>
      <c r="GX397" s="4"/>
      <c r="GY397" s="4"/>
      <c r="GZ397" s="4"/>
      <c r="HA397" s="4"/>
      <c r="HB397" s="4"/>
      <c r="HC397" s="4"/>
      <c r="HD397" s="4"/>
      <c r="HE397" s="4"/>
      <c r="HF397" s="4"/>
      <c r="HG397" s="4"/>
      <c r="HH397" s="4"/>
      <c r="HI397" s="4"/>
      <c r="HJ397" s="4"/>
    </row>
    <row r="398" spans="1:218" hidden="1">
      <c r="A398" t="s">
        <v>1861</v>
      </c>
      <c r="B398" t="s">
        <v>1862</v>
      </c>
      <c r="C398" t="s">
        <v>489</v>
      </c>
      <c r="D398" t="s">
        <v>490</v>
      </c>
      <c r="E398" t="s">
        <v>490</v>
      </c>
      <c r="F398" s="3">
        <v>1</v>
      </c>
      <c r="G398" s="12">
        <f t="shared" si="12"/>
        <v>5.69</v>
      </c>
      <c r="H398" s="12" t="e">
        <f t="shared" si="13"/>
        <v>#NUM!</v>
      </c>
      <c r="I398" s="3">
        <v>5.6890200000000002</v>
      </c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>
        <v>5.69</v>
      </c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 s="4"/>
      <c r="GM398" s="4"/>
      <c r="GN398" s="4"/>
      <c r="GO398" s="4"/>
      <c r="GP398" s="4"/>
      <c r="GQ398" s="4"/>
      <c r="GR398" s="4"/>
      <c r="GS398" s="4"/>
      <c r="GT398" s="4"/>
      <c r="GU398" s="4"/>
      <c r="GV398" s="4"/>
      <c r="GW398" s="4"/>
      <c r="GX398" s="4"/>
      <c r="GY398" s="4"/>
      <c r="GZ398" s="4"/>
      <c r="HA398" s="4"/>
      <c r="HB398" s="4"/>
      <c r="HC398" s="4"/>
      <c r="HD398" s="4"/>
      <c r="HE398" s="4"/>
      <c r="HF398" s="4"/>
      <c r="HG398" s="4"/>
      <c r="HH398" s="4"/>
      <c r="HI398" s="4"/>
      <c r="HJ398" s="4"/>
    </row>
    <row r="399" spans="1:218" hidden="1">
      <c r="A399" t="s">
        <v>2691</v>
      </c>
      <c r="B399" t="s">
        <v>2692</v>
      </c>
      <c r="C399" t="s">
        <v>505</v>
      </c>
      <c r="D399" t="s">
        <v>2693</v>
      </c>
      <c r="E399" t="s">
        <v>2694</v>
      </c>
      <c r="F399" s="3">
        <v>1</v>
      </c>
      <c r="G399" s="12">
        <f t="shared" si="12"/>
        <v>3.09</v>
      </c>
      <c r="H399" s="12" t="e">
        <f t="shared" si="13"/>
        <v>#NUM!</v>
      </c>
      <c r="I399" s="3">
        <v>3.0920299999999998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>
        <v>3.09</v>
      </c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 s="4"/>
      <c r="GM399" s="4"/>
      <c r="GN399" s="4"/>
      <c r="GO399" s="4"/>
      <c r="GP399" s="4"/>
      <c r="GQ399" s="4"/>
      <c r="GR399" s="4"/>
      <c r="GS399" s="4"/>
      <c r="GT399" s="4"/>
      <c r="GU399" s="4"/>
      <c r="GV399" s="4"/>
      <c r="GW399" s="4"/>
      <c r="GX399" s="4"/>
      <c r="GY399" s="4"/>
      <c r="GZ399" s="4"/>
      <c r="HA399" s="4"/>
      <c r="HB399" s="4"/>
      <c r="HC399" s="4"/>
      <c r="HD399" s="4"/>
      <c r="HE399" s="4"/>
      <c r="HF399" s="4"/>
      <c r="HG399" s="4"/>
      <c r="HH399" s="4"/>
      <c r="HI399" s="4"/>
      <c r="HJ399" s="4"/>
    </row>
    <row r="400" spans="1:218" hidden="1">
      <c r="A400" t="s">
        <v>1711</v>
      </c>
      <c r="B400" t="s">
        <v>1712</v>
      </c>
      <c r="C400" t="s">
        <v>443</v>
      </c>
      <c r="D400" t="s">
        <v>1713</v>
      </c>
      <c r="E400" t="s">
        <v>1714</v>
      </c>
      <c r="F400" s="3">
        <v>1</v>
      </c>
      <c r="G400" s="12">
        <f t="shared" si="12"/>
        <v>7.64</v>
      </c>
      <c r="H400" s="12" t="e">
        <f t="shared" si="13"/>
        <v>#NUM!</v>
      </c>
      <c r="I400" s="3">
        <v>7.6418499999999998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>
        <v>7.64</v>
      </c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 s="4"/>
      <c r="GM400" s="4"/>
      <c r="GN400" s="4"/>
      <c r="GO400" s="4"/>
      <c r="GP400" s="4"/>
      <c r="GQ400" s="4"/>
      <c r="GR400" s="4"/>
      <c r="GS400" s="4"/>
      <c r="GT400" s="4"/>
      <c r="GU400" s="4"/>
      <c r="GV400" s="4"/>
      <c r="GW400" s="4"/>
      <c r="GX400" s="4"/>
      <c r="GY400" s="4"/>
      <c r="GZ400" s="4"/>
      <c r="HA400" s="4"/>
      <c r="HB400" s="4"/>
      <c r="HC400" s="4"/>
      <c r="HD400" s="4"/>
      <c r="HE400" s="4"/>
      <c r="HF400" s="4"/>
      <c r="HG400" s="4"/>
      <c r="HH400" s="4"/>
      <c r="HI400" s="4"/>
      <c r="HJ400" s="4"/>
    </row>
    <row r="401" spans="1:218" hidden="1">
      <c r="A401" t="s">
        <v>3081</v>
      </c>
      <c r="B401" t="s">
        <v>3082</v>
      </c>
      <c r="C401" t="s">
        <v>443</v>
      </c>
      <c r="D401" t="s">
        <v>3083</v>
      </c>
      <c r="E401" t="s">
        <v>3084</v>
      </c>
      <c r="F401" s="3">
        <v>1</v>
      </c>
      <c r="G401" s="12">
        <f t="shared" si="12"/>
        <v>1.8</v>
      </c>
      <c r="H401" s="12" t="e">
        <f t="shared" si="13"/>
        <v>#NUM!</v>
      </c>
      <c r="I401" s="3">
        <v>1.79539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 s="4"/>
      <c r="GM401" s="4"/>
      <c r="GN401" s="4"/>
      <c r="GO401" s="4"/>
      <c r="GP401" s="4"/>
      <c r="GQ401" s="4"/>
      <c r="GR401" s="4">
        <v>1.8</v>
      </c>
      <c r="GS401" s="4"/>
      <c r="GT401" s="4"/>
      <c r="GU401" s="4"/>
      <c r="GV401" s="4"/>
      <c r="GW401" s="4"/>
      <c r="GX401" s="4"/>
      <c r="GY401" s="4"/>
      <c r="GZ401" s="4"/>
      <c r="HA401" s="4"/>
      <c r="HB401" s="4"/>
      <c r="HC401" s="4"/>
      <c r="HD401" s="4"/>
      <c r="HE401" s="4"/>
      <c r="HF401" s="4"/>
      <c r="HG401" s="4"/>
      <c r="HH401" s="4"/>
      <c r="HI401" s="4"/>
      <c r="HJ401" s="4"/>
    </row>
    <row r="402" spans="1:218" hidden="1">
      <c r="A402" t="s">
        <v>3149</v>
      </c>
      <c r="B402" t="s">
        <v>3150</v>
      </c>
      <c r="C402" t="s">
        <v>783</v>
      </c>
      <c r="D402" t="s">
        <v>3151</v>
      </c>
      <c r="E402" t="s">
        <v>3152</v>
      </c>
      <c r="F402" s="3">
        <v>1</v>
      </c>
      <c r="G402" s="12">
        <f t="shared" si="12"/>
        <v>0.98</v>
      </c>
      <c r="H402" s="12" t="e">
        <f t="shared" si="13"/>
        <v>#NUM!</v>
      </c>
      <c r="I402" s="3">
        <v>0.98211999999999999</v>
      </c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>
        <v>0.98</v>
      </c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 s="4"/>
      <c r="GM402" s="4"/>
      <c r="GN402" s="4"/>
      <c r="GO402" s="4"/>
      <c r="GP402" s="4"/>
      <c r="GQ402" s="4"/>
      <c r="GR402" s="4"/>
      <c r="GS402" s="4"/>
      <c r="GT402" s="4"/>
      <c r="GU402" s="4"/>
      <c r="GV402" s="4"/>
      <c r="GW402" s="4"/>
      <c r="GX402" s="4"/>
      <c r="GY402" s="4"/>
      <c r="GZ402" s="4"/>
      <c r="HA402" s="4"/>
      <c r="HB402" s="4"/>
      <c r="HC402" s="4"/>
      <c r="HD402" s="4"/>
      <c r="HE402" s="4"/>
      <c r="HF402" s="4"/>
      <c r="HG402" s="4"/>
      <c r="HH402" s="4"/>
      <c r="HI402" s="4"/>
      <c r="HJ402" s="4"/>
    </row>
    <row r="403" spans="1:218" hidden="1">
      <c r="A403" t="s">
        <v>2514</v>
      </c>
      <c r="B403" t="s">
        <v>2515</v>
      </c>
      <c r="C403" t="s">
        <v>489</v>
      </c>
      <c r="D403" t="s">
        <v>490</v>
      </c>
      <c r="E403" t="s">
        <v>490</v>
      </c>
      <c r="F403" s="3">
        <v>1</v>
      </c>
      <c r="G403" s="12">
        <f t="shared" si="12"/>
        <v>3.6</v>
      </c>
      <c r="H403" s="12" t="e">
        <f t="shared" si="13"/>
        <v>#NUM!</v>
      </c>
      <c r="I403" s="3">
        <v>3.60155</v>
      </c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>
        <v>3.6</v>
      </c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 s="4"/>
      <c r="GM403" s="4"/>
      <c r="GN403" s="4"/>
      <c r="GO403" s="4"/>
      <c r="GP403" s="4"/>
      <c r="GQ403" s="4"/>
      <c r="GR403" s="4"/>
      <c r="GS403" s="4"/>
      <c r="GT403" s="4"/>
      <c r="GU403" s="4"/>
      <c r="GV403" s="4"/>
      <c r="GW403" s="4"/>
      <c r="GX403" s="4"/>
      <c r="GY403" s="4"/>
      <c r="GZ403" s="4"/>
      <c r="HA403" s="4"/>
      <c r="HB403" s="4"/>
      <c r="HC403" s="4"/>
      <c r="HD403" s="4"/>
      <c r="HE403" s="4"/>
      <c r="HF403" s="4"/>
      <c r="HG403" s="4"/>
      <c r="HH403" s="4"/>
      <c r="HI403" s="4"/>
      <c r="HJ403" s="4"/>
    </row>
    <row r="404" spans="1:218" hidden="1">
      <c r="A404" t="s">
        <v>1703</v>
      </c>
      <c r="B404" t="s">
        <v>1704</v>
      </c>
      <c r="C404" t="s">
        <v>489</v>
      </c>
      <c r="D404" t="s">
        <v>490</v>
      </c>
      <c r="E404" t="s">
        <v>490</v>
      </c>
      <c r="F404" s="3">
        <v>1</v>
      </c>
      <c r="G404" s="12">
        <f t="shared" si="12"/>
        <v>7.95</v>
      </c>
      <c r="H404" s="12" t="e">
        <f t="shared" si="13"/>
        <v>#NUM!</v>
      </c>
      <c r="I404" s="3">
        <v>7.9484799999999991</v>
      </c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>
        <v>7.95</v>
      </c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 s="4"/>
      <c r="GM404" s="4"/>
      <c r="GN404" s="4"/>
      <c r="GO404" s="4"/>
      <c r="GP404" s="4"/>
      <c r="GQ404" s="4"/>
      <c r="GR404" s="4"/>
      <c r="GS404" s="4"/>
      <c r="GT404" s="4"/>
      <c r="GU404" s="4"/>
      <c r="GV404" s="4"/>
      <c r="GW404" s="4"/>
      <c r="GX404" s="4"/>
      <c r="GY404" s="4"/>
      <c r="GZ404" s="4"/>
      <c r="HA404" s="4"/>
      <c r="HB404" s="4"/>
      <c r="HC404" s="4"/>
      <c r="HD404" s="4"/>
      <c r="HE404" s="4"/>
      <c r="HF404" s="4"/>
      <c r="HG404" s="4"/>
      <c r="HH404" s="4"/>
      <c r="HI404" s="4"/>
      <c r="HJ404" s="4"/>
    </row>
    <row r="405" spans="1:218" hidden="1">
      <c r="A405" t="s">
        <v>1739</v>
      </c>
      <c r="B405" t="s">
        <v>1740</v>
      </c>
      <c r="C405" t="s">
        <v>489</v>
      </c>
      <c r="D405" t="s">
        <v>490</v>
      </c>
      <c r="E405" t="s">
        <v>490</v>
      </c>
      <c r="F405" s="3">
        <v>1</v>
      </c>
      <c r="G405" s="12">
        <f t="shared" si="12"/>
        <v>7.13</v>
      </c>
      <c r="H405" s="12" t="e">
        <f t="shared" si="13"/>
        <v>#NUM!</v>
      </c>
      <c r="I405" s="3">
        <v>7.1290395999999996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>
        <v>7.13</v>
      </c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</row>
    <row r="406" spans="1:218" hidden="1">
      <c r="A406" t="s">
        <v>2567</v>
      </c>
      <c r="B406" t="s">
        <v>2568</v>
      </c>
      <c r="C406" t="s">
        <v>505</v>
      </c>
      <c r="D406" t="s">
        <v>2569</v>
      </c>
      <c r="E406" t="s">
        <v>2570</v>
      </c>
      <c r="F406" s="3">
        <v>1</v>
      </c>
      <c r="G406" s="12">
        <f t="shared" si="12"/>
        <v>3.47</v>
      </c>
      <c r="H406" s="12" t="e">
        <f t="shared" si="13"/>
        <v>#NUM!</v>
      </c>
      <c r="I406" s="3">
        <v>3.4720599999999999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>
        <v>3.47</v>
      </c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 s="4"/>
      <c r="GM406" s="4"/>
      <c r="GN406" s="4"/>
      <c r="GO406" s="4"/>
      <c r="GP406" s="4"/>
      <c r="GQ406" s="4"/>
      <c r="GR406" s="4"/>
      <c r="GS406" s="4"/>
      <c r="GT406" s="4"/>
      <c r="GU406" s="4"/>
      <c r="GV406" s="4"/>
      <c r="GW406" s="4"/>
      <c r="GX406" s="4"/>
      <c r="GY406" s="4"/>
      <c r="GZ406" s="4"/>
      <c r="HA406" s="4"/>
      <c r="HB406" s="4"/>
      <c r="HC406" s="4"/>
      <c r="HD406" s="4"/>
      <c r="HE406" s="4"/>
      <c r="HF406" s="4"/>
      <c r="HG406" s="4"/>
      <c r="HH406" s="4"/>
      <c r="HI406" s="4"/>
      <c r="HJ406" s="4"/>
    </row>
    <row r="407" spans="1:218" hidden="1">
      <c r="A407" t="s">
        <v>3045</v>
      </c>
      <c r="B407" t="s">
        <v>3046</v>
      </c>
      <c r="C407" t="s">
        <v>505</v>
      </c>
      <c r="D407" t="s">
        <v>3047</v>
      </c>
      <c r="E407" t="s">
        <v>3048</v>
      </c>
      <c r="F407" s="3">
        <v>1</v>
      </c>
      <c r="G407" s="12">
        <f t="shared" si="12"/>
        <v>1.94</v>
      </c>
      <c r="H407" s="12" t="e">
        <f t="shared" si="13"/>
        <v>#NUM!</v>
      </c>
      <c r="I407" s="3">
        <v>1.9366000000000001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>
        <v>1.94</v>
      </c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 s="4"/>
      <c r="GM407" s="4"/>
      <c r="GN407" s="4"/>
      <c r="GO407" s="4"/>
      <c r="GP407" s="4"/>
      <c r="GQ407" s="4"/>
      <c r="GR407" s="4"/>
      <c r="GS407" s="4"/>
      <c r="GT407" s="4"/>
      <c r="GU407" s="4"/>
      <c r="GV407" s="4"/>
      <c r="GW407" s="4"/>
      <c r="GX407" s="4"/>
      <c r="GY407" s="4"/>
      <c r="GZ407" s="4"/>
      <c r="HA407" s="4"/>
      <c r="HB407" s="4"/>
      <c r="HC407" s="4"/>
      <c r="HD407" s="4"/>
      <c r="HE407" s="4"/>
      <c r="HF407" s="4"/>
      <c r="HG407" s="4"/>
      <c r="HH407" s="4"/>
      <c r="HI407" s="4"/>
      <c r="HJ407" s="4"/>
    </row>
    <row r="408" spans="1:218" hidden="1">
      <c r="A408" t="s">
        <v>2447</v>
      </c>
      <c r="B408" t="s">
        <v>2448</v>
      </c>
      <c r="C408" t="s">
        <v>845</v>
      </c>
      <c r="D408" t="s">
        <v>2449</v>
      </c>
      <c r="E408" t="s">
        <v>2450</v>
      </c>
      <c r="F408" s="3">
        <v>1</v>
      </c>
      <c r="G408" s="12">
        <f t="shared" si="12"/>
        <v>3.79</v>
      </c>
      <c r="H408" s="12" t="e">
        <f t="shared" si="13"/>
        <v>#NUM!</v>
      </c>
      <c r="I408" s="3">
        <v>3.78993</v>
      </c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>
        <v>3.79</v>
      </c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 s="4"/>
      <c r="GM408" s="4"/>
      <c r="GN408" s="4"/>
      <c r="GO408" s="4"/>
      <c r="GP408" s="4"/>
      <c r="GQ408" s="4"/>
      <c r="GR408" s="4"/>
      <c r="GS408" s="4"/>
      <c r="GT408" s="4"/>
      <c r="GU408" s="4"/>
      <c r="GV408" s="4"/>
      <c r="GW408" s="4"/>
      <c r="GX408" s="4"/>
      <c r="GY408" s="4"/>
      <c r="GZ408" s="4"/>
      <c r="HA408" s="4"/>
      <c r="HB408" s="4"/>
      <c r="HC408" s="4"/>
      <c r="HD408" s="4"/>
      <c r="HE408" s="4"/>
      <c r="HF408" s="4"/>
      <c r="HG408" s="4"/>
      <c r="HH408" s="4"/>
      <c r="HI408" s="4"/>
      <c r="HJ408" s="4"/>
    </row>
    <row r="409" spans="1:218" hidden="1">
      <c r="A409" t="s">
        <v>2720</v>
      </c>
      <c r="B409" t="s">
        <v>2721</v>
      </c>
      <c r="C409" t="s">
        <v>489</v>
      </c>
      <c r="D409" t="s">
        <v>490</v>
      </c>
      <c r="E409" t="s">
        <v>490</v>
      </c>
      <c r="F409" s="3">
        <v>1</v>
      </c>
      <c r="G409" s="12">
        <f t="shared" si="12"/>
        <v>3.03</v>
      </c>
      <c r="H409" s="12" t="e">
        <f t="shared" si="13"/>
        <v>#NUM!</v>
      </c>
      <c r="I409" s="3">
        <v>3.0294001000000002</v>
      </c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>
        <v>3.03</v>
      </c>
      <c r="DN409" s="4"/>
      <c r="DO409" s="4"/>
      <c r="DP409" s="4"/>
      <c r="DQ409" s="4"/>
      <c r="DR409" s="4"/>
      <c r="DS409" s="4"/>
      <c r="DT409" s="4"/>
      <c r="DU409" s="4"/>
      <c r="DV409" s="4"/>
      <c r="DW409" s="4"/>
      <c r="DX409" s="4"/>
      <c r="DY409" s="4"/>
      <c r="DZ409" s="4"/>
      <c r="EA409" s="4"/>
      <c r="EB409" s="4"/>
      <c r="EC409" s="4"/>
      <c r="ED409" s="4"/>
      <c r="EE409" s="4"/>
      <c r="EF409" s="4"/>
      <c r="EG409" s="4"/>
      <c r="EH409" s="4"/>
      <c r="EI409" s="4"/>
      <c r="EJ409" s="4"/>
      <c r="EK409" s="4"/>
      <c r="EL409" s="4"/>
      <c r="EM409" s="4"/>
      <c r="EN409" s="4"/>
      <c r="EO409" s="4"/>
      <c r="EP409" s="4"/>
      <c r="EQ409" s="4"/>
      <c r="ER409" s="4"/>
      <c r="ES409" s="4"/>
      <c r="ET409" s="4"/>
      <c r="EU409" s="4"/>
      <c r="EV409" s="4"/>
      <c r="EW409" s="4"/>
      <c r="EX409" s="4"/>
      <c r="EY409" s="4"/>
      <c r="EZ409" s="4"/>
      <c r="FA409" s="4"/>
      <c r="FB409" s="4"/>
      <c r="FC409" s="4"/>
      <c r="FD409" s="4"/>
      <c r="FE409" s="4"/>
      <c r="FF409" s="4"/>
      <c r="FG409" s="4"/>
      <c r="FH409" s="4"/>
      <c r="FI409" s="4"/>
      <c r="FJ409" s="4"/>
      <c r="FK409" s="4"/>
      <c r="FL409" s="4"/>
      <c r="FM409" s="4"/>
      <c r="FN409" s="4"/>
      <c r="FO409" s="4"/>
      <c r="FP409" s="4"/>
      <c r="FQ409" s="4"/>
      <c r="FR409" s="4"/>
      <c r="FS409" s="4"/>
      <c r="FT409" s="4"/>
      <c r="FU409" s="4"/>
      <c r="FV409" s="4"/>
      <c r="FW409" s="4"/>
      <c r="FX409" s="4"/>
      <c r="FY409" s="4"/>
      <c r="FZ409" s="4"/>
      <c r="GA409" s="4"/>
      <c r="GB409" s="4"/>
      <c r="GC409" s="4"/>
      <c r="GD409" s="4"/>
      <c r="GE409" s="4"/>
      <c r="GF409" s="4"/>
      <c r="GG409" s="4"/>
      <c r="GH409" s="4"/>
      <c r="GI409" s="4"/>
      <c r="GJ409" s="4"/>
      <c r="GK409" s="4"/>
      <c r="GL409" s="4"/>
      <c r="GM409" s="4"/>
      <c r="GN409" s="4"/>
      <c r="GO409" s="4"/>
      <c r="GP409" s="4"/>
      <c r="GQ409" s="4"/>
      <c r="GR409" s="4"/>
      <c r="GS409" s="4"/>
      <c r="GT409" s="4"/>
      <c r="GU409" s="4"/>
      <c r="GV409" s="4"/>
      <c r="GW409" s="4"/>
      <c r="GX409" s="4"/>
      <c r="GY409" s="4"/>
      <c r="GZ409" s="4"/>
      <c r="HA409" s="4"/>
      <c r="HB409" s="4"/>
      <c r="HC409" s="4"/>
      <c r="HD409" s="4"/>
      <c r="HE409" s="4"/>
      <c r="HF409" s="4"/>
      <c r="HG409" s="4"/>
      <c r="HH409" s="4"/>
      <c r="HI409" s="4"/>
      <c r="HJ409" s="4"/>
    </row>
    <row r="410" spans="1:218" hidden="1">
      <c r="A410" t="s">
        <v>1697</v>
      </c>
      <c r="B410" t="s">
        <v>1698</v>
      </c>
      <c r="C410" t="s">
        <v>443</v>
      </c>
      <c r="D410" t="s">
        <v>1699</v>
      </c>
      <c r="E410" t="s">
        <v>1700</v>
      </c>
      <c r="F410" s="3">
        <v>1</v>
      </c>
      <c r="G410" s="12">
        <f t="shared" si="12"/>
        <v>8.1</v>
      </c>
      <c r="H410" s="12" t="e">
        <f t="shared" si="13"/>
        <v>#NUM!</v>
      </c>
      <c r="I410" s="3">
        <v>8.1018489999999996</v>
      </c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>
        <v>8.1</v>
      </c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  <c r="DQ410" s="4"/>
      <c r="DR410" s="4"/>
      <c r="DS410" s="4"/>
      <c r="DT410" s="4"/>
      <c r="DU410" s="4"/>
      <c r="DV410" s="4"/>
      <c r="DW410" s="4"/>
      <c r="DX410" s="4"/>
      <c r="DY410" s="4"/>
      <c r="DZ410" s="4"/>
      <c r="EA410" s="4"/>
      <c r="EB410" s="4"/>
      <c r="EC410" s="4"/>
      <c r="ED410" s="4"/>
      <c r="EE410" s="4"/>
      <c r="EF410" s="4"/>
      <c r="EG410" s="4"/>
      <c r="EH410" s="4"/>
      <c r="EI410" s="4"/>
      <c r="EJ410" s="4"/>
      <c r="EK410" s="4"/>
      <c r="EL410" s="4"/>
      <c r="EM410" s="4"/>
      <c r="EN410" s="4"/>
      <c r="EO410" s="4"/>
      <c r="EP410" s="4"/>
      <c r="EQ410" s="4"/>
      <c r="ER410" s="4"/>
      <c r="ES410" s="4"/>
      <c r="ET410" s="4"/>
      <c r="EU410" s="4"/>
      <c r="EV410" s="4"/>
      <c r="EW410" s="4"/>
      <c r="EX410" s="4"/>
      <c r="EY410" s="4"/>
      <c r="EZ410" s="4"/>
      <c r="FA410" s="4"/>
      <c r="FB410" s="4"/>
      <c r="FC410" s="4"/>
      <c r="FD410" s="4"/>
      <c r="FE410" s="4"/>
      <c r="FF410" s="4"/>
      <c r="FG410" s="4"/>
      <c r="FH410" s="4"/>
      <c r="FI410" s="4"/>
      <c r="FJ410" s="4"/>
      <c r="FK410" s="4"/>
      <c r="FL410" s="4"/>
      <c r="FM410" s="4"/>
      <c r="FN410" s="4"/>
      <c r="FO410" s="4"/>
      <c r="FP410" s="4"/>
      <c r="FQ410" s="4"/>
      <c r="FR410" s="4"/>
      <c r="FS410" s="4"/>
      <c r="FT410" s="4"/>
      <c r="FU410" s="4"/>
      <c r="FV410" s="4"/>
      <c r="FW410" s="4"/>
      <c r="FX410" s="4"/>
      <c r="FY410" s="4"/>
      <c r="FZ410" s="4"/>
      <c r="GA410" s="4"/>
      <c r="GB410" s="4"/>
      <c r="GC410" s="4"/>
      <c r="GD410" s="4"/>
      <c r="GE410" s="4"/>
      <c r="GF410" s="4"/>
      <c r="GG410" s="4"/>
      <c r="GH410" s="4"/>
      <c r="GI410" s="4"/>
      <c r="GJ410" s="4"/>
      <c r="GK410" s="4"/>
      <c r="GL410" s="4"/>
      <c r="GM410" s="4"/>
      <c r="GN410" s="4"/>
      <c r="GO410" s="4"/>
      <c r="GP410" s="4"/>
      <c r="GQ410" s="4"/>
      <c r="GR410" s="4"/>
      <c r="GS410" s="4"/>
      <c r="GT410" s="4"/>
      <c r="GU410" s="4"/>
      <c r="GV410" s="4"/>
      <c r="GW410" s="4"/>
      <c r="GX410" s="4"/>
      <c r="GY410" s="4"/>
      <c r="GZ410" s="4"/>
      <c r="HA410" s="4"/>
      <c r="HB410" s="4"/>
      <c r="HC410" s="4"/>
      <c r="HD410" s="4"/>
      <c r="HE410" s="4"/>
      <c r="HF410" s="4"/>
      <c r="HG410" s="4"/>
      <c r="HH410" s="4"/>
      <c r="HI410" s="4"/>
      <c r="HJ410" s="4"/>
    </row>
    <row r="411" spans="1:218" hidden="1">
      <c r="A411" t="s">
        <v>2970</v>
      </c>
      <c r="B411" t="s">
        <v>2971</v>
      </c>
      <c r="C411" t="s">
        <v>443</v>
      </c>
      <c r="D411" t="s">
        <v>2972</v>
      </c>
      <c r="E411" t="s">
        <v>2973</v>
      </c>
      <c r="F411" s="3">
        <v>1</v>
      </c>
      <c r="G411" s="12">
        <f t="shared" si="12"/>
        <v>2.27</v>
      </c>
      <c r="H411" s="12" t="e">
        <f t="shared" si="13"/>
        <v>#NUM!</v>
      </c>
      <c r="I411" s="3">
        <v>2.2668499999999998</v>
      </c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>
        <v>2.27</v>
      </c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  <c r="DQ411" s="4"/>
      <c r="DR411" s="4"/>
      <c r="DS411" s="4"/>
      <c r="DT411" s="4"/>
      <c r="DU411" s="4"/>
      <c r="DV411" s="4"/>
      <c r="DW411" s="4"/>
      <c r="DX411" s="4"/>
      <c r="DY411" s="4"/>
      <c r="DZ411" s="4"/>
      <c r="EA411" s="4"/>
      <c r="EB411" s="4"/>
      <c r="EC411" s="4"/>
      <c r="ED411" s="4"/>
      <c r="EE411" s="4"/>
      <c r="EF411" s="4"/>
      <c r="EG411" s="4"/>
      <c r="EH411" s="4"/>
      <c r="EI411" s="4"/>
      <c r="EJ411" s="4"/>
      <c r="EK411" s="4"/>
      <c r="EL411" s="4"/>
      <c r="EM411" s="4"/>
      <c r="EN411" s="4"/>
      <c r="EO411" s="4"/>
      <c r="EP411" s="4"/>
      <c r="EQ411" s="4"/>
      <c r="ER411" s="4"/>
      <c r="ES411" s="4"/>
      <c r="ET411" s="4"/>
      <c r="EU411" s="4"/>
      <c r="EV411" s="4"/>
      <c r="EW411" s="4"/>
      <c r="EX411" s="4"/>
      <c r="EY411" s="4"/>
      <c r="EZ411" s="4"/>
      <c r="FA411" s="4"/>
      <c r="FB411" s="4"/>
      <c r="FC411" s="4"/>
      <c r="FD411" s="4"/>
      <c r="FE411" s="4"/>
      <c r="FF411" s="4"/>
      <c r="FG411" s="4"/>
      <c r="FH411" s="4"/>
      <c r="FI411" s="4"/>
      <c r="FJ411" s="4"/>
      <c r="FK411" s="4"/>
      <c r="FL411" s="4"/>
      <c r="FM411" s="4"/>
      <c r="FN411" s="4"/>
      <c r="FO411" s="4"/>
      <c r="FP411" s="4"/>
      <c r="FQ411" s="4"/>
      <c r="FR411" s="4"/>
      <c r="FS411" s="4"/>
      <c r="FT411" s="4"/>
      <c r="FU411" s="4"/>
      <c r="FV411" s="4"/>
      <c r="FW411" s="4"/>
      <c r="FX411" s="4"/>
      <c r="FY411" s="4"/>
      <c r="FZ411" s="4"/>
      <c r="GA411" s="4"/>
      <c r="GB411" s="4"/>
      <c r="GC411" s="4"/>
      <c r="GD411" s="4"/>
      <c r="GE411" s="4"/>
      <c r="GF411" s="4"/>
      <c r="GG411" s="4"/>
      <c r="GH411" s="4"/>
      <c r="GI411" s="4"/>
      <c r="GJ411" s="4"/>
      <c r="GK411" s="4"/>
      <c r="GL411" s="4"/>
      <c r="GM411" s="4"/>
      <c r="GN411" s="4"/>
      <c r="GO411" s="4"/>
      <c r="GP411" s="4"/>
      <c r="GQ411" s="4"/>
      <c r="GR411" s="4"/>
      <c r="GS411" s="4"/>
      <c r="GT411" s="4"/>
      <c r="GU411" s="4"/>
      <c r="GV411" s="4"/>
      <c r="GW411" s="4"/>
      <c r="GX411" s="4"/>
      <c r="GY411" s="4"/>
      <c r="GZ411" s="4"/>
      <c r="HA411" s="4"/>
      <c r="HB411" s="4"/>
      <c r="HC411" s="4"/>
      <c r="HD411" s="4"/>
      <c r="HE411" s="4"/>
      <c r="HF411" s="4"/>
      <c r="HG411" s="4"/>
      <c r="HH411" s="4"/>
      <c r="HI411" s="4"/>
      <c r="HJ411" s="4"/>
    </row>
    <row r="412" spans="1:218" hidden="1">
      <c r="A412" t="s">
        <v>2288</v>
      </c>
      <c r="B412" t="s">
        <v>2289</v>
      </c>
      <c r="C412" t="s">
        <v>505</v>
      </c>
      <c r="D412" t="s">
        <v>2290</v>
      </c>
      <c r="E412" t="s">
        <v>2291</v>
      </c>
      <c r="F412" s="3">
        <v>1</v>
      </c>
      <c r="G412" s="12">
        <f t="shared" si="12"/>
        <v>4.1399999999999997</v>
      </c>
      <c r="H412" s="12" t="e">
        <f t="shared" si="13"/>
        <v>#NUM!</v>
      </c>
      <c r="I412" s="3">
        <v>4.1385997000000003</v>
      </c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  <c r="DQ412" s="4"/>
      <c r="DR412" s="4"/>
      <c r="DS412" s="4"/>
      <c r="DT412" s="4"/>
      <c r="DU412" s="4"/>
      <c r="DV412" s="4">
        <v>4.1399999999999997</v>
      </c>
      <c r="DW412" s="4"/>
      <c r="DX412" s="4"/>
      <c r="DY412" s="4"/>
      <c r="DZ412" s="4"/>
      <c r="EA412" s="4"/>
      <c r="EB412" s="4"/>
      <c r="EC412" s="4"/>
      <c r="ED412" s="4"/>
      <c r="EE412" s="4"/>
      <c r="EF412" s="4"/>
      <c r="EG412" s="4"/>
      <c r="EH412" s="4"/>
      <c r="EI412" s="4"/>
      <c r="EJ412" s="4"/>
      <c r="EK412" s="4"/>
      <c r="EL412" s="4"/>
      <c r="EM412" s="4"/>
      <c r="EN412" s="4"/>
      <c r="EO412" s="4"/>
      <c r="EP412" s="4"/>
      <c r="EQ412" s="4"/>
      <c r="ER412" s="4"/>
      <c r="ES412" s="4"/>
      <c r="ET412" s="4"/>
      <c r="EU412" s="4"/>
      <c r="EV412" s="4"/>
      <c r="EW412" s="4"/>
      <c r="EX412" s="4"/>
      <c r="EY412" s="4"/>
      <c r="EZ412" s="4"/>
      <c r="FA412" s="4"/>
      <c r="FB412" s="4"/>
      <c r="FC412" s="4"/>
      <c r="FD412" s="4"/>
      <c r="FE412" s="4"/>
      <c r="FF412" s="4"/>
      <c r="FG412" s="4"/>
      <c r="FH412" s="4"/>
      <c r="FI412" s="4"/>
      <c r="FJ412" s="4"/>
      <c r="FK412" s="4"/>
      <c r="FL412" s="4"/>
      <c r="FM412" s="4"/>
      <c r="FN412" s="4"/>
      <c r="FO412" s="4"/>
      <c r="FP412" s="4"/>
      <c r="FQ412" s="4"/>
      <c r="FR412" s="4"/>
      <c r="FS412" s="4"/>
      <c r="FT412" s="4"/>
      <c r="FU412" s="4"/>
      <c r="FV412" s="4"/>
      <c r="FW412" s="4"/>
      <c r="FX412" s="4"/>
      <c r="FY412" s="4"/>
      <c r="FZ412" s="4"/>
      <c r="GA412" s="4"/>
      <c r="GB412" s="4"/>
      <c r="GC412" s="4"/>
      <c r="GD412" s="4"/>
      <c r="GE412" s="4"/>
      <c r="GF412" s="4"/>
      <c r="GG412" s="4"/>
      <c r="GH412" s="4"/>
      <c r="GI412" s="4"/>
      <c r="GJ412" s="4"/>
      <c r="GK412" s="4"/>
      <c r="GL412" s="4"/>
      <c r="GM412" s="4"/>
      <c r="GN412" s="4"/>
      <c r="GO412" s="4"/>
      <c r="GP412" s="4"/>
      <c r="GQ412" s="4"/>
      <c r="GR412" s="4"/>
      <c r="GS412" s="4"/>
      <c r="GT412" s="4"/>
      <c r="GU412" s="4"/>
      <c r="GV412" s="4"/>
      <c r="GW412" s="4"/>
      <c r="GX412" s="4"/>
      <c r="GY412" s="4"/>
      <c r="GZ412" s="4"/>
      <c r="HA412" s="4"/>
      <c r="HB412" s="4"/>
      <c r="HC412" s="4"/>
      <c r="HD412" s="4"/>
      <c r="HE412" s="4"/>
      <c r="HF412" s="4"/>
      <c r="HG412" s="4"/>
      <c r="HH412" s="4"/>
      <c r="HI412" s="4"/>
      <c r="HJ412" s="4"/>
    </row>
    <row r="413" spans="1:218" hidden="1">
      <c r="A413" t="s">
        <v>1769</v>
      </c>
      <c r="B413" t="s">
        <v>1770</v>
      </c>
      <c r="C413" t="s">
        <v>484</v>
      </c>
      <c r="D413" t="s">
        <v>1771</v>
      </c>
      <c r="E413" t="s">
        <v>1772</v>
      </c>
      <c r="F413" s="3">
        <v>1</v>
      </c>
      <c r="G413" s="12">
        <f t="shared" si="12"/>
        <v>6.5</v>
      </c>
      <c r="H413" s="12" t="e">
        <f t="shared" si="13"/>
        <v>#NUM!</v>
      </c>
      <c r="I413" s="3">
        <v>6.4960696000000002</v>
      </c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>
        <v>6.5</v>
      </c>
      <c r="DQ413" s="4"/>
      <c r="DR413" s="4"/>
      <c r="DS413" s="4"/>
      <c r="DT413" s="4"/>
      <c r="DU413" s="4"/>
      <c r="DV413" s="4"/>
      <c r="DW413" s="4"/>
      <c r="DX413" s="4"/>
      <c r="DY413" s="4"/>
      <c r="DZ413" s="4"/>
      <c r="EA413" s="4"/>
      <c r="EB413" s="4"/>
      <c r="EC413" s="4"/>
      <c r="ED413" s="4"/>
      <c r="EE413" s="4"/>
      <c r="EF413" s="4"/>
      <c r="EG413" s="4"/>
      <c r="EH413" s="4"/>
      <c r="EI413" s="4"/>
      <c r="EJ413" s="4"/>
      <c r="EK413" s="4"/>
      <c r="EL413" s="4"/>
      <c r="EM413" s="4"/>
      <c r="EN413" s="4"/>
      <c r="EO413" s="4"/>
      <c r="EP413" s="4"/>
      <c r="EQ413" s="4"/>
      <c r="ER413" s="4"/>
      <c r="ES413" s="4"/>
      <c r="ET413" s="4"/>
      <c r="EU413" s="4"/>
      <c r="EV413" s="4"/>
      <c r="EW413" s="4"/>
      <c r="EX413" s="4"/>
      <c r="EY413" s="4"/>
      <c r="EZ413" s="4"/>
      <c r="FA413" s="4"/>
      <c r="FB413" s="4"/>
      <c r="FC413" s="4"/>
      <c r="FD413" s="4"/>
      <c r="FE413" s="4"/>
      <c r="FF413" s="4"/>
      <c r="FG413" s="4"/>
      <c r="FH413" s="4"/>
      <c r="FI413" s="4"/>
      <c r="FJ413" s="4"/>
      <c r="FK413" s="4"/>
      <c r="FL413" s="4"/>
      <c r="FM413" s="4"/>
      <c r="FN413" s="4"/>
      <c r="FO413" s="4"/>
      <c r="FP413" s="4"/>
      <c r="FQ413" s="4"/>
      <c r="FR413" s="4"/>
      <c r="FS413" s="4"/>
      <c r="FT413" s="4"/>
      <c r="FU413" s="4"/>
      <c r="FV413" s="4"/>
      <c r="FW413" s="4"/>
      <c r="FX413" s="4"/>
      <c r="FY413" s="4"/>
      <c r="FZ413" s="4"/>
      <c r="GA413" s="4"/>
      <c r="GB413" s="4"/>
      <c r="GC413" s="4"/>
      <c r="GD413" s="4"/>
      <c r="GE413" s="4"/>
      <c r="GF413" s="4"/>
      <c r="GG413" s="4"/>
      <c r="GH413" s="4"/>
      <c r="GI413" s="4"/>
      <c r="GJ413" s="4"/>
      <c r="GK413" s="4"/>
      <c r="GL413" s="4"/>
      <c r="GM413" s="4"/>
      <c r="GN413" s="4"/>
      <c r="GO413" s="4"/>
      <c r="GP413" s="4"/>
      <c r="GQ413" s="4"/>
      <c r="GR413" s="4"/>
      <c r="GS413" s="4"/>
      <c r="GT413" s="4"/>
      <c r="GU413" s="4"/>
      <c r="GV413" s="4"/>
      <c r="GW413" s="4"/>
      <c r="GX413" s="4"/>
      <c r="GY413" s="4"/>
      <c r="GZ413" s="4"/>
      <c r="HA413" s="4"/>
      <c r="HB413" s="4"/>
      <c r="HC413" s="4"/>
      <c r="HD413" s="4"/>
      <c r="HE413" s="4"/>
      <c r="HF413" s="4"/>
      <c r="HG413" s="4"/>
      <c r="HH413" s="4"/>
      <c r="HI413" s="4"/>
      <c r="HJ413" s="4"/>
    </row>
    <row r="414" spans="1:218" hidden="1">
      <c r="A414" t="s">
        <v>2643</v>
      </c>
      <c r="B414" t="s">
        <v>2644</v>
      </c>
      <c r="C414" t="s">
        <v>484</v>
      </c>
      <c r="D414" t="s">
        <v>2645</v>
      </c>
      <c r="E414" t="s">
        <v>2646</v>
      </c>
      <c r="F414" s="3">
        <v>1</v>
      </c>
      <c r="G414" s="12">
        <f t="shared" si="12"/>
        <v>3.27</v>
      </c>
      <c r="H414" s="12" t="e">
        <f t="shared" si="13"/>
        <v>#NUM!</v>
      </c>
      <c r="I414" s="3">
        <v>3.2711299999999999</v>
      </c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  <c r="DQ414" s="4"/>
      <c r="DR414" s="4"/>
      <c r="DS414" s="4"/>
      <c r="DT414" s="4"/>
      <c r="DU414" s="4"/>
      <c r="DV414" s="4"/>
      <c r="DW414" s="4"/>
      <c r="DX414" s="4"/>
      <c r="DY414" s="4"/>
      <c r="DZ414" s="4"/>
      <c r="EA414" s="4"/>
      <c r="EB414" s="4"/>
      <c r="EC414" s="4"/>
      <c r="ED414" s="4"/>
      <c r="EE414" s="4"/>
      <c r="EF414" s="4"/>
      <c r="EG414" s="4"/>
      <c r="EH414" s="4"/>
      <c r="EI414" s="4"/>
      <c r="EJ414" s="4"/>
      <c r="EK414" s="4"/>
      <c r="EL414" s="4"/>
      <c r="EM414" s="4"/>
      <c r="EN414" s="4"/>
      <c r="EO414" s="4"/>
      <c r="EP414" s="4"/>
      <c r="EQ414" s="4"/>
      <c r="ER414" s="4"/>
      <c r="ES414" s="4"/>
      <c r="ET414" s="4"/>
      <c r="EU414" s="4"/>
      <c r="EV414" s="4"/>
      <c r="EW414" s="4"/>
      <c r="EX414" s="4"/>
      <c r="EY414" s="4"/>
      <c r="EZ414" s="4"/>
      <c r="FA414" s="4"/>
      <c r="FB414" s="4"/>
      <c r="FC414" s="4"/>
      <c r="FD414" s="4"/>
      <c r="FE414" s="4"/>
      <c r="FF414" s="4"/>
      <c r="FG414" s="4"/>
      <c r="FH414" s="4"/>
      <c r="FI414" s="4"/>
      <c r="FJ414" s="4"/>
      <c r="FK414" s="4"/>
      <c r="FL414" s="4"/>
      <c r="FM414" s="4"/>
      <c r="FN414" s="4"/>
      <c r="FO414" s="4"/>
      <c r="FP414" s="4"/>
      <c r="FQ414" s="4"/>
      <c r="FR414" s="4"/>
      <c r="FS414" s="4"/>
      <c r="FT414" s="4"/>
      <c r="FU414" s="4"/>
      <c r="FV414" s="4"/>
      <c r="FW414" s="4"/>
      <c r="FX414" s="4"/>
      <c r="FY414" s="4"/>
      <c r="FZ414" s="4"/>
      <c r="GA414" s="4"/>
      <c r="GB414" s="4"/>
      <c r="GC414" s="4"/>
      <c r="GD414" s="4"/>
      <c r="GE414" s="4"/>
      <c r="GF414" s="4"/>
      <c r="GG414" s="4"/>
      <c r="GH414" s="4"/>
      <c r="GI414" s="4">
        <v>3.27</v>
      </c>
      <c r="GJ414" s="4"/>
      <c r="GK414" s="4"/>
      <c r="GL414" s="4"/>
      <c r="GM414" s="4"/>
      <c r="GN414" s="4"/>
      <c r="GO414" s="4"/>
      <c r="GP414" s="4"/>
      <c r="GQ414" s="4"/>
      <c r="GR414" s="4"/>
      <c r="GS414" s="4"/>
      <c r="GT414" s="4"/>
      <c r="GU414" s="4"/>
      <c r="GV414" s="4"/>
      <c r="GW414" s="4"/>
      <c r="GX414" s="4"/>
      <c r="GY414" s="4"/>
      <c r="GZ414" s="4"/>
      <c r="HA414" s="4"/>
      <c r="HB414" s="4"/>
      <c r="HC414" s="4"/>
      <c r="HD414" s="4"/>
      <c r="HE414" s="4"/>
      <c r="HF414" s="4"/>
      <c r="HG414" s="4"/>
      <c r="HH414" s="4"/>
      <c r="HI414" s="4"/>
      <c r="HJ414" s="4"/>
    </row>
    <row r="415" spans="1:218" hidden="1">
      <c r="A415" t="s">
        <v>2710</v>
      </c>
      <c r="B415" t="s">
        <v>2711</v>
      </c>
      <c r="C415" t="s">
        <v>505</v>
      </c>
      <c r="D415" t="s">
        <v>2712</v>
      </c>
      <c r="E415" t="s">
        <v>2713</v>
      </c>
      <c r="F415" s="3">
        <v>1</v>
      </c>
      <c r="G415" s="12">
        <f t="shared" si="12"/>
        <v>3.06</v>
      </c>
      <c r="H415" s="12" t="e">
        <f t="shared" si="13"/>
        <v>#NUM!</v>
      </c>
      <c r="I415" s="3">
        <v>3.0569299999999999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>
        <v>3.06</v>
      </c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  <c r="DQ415" s="4"/>
      <c r="DR415" s="4"/>
      <c r="DS415" s="4"/>
      <c r="DT415" s="4"/>
      <c r="DU415" s="4"/>
      <c r="DV415" s="4"/>
      <c r="DW415" s="4"/>
      <c r="DX415" s="4"/>
      <c r="DY415" s="4"/>
      <c r="DZ415" s="4"/>
      <c r="EA415" s="4"/>
      <c r="EB415" s="4"/>
      <c r="EC415" s="4"/>
      <c r="ED415" s="4"/>
      <c r="EE415" s="4"/>
      <c r="EF415" s="4"/>
      <c r="EG415" s="4"/>
      <c r="EH415" s="4"/>
      <c r="EI415" s="4"/>
      <c r="EJ415" s="4"/>
      <c r="EK415" s="4"/>
      <c r="EL415" s="4"/>
      <c r="EM415" s="4"/>
      <c r="EN415" s="4"/>
      <c r="EO415" s="4"/>
      <c r="EP415" s="4"/>
      <c r="EQ415" s="4"/>
      <c r="ER415" s="4"/>
      <c r="ES415" s="4"/>
      <c r="ET415" s="4"/>
      <c r="EU415" s="4"/>
      <c r="EV415" s="4"/>
      <c r="EW415" s="4"/>
      <c r="EX415" s="4"/>
      <c r="EY415" s="4"/>
      <c r="EZ415" s="4"/>
      <c r="FA415" s="4"/>
      <c r="FB415" s="4"/>
      <c r="FC415" s="4"/>
      <c r="FD415" s="4"/>
      <c r="FE415" s="4"/>
      <c r="FF415" s="4"/>
      <c r="FG415" s="4"/>
      <c r="FH415" s="4"/>
      <c r="FI415" s="4"/>
      <c r="FJ415" s="4"/>
      <c r="FK415" s="4"/>
      <c r="FL415" s="4"/>
      <c r="FM415" s="4"/>
      <c r="FN415" s="4"/>
      <c r="FO415" s="4"/>
      <c r="FP415" s="4"/>
      <c r="FQ415" s="4"/>
      <c r="FR415" s="4"/>
      <c r="FS415" s="4"/>
      <c r="FT415" s="4"/>
      <c r="FU415" s="4"/>
      <c r="FV415" s="4"/>
      <c r="FW415" s="4"/>
      <c r="FX415" s="4"/>
      <c r="FY415" s="4"/>
      <c r="FZ415" s="4"/>
      <c r="GA415" s="4"/>
      <c r="GB415" s="4"/>
      <c r="GC415" s="4"/>
      <c r="GD415" s="4"/>
      <c r="GE415" s="4"/>
      <c r="GF415" s="4"/>
      <c r="GG415" s="4"/>
      <c r="GH415" s="4"/>
      <c r="GI415" s="4"/>
      <c r="GJ415" s="4"/>
      <c r="GK415" s="4"/>
      <c r="GL415" s="4"/>
      <c r="GM415" s="4"/>
      <c r="GN415" s="4"/>
      <c r="GO415" s="4"/>
      <c r="GP415" s="4"/>
      <c r="GQ415" s="4"/>
      <c r="GR415" s="4"/>
      <c r="GS415" s="4"/>
      <c r="GT415" s="4"/>
      <c r="GU415" s="4"/>
      <c r="GV415" s="4"/>
      <c r="GW415" s="4"/>
      <c r="GX415" s="4"/>
      <c r="GY415" s="4"/>
      <c r="GZ415" s="4"/>
      <c r="HA415" s="4"/>
      <c r="HB415" s="4"/>
      <c r="HC415" s="4"/>
      <c r="HD415" s="4"/>
      <c r="HE415" s="4"/>
      <c r="HF415" s="4"/>
      <c r="HG415" s="4"/>
      <c r="HH415" s="4"/>
      <c r="HI415" s="4"/>
      <c r="HJ415" s="4"/>
    </row>
    <row r="416" spans="1:218" hidden="1">
      <c r="A416" t="s">
        <v>2751</v>
      </c>
      <c r="B416" t="s">
        <v>2752</v>
      </c>
      <c r="C416" t="s">
        <v>1028</v>
      </c>
      <c r="D416" t="s">
        <v>2753</v>
      </c>
      <c r="E416" t="s">
        <v>2754</v>
      </c>
      <c r="F416" s="3">
        <v>1</v>
      </c>
      <c r="G416" s="12">
        <f t="shared" si="12"/>
        <v>2.98</v>
      </c>
      <c r="H416" s="12" t="e">
        <f t="shared" si="13"/>
        <v>#NUM!</v>
      </c>
      <c r="I416" s="3">
        <v>2.9794900000000002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>
        <v>2.98</v>
      </c>
      <c r="DN416" s="4"/>
      <c r="DO416" s="4"/>
      <c r="DP416" s="4"/>
      <c r="DQ416" s="4"/>
      <c r="DR416" s="4"/>
      <c r="DS416" s="4"/>
      <c r="DT416" s="4"/>
      <c r="DU416" s="4"/>
      <c r="DV416" s="4"/>
      <c r="DW416" s="4"/>
      <c r="DX416" s="4"/>
      <c r="DY416" s="4"/>
      <c r="DZ416" s="4"/>
      <c r="EA416" s="4"/>
      <c r="EB416" s="4"/>
      <c r="EC416" s="4"/>
      <c r="ED416" s="4"/>
      <c r="EE416" s="4"/>
      <c r="EF416" s="4"/>
      <c r="EG416" s="4"/>
      <c r="EH416" s="4"/>
      <c r="EI416" s="4"/>
      <c r="EJ416" s="4"/>
      <c r="EK416" s="4"/>
      <c r="EL416" s="4"/>
      <c r="EM416" s="4"/>
      <c r="EN416" s="4"/>
      <c r="EO416" s="4"/>
      <c r="EP416" s="4"/>
      <c r="EQ416" s="4"/>
      <c r="ER416" s="4"/>
      <c r="ES416" s="4"/>
      <c r="ET416" s="4"/>
      <c r="EU416" s="4"/>
      <c r="EV416" s="4"/>
      <c r="EW416" s="4"/>
      <c r="EX416" s="4"/>
      <c r="EY416" s="4"/>
      <c r="EZ416" s="4"/>
      <c r="FA416" s="4"/>
      <c r="FB416" s="4"/>
      <c r="FC416" s="4"/>
      <c r="FD416" s="4"/>
      <c r="FE416" s="4"/>
      <c r="FF416" s="4"/>
      <c r="FG416" s="4"/>
      <c r="FH416" s="4"/>
      <c r="FI416" s="4"/>
      <c r="FJ416" s="4"/>
      <c r="FK416" s="4"/>
      <c r="FL416" s="4"/>
      <c r="FM416" s="4"/>
      <c r="FN416" s="4"/>
      <c r="FO416" s="4"/>
      <c r="FP416" s="4"/>
      <c r="FQ416" s="4"/>
      <c r="FR416" s="4"/>
      <c r="FS416" s="4"/>
      <c r="FT416" s="4"/>
      <c r="FU416" s="4"/>
      <c r="FV416" s="4"/>
      <c r="FW416" s="4"/>
      <c r="FX416" s="4"/>
      <c r="FY416" s="4"/>
      <c r="FZ416" s="4"/>
      <c r="GA416" s="4"/>
      <c r="GB416" s="4"/>
      <c r="GC416" s="4"/>
      <c r="GD416" s="4"/>
      <c r="GE416" s="4"/>
      <c r="GF416" s="4"/>
      <c r="GG416" s="4"/>
      <c r="GH416" s="4"/>
      <c r="GI416" s="4"/>
      <c r="GJ416" s="4"/>
      <c r="GK416" s="4"/>
      <c r="GL416" s="4"/>
      <c r="GM416" s="4"/>
      <c r="GN416" s="4"/>
      <c r="GO416" s="4"/>
      <c r="GP416" s="4"/>
      <c r="GQ416" s="4"/>
      <c r="GR416" s="4"/>
      <c r="GS416" s="4"/>
      <c r="GT416" s="4"/>
      <c r="GU416" s="4"/>
      <c r="GV416" s="4"/>
      <c r="GW416" s="4"/>
      <c r="GX416" s="4"/>
      <c r="GY416" s="4"/>
      <c r="GZ416" s="4"/>
      <c r="HA416" s="4"/>
      <c r="HB416" s="4"/>
      <c r="HC416" s="4"/>
      <c r="HD416" s="4"/>
      <c r="HE416" s="4"/>
      <c r="HF416" s="4"/>
      <c r="HG416" s="4"/>
      <c r="HH416" s="4"/>
      <c r="HI416" s="4"/>
      <c r="HJ416" s="4"/>
    </row>
    <row r="417" spans="1:218" hidden="1">
      <c r="A417" t="s">
        <v>1984</v>
      </c>
      <c r="B417" t="s">
        <v>1985</v>
      </c>
      <c r="C417" t="s">
        <v>1055</v>
      </c>
      <c r="D417" t="s">
        <v>1986</v>
      </c>
      <c r="E417" t="s">
        <v>1987</v>
      </c>
      <c r="F417" s="3">
        <v>1</v>
      </c>
      <c r="G417" s="12">
        <f t="shared" si="12"/>
        <v>4.84</v>
      </c>
      <c r="H417" s="12" t="e">
        <f t="shared" si="13"/>
        <v>#NUM!</v>
      </c>
      <c r="I417" s="3">
        <v>4.8351100000000002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  <c r="DQ417" s="4"/>
      <c r="DR417" s="4"/>
      <c r="DS417" s="4"/>
      <c r="DT417" s="4"/>
      <c r="DU417" s="4"/>
      <c r="DV417" s="4"/>
      <c r="DW417" s="4"/>
      <c r="DX417" s="4"/>
      <c r="DY417" s="4"/>
      <c r="DZ417" s="4"/>
      <c r="EA417" s="4"/>
      <c r="EB417" s="4"/>
      <c r="EC417" s="4"/>
      <c r="ED417" s="4"/>
      <c r="EE417" s="4"/>
      <c r="EF417" s="4"/>
      <c r="EG417" s="4"/>
      <c r="EH417" s="4"/>
      <c r="EI417" s="4"/>
      <c r="EJ417" s="4"/>
      <c r="EK417" s="4"/>
      <c r="EL417" s="4"/>
      <c r="EM417" s="4"/>
      <c r="EN417" s="4"/>
      <c r="EO417" s="4"/>
      <c r="EP417" s="4"/>
      <c r="EQ417" s="4"/>
      <c r="ER417" s="4"/>
      <c r="ES417" s="4"/>
      <c r="ET417" s="4"/>
      <c r="EU417" s="4"/>
      <c r="EV417" s="4"/>
      <c r="EW417" s="4"/>
      <c r="EX417" s="4"/>
      <c r="EY417" s="4"/>
      <c r="EZ417" s="4"/>
      <c r="FA417" s="4"/>
      <c r="FB417" s="4"/>
      <c r="FC417" s="4"/>
      <c r="FD417" s="4"/>
      <c r="FE417" s="4"/>
      <c r="FF417" s="4"/>
      <c r="FG417" s="4"/>
      <c r="FH417" s="4"/>
      <c r="FI417" s="4"/>
      <c r="FJ417" s="4"/>
      <c r="FK417" s="4"/>
      <c r="FL417" s="4"/>
      <c r="FM417" s="4"/>
      <c r="FN417" s="4"/>
      <c r="FO417" s="4"/>
      <c r="FP417" s="4"/>
      <c r="FQ417" s="4"/>
      <c r="FR417" s="4"/>
      <c r="FS417" s="4"/>
      <c r="FT417" s="4"/>
      <c r="FU417" s="4"/>
      <c r="FV417" s="4"/>
      <c r="FW417" s="4"/>
      <c r="FX417" s="4"/>
      <c r="FY417" s="4"/>
      <c r="FZ417" s="4"/>
      <c r="GA417" s="4"/>
      <c r="GB417" s="4"/>
      <c r="GC417" s="4"/>
      <c r="GD417" s="4"/>
      <c r="GE417" s="4"/>
      <c r="GF417" s="4"/>
      <c r="GG417" s="4"/>
      <c r="GH417" s="4"/>
      <c r="GI417" s="4"/>
      <c r="GJ417" s="4"/>
      <c r="GK417" s="4"/>
      <c r="GL417" s="4"/>
      <c r="GM417" s="4"/>
      <c r="GN417" s="4"/>
      <c r="GO417" s="4"/>
      <c r="GP417" s="4"/>
      <c r="GQ417" s="4"/>
      <c r="GR417" s="4"/>
      <c r="GS417" s="4"/>
      <c r="GT417" s="4"/>
      <c r="GU417" s="4"/>
      <c r="GV417" s="4"/>
      <c r="GW417" s="4"/>
      <c r="GX417" s="4"/>
      <c r="GY417" s="4"/>
      <c r="GZ417" s="4">
        <v>4.84</v>
      </c>
      <c r="HA417" s="4"/>
      <c r="HB417" s="4"/>
      <c r="HC417" s="4"/>
      <c r="HD417" s="4"/>
      <c r="HE417" s="4"/>
      <c r="HF417" s="4"/>
      <c r="HG417" s="4"/>
      <c r="HH417" s="4"/>
      <c r="HI417" s="4"/>
      <c r="HJ417" s="4"/>
    </row>
    <row r="418" spans="1:218" hidden="1">
      <c r="A418" t="s">
        <v>2961</v>
      </c>
      <c r="B418" t="s">
        <v>2962</v>
      </c>
      <c r="C418" t="s">
        <v>2963</v>
      </c>
      <c r="D418" t="s">
        <v>2964</v>
      </c>
      <c r="E418" t="s">
        <v>2965</v>
      </c>
      <c r="F418" s="3">
        <v>1</v>
      </c>
      <c r="G418" s="12">
        <f t="shared" si="12"/>
        <v>2.29</v>
      </c>
      <c r="H418" s="12" t="e">
        <f t="shared" si="13"/>
        <v>#NUM!</v>
      </c>
      <c r="I418" s="3">
        <v>2.2852098999999999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>
        <v>2.29</v>
      </c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  <c r="DQ418" s="4"/>
      <c r="DR418" s="4"/>
      <c r="DS418" s="4"/>
      <c r="DT418" s="4"/>
      <c r="DU418" s="4"/>
      <c r="DV418" s="4"/>
      <c r="DW418" s="4"/>
      <c r="DX418" s="4"/>
      <c r="DY418" s="4"/>
      <c r="DZ418" s="4"/>
      <c r="EA418" s="4"/>
      <c r="EB418" s="4"/>
      <c r="EC418" s="4"/>
      <c r="ED418" s="4"/>
      <c r="EE418" s="4"/>
      <c r="EF418" s="4"/>
      <c r="EG418" s="4"/>
      <c r="EH418" s="4"/>
      <c r="EI418" s="4"/>
      <c r="EJ418" s="4"/>
      <c r="EK418" s="4"/>
      <c r="EL418" s="4"/>
      <c r="EM418" s="4"/>
      <c r="EN418" s="4"/>
      <c r="EO418" s="4"/>
      <c r="EP418" s="4"/>
      <c r="EQ418" s="4"/>
      <c r="ER418" s="4"/>
      <c r="ES418" s="4"/>
      <c r="ET418" s="4"/>
      <c r="EU418" s="4"/>
      <c r="EV418" s="4"/>
      <c r="EW418" s="4"/>
      <c r="EX418" s="4"/>
      <c r="EY418" s="4"/>
      <c r="EZ418" s="4"/>
      <c r="FA418" s="4"/>
      <c r="FB418" s="4"/>
      <c r="FC418" s="4"/>
      <c r="FD418" s="4"/>
      <c r="FE418" s="4"/>
      <c r="FF418" s="4"/>
      <c r="FG418" s="4"/>
      <c r="FH418" s="4"/>
      <c r="FI418" s="4"/>
      <c r="FJ418" s="4"/>
      <c r="FK418" s="4"/>
      <c r="FL418" s="4"/>
      <c r="FM418" s="4"/>
      <c r="FN418" s="4"/>
      <c r="FO418" s="4"/>
      <c r="FP418" s="4"/>
      <c r="FQ418" s="4"/>
      <c r="FR418" s="4"/>
      <c r="FS418" s="4"/>
      <c r="FT418" s="4"/>
      <c r="FU418" s="4"/>
      <c r="FV418" s="4"/>
      <c r="FW418" s="4"/>
      <c r="FX418" s="4"/>
      <c r="FY418" s="4"/>
      <c r="FZ418" s="4"/>
      <c r="GA418" s="4"/>
      <c r="GB418" s="4"/>
      <c r="GC418" s="4"/>
      <c r="GD418" s="4"/>
      <c r="GE418" s="4"/>
      <c r="GF418" s="4"/>
      <c r="GG418" s="4"/>
      <c r="GH418" s="4"/>
      <c r="GI418" s="4"/>
      <c r="GJ418" s="4"/>
      <c r="GK418" s="4"/>
      <c r="GL418" s="4"/>
      <c r="GM418" s="4"/>
      <c r="GN418" s="4"/>
      <c r="GO418" s="4"/>
      <c r="GP418" s="4"/>
      <c r="GQ418" s="4"/>
      <c r="GR418" s="4"/>
      <c r="GS418" s="4"/>
      <c r="GT418" s="4"/>
      <c r="GU418" s="4"/>
      <c r="GV418" s="4"/>
      <c r="GW418" s="4"/>
      <c r="GX418" s="4"/>
      <c r="GY418" s="4"/>
      <c r="GZ418" s="4"/>
      <c r="HA418" s="4"/>
      <c r="HB418" s="4"/>
      <c r="HC418" s="4"/>
      <c r="HD418" s="4"/>
      <c r="HE418" s="4"/>
      <c r="HF418" s="4"/>
      <c r="HG418" s="4"/>
      <c r="HH418" s="4"/>
      <c r="HI418" s="4"/>
      <c r="HJ418" s="4"/>
    </row>
    <row r="419" spans="1:218" hidden="1">
      <c r="A419" t="s">
        <v>3011</v>
      </c>
      <c r="B419" t="s">
        <v>3012</v>
      </c>
      <c r="C419" t="s">
        <v>1055</v>
      </c>
      <c r="D419" t="s">
        <v>3013</v>
      </c>
      <c r="E419" t="s">
        <v>3014</v>
      </c>
      <c r="F419" s="3">
        <v>1</v>
      </c>
      <c r="G419" s="12">
        <f t="shared" si="12"/>
        <v>2.1800000000000002</v>
      </c>
      <c r="H419" s="12" t="e">
        <f t="shared" si="13"/>
        <v>#NUM!</v>
      </c>
      <c r="I419" s="3">
        <v>2.1786300000000001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>
        <v>2.1800000000000002</v>
      </c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  <c r="DQ419" s="4"/>
      <c r="DR419" s="4"/>
      <c r="DS419" s="4"/>
      <c r="DT419" s="4"/>
      <c r="DU419" s="4"/>
      <c r="DV419" s="4"/>
      <c r="DW419" s="4"/>
      <c r="DX419" s="4"/>
      <c r="DY419" s="4"/>
      <c r="DZ419" s="4"/>
      <c r="EA419" s="4"/>
      <c r="EB419" s="4"/>
      <c r="EC419" s="4"/>
      <c r="ED419" s="4"/>
      <c r="EE419" s="4"/>
      <c r="EF419" s="4"/>
      <c r="EG419" s="4"/>
      <c r="EH419" s="4"/>
      <c r="EI419" s="4"/>
      <c r="EJ419" s="4"/>
      <c r="EK419" s="4"/>
      <c r="EL419" s="4"/>
      <c r="EM419" s="4"/>
      <c r="EN419" s="4"/>
      <c r="EO419" s="4"/>
      <c r="EP419" s="4"/>
      <c r="EQ419" s="4"/>
      <c r="ER419" s="4"/>
      <c r="ES419" s="4"/>
      <c r="ET419" s="4"/>
      <c r="EU419" s="4"/>
      <c r="EV419" s="4"/>
      <c r="EW419" s="4"/>
      <c r="EX419" s="4"/>
      <c r="EY419" s="4"/>
      <c r="EZ419" s="4"/>
      <c r="FA419" s="4"/>
      <c r="FB419" s="4"/>
      <c r="FC419" s="4"/>
      <c r="FD419" s="4"/>
      <c r="FE419" s="4"/>
      <c r="FF419" s="4"/>
      <c r="FG419" s="4"/>
      <c r="FH419" s="4"/>
      <c r="FI419" s="4"/>
      <c r="FJ419" s="4"/>
      <c r="FK419" s="4"/>
      <c r="FL419" s="4"/>
      <c r="FM419" s="4"/>
      <c r="FN419" s="4"/>
      <c r="FO419" s="4"/>
      <c r="FP419" s="4"/>
      <c r="FQ419" s="4"/>
      <c r="FR419" s="4"/>
      <c r="FS419" s="4"/>
      <c r="FT419" s="4"/>
      <c r="FU419" s="4"/>
      <c r="FV419" s="4"/>
      <c r="FW419" s="4"/>
      <c r="FX419" s="4"/>
      <c r="FY419" s="4"/>
      <c r="FZ419" s="4"/>
      <c r="GA419" s="4"/>
      <c r="GB419" s="4"/>
      <c r="GC419" s="4"/>
      <c r="GD419" s="4"/>
      <c r="GE419" s="4"/>
      <c r="GF419" s="4"/>
      <c r="GG419" s="4"/>
      <c r="GH419" s="4"/>
      <c r="GI419" s="4"/>
      <c r="GJ419" s="4"/>
      <c r="GK419" s="4"/>
      <c r="GL419" s="4"/>
      <c r="GM419" s="4"/>
      <c r="GN419" s="4"/>
      <c r="GO419" s="4"/>
      <c r="GP419" s="4"/>
      <c r="GQ419" s="4"/>
      <c r="GR419" s="4"/>
      <c r="GS419" s="4"/>
      <c r="GT419" s="4"/>
      <c r="GU419" s="4"/>
      <c r="GV419" s="4"/>
      <c r="GW419" s="4"/>
      <c r="GX419" s="4"/>
      <c r="GY419" s="4"/>
      <c r="GZ419" s="4"/>
      <c r="HA419" s="4"/>
      <c r="HB419" s="4"/>
      <c r="HC419" s="4"/>
      <c r="HD419" s="4"/>
      <c r="HE419" s="4"/>
      <c r="HF419" s="4"/>
      <c r="HG419" s="4"/>
      <c r="HH419" s="4"/>
      <c r="HI419" s="4"/>
      <c r="HJ419" s="4"/>
    </row>
    <row r="420" spans="1:218" hidden="1">
      <c r="A420" t="s">
        <v>2614</v>
      </c>
      <c r="B420" t="s">
        <v>2615</v>
      </c>
      <c r="C420" t="s">
        <v>826</v>
      </c>
      <c r="D420" t="s">
        <v>2616</v>
      </c>
      <c r="E420" t="s">
        <v>2617</v>
      </c>
      <c r="F420" s="3">
        <v>1</v>
      </c>
      <c r="G420" s="12">
        <f t="shared" si="12"/>
        <v>3.37</v>
      </c>
      <c r="H420" s="12" t="e">
        <f t="shared" si="13"/>
        <v>#NUM!</v>
      </c>
      <c r="I420" s="3">
        <v>3.3725200000000002</v>
      </c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  <c r="DQ420" s="4"/>
      <c r="DR420" s="4"/>
      <c r="DS420" s="4"/>
      <c r="DT420" s="4"/>
      <c r="DU420" s="4"/>
      <c r="DV420" s="4"/>
      <c r="DW420" s="4"/>
      <c r="DX420" s="4"/>
      <c r="DY420" s="4"/>
      <c r="DZ420" s="4"/>
      <c r="EA420" s="4"/>
      <c r="EB420" s="4"/>
      <c r="EC420" s="4"/>
      <c r="ED420" s="4"/>
      <c r="EE420" s="4"/>
      <c r="EF420" s="4">
        <v>3.37</v>
      </c>
      <c r="EG420" s="4"/>
      <c r="EH420" s="4"/>
      <c r="EI420" s="4"/>
      <c r="EJ420" s="4"/>
      <c r="EK420" s="4"/>
      <c r="EL420" s="4"/>
      <c r="EM420" s="4"/>
      <c r="EN420" s="4"/>
      <c r="EO420" s="4"/>
      <c r="EP420" s="4"/>
      <c r="EQ420" s="4"/>
      <c r="ER420" s="4"/>
      <c r="ES420" s="4"/>
      <c r="ET420" s="4"/>
      <c r="EU420" s="4"/>
      <c r="EV420" s="4"/>
      <c r="EW420" s="4"/>
      <c r="EX420" s="4"/>
      <c r="EY420" s="4"/>
      <c r="EZ420" s="4"/>
      <c r="FA420" s="4"/>
      <c r="FB420" s="4"/>
      <c r="FC420" s="4"/>
      <c r="FD420" s="4"/>
      <c r="FE420" s="4"/>
      <c r="FF420" s="4"/>
      <c r="FG420" s="4"/>
      <c r="FH420" s="4"/>
      <c r="FI420" s="4"/>
      <c r="FJ420" s="4"/>
      <c r="FK420" s="4"/>
      <c r="FL420" s="4"/>
      <c r="FM420" s="4"/>
      <c r="FN420" s="4"/>
      <c r="FO420" s="4"/>
      <c r="FP420" s="4"/>
      <c r="FQ420" s="4"/>
      <c r="FR420" s="4"/>
      <c r="FS420" s="4"/>
      <c r="FT420" s="4"/>
      <c r="FU420" s="4"/>
      <c r="FV420" s="4"/>
      <c r="FW420" s="4"/>
      <c r="FX420" s="4"/>
      <c r="FY420" s="4"/>
      <c r="FZ420" s="4"/>
      <c r="GA420" s="4"/>
      <c r="GB420" s="4"/>
      <c r="GC420" s="4"/>
      <c r="GD420" s="4"/>
      <c r="GE420" s="4"/>
      <c r="GF420" s="4"/>
      <c r="GG420" s="4"/>
      <c r="GH420" s="4"/>
      <c r="GI420" s="4"/>
      <c r="GJ420" s="4"/>
      <c r="GK420" s="4"/>
      <c r="GL420" s="4"/>
      <c r="GM420" s="4"/>
      <c r="GN420" s="4"/>
      <c r="GO420" s="4"/>
      <c r="GP420" s="4"/>
      <c r="GQ420" s="4"/>
      <c r="GR420" s="4"/>
      <c r="GS420" s="4"/>
      <c r="GT420" s="4"/>
      <c r="GU420" s="4"/>
      <c r="GV420" s="4"/>
      <c r="GW420" s="4"/>
      <c r="GX420" s="4"/>
      <c r="GY420" s="4"/>
      <c r="GZ420" s="4"/>
      <c r="HA420" s="4"/>
      <c r="HB420" s="4"/>
      <c r="HC420" s="4"/>
      <c r="HD420" s="4"/>
      <c r="HE420" s="4"/>
      <c r="HF420" s="4"/>
      <c r="HG420" s="4"/>
      <c r="HH420" s="4"/>
      <c r="HI420" s="4"/>
      <c r="HJ420" s="4"/>
    </row>
    <row r="421" spans="1:218" hidden="1">
      <c r="A421" t="s">
        <v>2533</v>
      </c>
      <c r="B421" t="s">
        <v>2534</v>
      </c>
      <c r="C421" t="s">
        <v>505</v>
      </c>
      <c r="D421" t="s">
        <v>2535</v>
      </c>
      <c r="E421" t="s">
        <v>2536</v>
      </c>
      <c r="F421" s="3">
        <v>1</v>
      </c>
      <c r="G421" s="12">
        <f t="shared" si="12"/>
        <v>3.59</v>
      </c>
      <c r="H421" s="12" t="e">
        <f t="shared" si="13"/>
        <v>#NUM!</v>
      </c>
      <c r="I421" s="3">
        <v>3.5923197999999998</v>
      </c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>
        <v>3.59</v>
      </c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  <c r="DQ421" s="4"/>
      <c r="DR421" s="4"/>
      <c r="DS421" s="4"/>
      <c r="DT421" s="4"/>
      <c r="DU421" s="4"/>
      <c r="DV421" s="4"/>
      <c r="DW421" s="4"/>
      <c r="DX421" s="4"/>
      <c r="DY421" s="4"/>
      <c r="DZ421" s="4"/>
      <c r="EA421" s="4"/>
      <c r="EB421" s="4"/>
      <c r="EC421" s="4"/>
      <c r="ED421" s="4"/>
      <c r="EE421" s="4"/>
      <c r="EF421" s="4"/>
      <c r="EG421" s="4"/>
      <c r="EH421" s="4"/>
      <c r="EI421" s="4"/>
      <c r="EJ421" s="4"/>
      <c r="EK421" s="4"/>
      <c r="EL421" s="4"/>
      <c r="EM421" s="4"/>
      <c r="EN421" s="4"/>
      <c r="EO421" s="4"/>
      <c r="EP421" s="4"/>
      <c r="EQ421" s="4"/>
      <c r="ER421" s="4"/>
      <c r="ES421" s="4"/>
      <c r="ET421" s="4"/>
      <c r="EU421" s="4"/>
      <c r="EV421" s="4"/>
      <c r="EW421" s="4"/>
      <c r="EX421" s="4"/>
      <c r="EY421" s="4"/>
      <c r="EZ421" s="4"/>
      <c r="FA421" s="4"/>
      <c r="FB421" s="4"/>
      <c r="FC421" s="4"/>
      <c r="FD421" s="4"/>
      <c r="FE421" s="4"/>
      <c r="FF421" s="4"/>
      <c r="FG421" s="4"/>
      <c r="FH421" s="4"/>
      <c r="FI421" s="4"/>
      <c r="FJ421" s="4"/>
      <c r="FK421" s="4"/>
      <c r="FL421" s="4"/>
      <c r="FM421" s="4"/>
      <c r="FN421" s="4"/>
      <c r="FO421" s="4"/>
      <c r="FP421" s="4"/>
      <c r="FQ421" s="4"/>
      <c r="FR421" s="4"/>
      <c r="FS421" s="4"/>
      <c r="FT421" s="4"/>
      <c r="FU421" s="4"/>
      <c r="FV421" s="4"/>
      <c r="FW421" s="4"/>
      <c r="FX421" s="4"/>
      <c r="FY421" s="4"/>
      <c r="FZ421" s="4"/>
      <c r="GA421" s="4"/>
      <c r="GB421" s="4"/>
      <c r="GC421" s="4"/>
      <c r="GD421" s="4"/>
      <c r="GE421" s="4"/>
      <c r="GF421" s="4"/>
      <c r="GG421" s="4"/>
      <c r="GH421" s="4"/>
      <c r="GI421" s="4"/>
      <c r="GJ421" s="4"/>
      <c r="GK421" s="4"/>
      <c r="GL421" s="4"/>
      <c r="GM421" s="4"/>
      <c r="GN421" s="4"/>
      <c r="GO421" s="4"/>
      <c r="GP421" s="4"/>
      <c r="GQ421" s="4"/>
      <c r="GR421" s="4"/>
      <c r="GS421" s="4"/>
      <c r="GT421" s="4"/>
      <c r="GU421" s="4"/>
      <c r="GV421" s="4"/>
      <c r="GW421" s="4"/>
      <c r="GX421" s="4"/>
      <c r="GY421" s="4"/>
      <c r="GZ421" s="4"/>
      <c r="HA421" s="4"/>
      <c r="HB421" s="4"/>
      <c r="HC421" s="4"/>
      <c r="HD421" s="4"/>
      <c r="HE421" s="4"/>
      <c r="HF421" s="4"/>
      <c r="HG421" s="4"/>
      <c r="HH421" s="4"/>
      <c r="HI421" s="4"/>
      <c r="HJ421" s="4"/>
    </row>
    <row r="422" spans="1:218" hidden="1">
      <c r="A422" t="s">
        <v>2294</v>
      </c>
      <c r="B422" t="s">
        <v>2295</v>
      </c>
      <c r="C422" t="s">
        <v>443</v>
      </c>
      <c r="D422" t="s">
        <v>2296</v>
      </c>
      <c r="E422" t="s">
        <v>2297</v>
      </c>
      <c r="F422" s="3">
        <v>1</v>
      </c>
      <c r="G422" s="12">
        <f t="shared" si="12"/>
        <v>4.1399999999999997</v>
      </c>
      <c r="H422" s="12" t="e">
        <f t="shared" si="13"/>
        <v>#NUM!</v>
      </c>
      <c r="I422" s="3">
        <v>4.13666</v>
      </c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>
        <v>4.1399999999999997</v>
      </c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  <c r="DQ422" s="4"/>
      <c r="DR422" s="4"/>
      <c r="DS422" s="4"/>
      <c r="DT422" s="4"/>
      <c r="DU422" s="4"/>
      <c r="DV422" s="4"/>
      <c r="DW422" s="4"/>
      <c r="DX422" s="4"/>
      <c r="DY422" s="4"/>
      <c r="DZ422" s="4"/>
      <c r="EA422" s="4"/>
      <c r="EB422" s="4"/>
      <c r="EC422" s="4"/>
      <c r="ED422" s="4"/>
      <c r="EE422" s="4"/>
      <c r="EF422" s="4"/>
      <c r="EG422" s="4"/>
      <c r="EH422" s="4"/>
      <c r="EI422" s="4"/>
      <c r="EJ422" s="4"/>
      <c r="EK422" s="4"/>
      <c r="EL422" s="4"/>
      <c r="EM422" s="4"/>
      <c r="EN422" s="4"/>
      <c r="EO422" s="4"/>
      <c r="EP422" s="4"/>
      <c r="EQ422" s="4"/>
      <c r="ER422" s="4"/>
      <c r="ES422" s="4"/>
      <c r="ET422" s="4"/>
      <c r="EU422" s="4"/>
      <c r="EV422" s="4"/>
      <c r="EW422" s="4"/>
      <c r="EX422" s="4"/>
      <c r="EY422" s="4"/>
      <c r="EZ422" s="4"/>
      <c r="FA422" s="4"/>
      <c r="FB422" s="4"/>
      <c r="FC422" s="4"/>
      <c r="FD422" s="4"/>
      <c r="FE422" s="4"/>
      <c r="FF422" s="4"/>
      <c r="FG422" s="4"/>
      <c r="FH422" s="4"/>
      <c r="FI422" s="4"/>
      <c r="FJ422" s="4"/>
      <c r="FK422" s="4"/>
      <c r="FL422" s="4"/>
      <c r="FM422" s="4"/>
      <c r="FN422" s="4"/>
      <c r="FO422" s="4"/>
      <c r="FP422" s="4"/>
      <c r="FQ422" s="4"/>
      <c r="FR422" s="4"/>
      <c r="FS422" s="4"/>
      <c r="FT422" s="4"/>
      <c r="FU422" s="4"/>
      <c r="FV422" s="4"/>
      <c r="FW422" s="4"/>
      <c r="FX422" s="4"/>
      <c r="FY422" s="4"/>
      <c r="FZ422" s="4"/>
      <c r="GA422" s="4"/>
      <c r="GB422" s="4"/>
      <c r="GC422" s="4"/>
      <c r="GD422" s="4"/>
      <c r="GE422" s="4"/>
      <c r="GF422" s="4"/>
      <c r="GG422" s="4"/>
      <c r="GH422" s="4"/>
      <c r="GI422" s="4"/>
      <c r="GJ422" s="4"/>
      <c r="GK422" s="4"/>
      <c r="GL422" s="4"/>
      <c r="GM422" s="4"/>
      <c r="GN422" s="4"/>
      <c r="GO422" s="4"/>
      <c r="GP422" s="4"/>
      <c r="GQ422" s="4"/>
      <c r="GR422" s="4"/>
      <c r="GS422" s="4"/>
      <c r="GT422" s="4"/>
      <c r="GU422" s="4"/>
      <c r="GV422" s="4"/>
      <c r="GW422" s="4"/>
      <c r="GX422" s="4"/>
      <c r="GY422" s="4"/>
      <c r="GZ422" s="4"/>
      <c r="HA422" s="4"/>
      <c r="HB422" s="4"/>
      <c r="HC422" s="4"/>
      <c r="HD422" s="4"/>
      <c r="HE422" s="4"/>
      <c r="HF422" s="4"/>
      <c r="HG422" s="4"/>
      <c r="HH422" s="4"/>
      <c r="HI422" s="4"/>
      <c r="HJ422" s="4"/>
    </row>
    <row r="423" spans="1:218" hidden="1">
      <c r="A423" t="s">
        <v>2098</v>
      </c>
      <c r="B423" t="s">
        <v>2099</v>
      </c>
      <c r="C423" t="s">
        <v>505</v>
      </c>
      <c r="D423" t="s">
        <v>2100</v>
      </c>
      <c r="E423" t="s">
        <v>2101</v>
      </c>
      <c r="F423" s="3">
        <v>1</v>
      </c>
      <c r="G423" s="12">
        <f t="shared" si="12"/>
        <v>4.54</v>
      </c>
      <c r="H423" s="12" t="e">
        <f t="shared" si="13"/>
        <v>#NUM!</v>
      </c>
      <c r="I423" s="3">
        <v>4.5424499999999997</v>
      </c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  <c r="DQ423" s="4"/>
      <c r="DR423" s="4"/>
      <c r="DS423" s="4"/>
      <c r="DT423" s="4"/>
      <c r="DU423" s="4"/>
      <c r="DV423" s="4"/>
      <c r="DW423" s="4"/>
      <c r="DX423" s="4"/>
      <c r="DY423" s="4"/>
      <c r="DZ423" s="4"/>
      <c r="EA423" s="4"/>
      <c r="EB423" s="4"/>
      <c r="EC423" s="4"/>
      <c r="ED423" s="4"/>
      <c r="EE423" s="4"/>
      <c r="EF423" s="4"/>
      <c r="EG423" s="4"/>
      <c r="EH423" s="4"/>
      <c r="EI423" s="4"/>
      <c r="EJ423" s="4"/>
      <c r="EK423" s="4"/>
      <c r="EL423" s="4"/>
      <c r="EM423" s="4"/>
      <c r="EN423" s="4"/>
      <c r="EO423" s="4"/>
      <c r="EP423" s="4"/>
      <c r="EQ423" s="4"/>
      <c r="ER423" s="4"/>
      <c r="ES423" s="4"/>
      <c r="ET423" s="4"/>
      <c r="EU423" s="4"/>
      <c r="EV423" s="4"/>
      <c r="EW423" s="4"/>
      <c r="EX423" s="4"/>
      <c r="EY423" s="4"/>
      <c r="EZ423" s="4"/>
      <c r="FA423" s="4"/>
      <c r="FB423" s="4"/>
      <c r="FC423" s="4"/>
      <c r="FD423" s="4"/>
      <c r="FE423" s="4"/>
      <c r="FF423" s="4"/>
      <c r="FG423" s="4"/>
      <c r="FH423" s="4"/>
      <c r="FI423" s="4"/>
      <c r="FJ423" s="4"/>
      <c r="FK423" s="4"/>
      <c r="FL423" s="4"/>
      <c r="FM423" s="4"/>
      <c r="FN423" s="4"/>
      <c r="FO423" s="4"/>
      <c r="FP423" s="4"/>
      <c r="FQ423" s="4"/>
      <c r="FR423" s="4"/>
      <c r="FS423" s="4"/>
      <c r="FT423" s="4"/>
      <c r="FU423" s="4"/>
      <c r="FV423" s="4"/>
      <c r="FW423" s="4"/>
      <c r="FX423" s="4"/>
      <c r="FY423" s="4"/>
      <c r="FZ423" s="4"/>
      <c r="GA423" s="4"/>
      <c r="GB423" s="4"/>
      <c r="GC423" s="4"/>
      <c r="GD423" s="4"/>
      <c r="GE423" s="4"/>
      <c r="GF423" s="4"/>
      <c r="GG423" s="4"/>
      <c r="GH423" s="4"/>
      <c r="GI423" s="4"/>
      <c r="GJ423" s="4"/>
      <c r="GK423" s="4"/>
      <c r="GL423" s="4"/>
      <c r="GM423" s="4"/>
      <c r="GN423" s="4"/>
      <c r="GO423" s="4"/>
      <c r="GP423" s="4"/>
      <c r="GQ423" s="4"/>
      <c r="GR423" s="4"/>
      <c r="GS423" s="4">
        <v>4.54</v>
      </c>
      <c r="GT423" s="4"/>
      <c r="GU423" s="4"/>
      <c r="GV423" s="4"/>
      <c r="GW423" s="4"/>
      <c r="GX423" s="4"/>
      <c r="GY423" s="4"/>
      <c r="GZ423" s="4"/>
      <c r="HA423" s="4"/>
      <c r="HB423" s="4"/>
      <c r="HC423" s="4"/>
      <c r="HD423" s="4"/>
      <c r="HE423" s="4"/>
      <c r="HF423" s="4"/>
      <c r="HG423" s="4"/>
      <c r="HH423" s="4"/>
      <c r="HI423" s="4"/>
      <c r="HJ423" s="4"/>
    </row>
    <row r="424" spans="1:218" hidden="1">
      <c r="A424" t="s">
        <v>1644</v>
      </c>
      <c r="B424" t="s">
        <v>1645</v>
      </c>
      <c r="C424" t="s">
        <v>489</v>
      </c>
      <c r="D424" t="s">
        <v>490</v>
      </c>
      <c r="E424" t="s">
        <v>490</v>
      </c>
      <c r="F424" s="3">
        <v>1</v>
      </c>
      <c r="G424" s="12">
        <f t="shared" si="12"/>
        <v>16.78</v>
      </c>
      <c r="H424" s="12" t="e">
        <f t="shared" si="13"/>
        <v>#NUM!</v>
      </c>
      <c r="I424" s="3">
        <v>16.776699000000001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>
        <v>16.78</v>
      </c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  <c r="DQ424" s="4"/>
      <c r="DR424" s="4"/>
      <c r="DS424" s="4"/>
      <c r="DT424" s="4"/>
      <c r="DU424" s="4"/>
      <c r="DV424" s="4"/>
      <c r="DW424" s="4"/>
      <c r="DX424" s="4"/>
      <c r="DY424" s="4"/>
      <c r="DZ424" s="4"/>
      <c r="EA424" s="4"/>
      <c r="EB424" s="4"/>
      <c r="EC424" s="4"/>
      <c r="ED424" s="4"/>
      <c r="EE424" s="4"/>
      <c r="EF424" s="4"/>
      <c r="EG424" s="4"/>
      <c r="EH424" s="4"/>
      <c r="EI424" s="4"/>
      <c r="EJ424" s="4"/>
      <c r="EK424" s="4"/>
      <c r="EL424" s="4"/>
      <c r="EM424" s="4"/>
      <c r="EN424" s="4"/>
      <c r="EO424" s="4"/>
      <c r="EP424" s="4"/>
      <c r="EQ424" s="4"/>
      <c r="ER424" s="4"/>
      <c r="ES424" s="4"/>
      <c r="ET424" s="4"/>
      <c r="EU424" s="4"/>
      <c r="EV424" s="4"/>
      <c r="EW424" s="4"/>
      <c r="EX424" s="4"/>
      <c r="EY424" s="4"/>
      <c r="EZ424" s="4"/>
      <c r="FA424" s="4"/>
      <c r="FB424" s="4"/>
      <c r="FC424" s="4"/>
      <c r="FD424" s="4"/>
      <c r="FE424" s="4"/>
      <c r="FF424" s="4"/>
      <c r="FG424" s="4"/>
      <c r="FH424" s="4"/>
      <c r="FI424" s="4"/>
      <c r="FJ424" s="4"/>
      <c r="FK424" s="4"/>
      <c r="FL424" s="4"/>
      <c r="FM424" s="4"/>
      <c r="FN424" s="4"/>
      <c r="FO424" s="4"/>
      <c r="FP424" s="4"/>
      <c r="FQ424" s="4"/>
      <c r="FR424" s="4"/>
      <c r="FS424" s="4"/>
      <c r="FT424" s="4"/>
      <c r="FU424" s="4"/>
      <c r="FV424" s="4"/>
      <c r="FW424" s="4"/>
      <c r="FX424" s="4"/>
      <c r="FY424" s="4"/>
      <c r="FZ424" s="4"/>
      <c r="GA424" s="4"/>
      <c r="GB424" s="4"/>
      <c r="GC424" s="4"/>
      <c r="GD424" s="4"/>
      <c r="GE424" s="4"/>
      <c r="GF424" s="4"/>
      <c r="GG424" s="4"/>
      <c r="GH424" s="4"/>
      <c r="GI424" s="4"/>
      <c r="GJ424" s="4"/>
      <c r="GK424" s="4"/>
      <c r="GL424" s="4"/>
      <c r="GM424" s="4"/>
      <c r="GN424" s="4"/>
      <c r="GO424" s="4"/>
      <c r="GP424" s="4"/>
      <c r="GQ424" s="4"/>
      <c r="GR424" s="4"/>
      <c r="GS424" s="4"/>
      <c r="GT424" s="4"/>
      <c r="GU424" s="4"/>
      <c r="GV424" s="4"/>
      <c r="GW424" s="4"/>
      <c r="GX424" s="4"/>
      <c r="GY424" s="4"/>
      <c r="GZ424" s="4"/>
      <c r="HA424" s="4"/>
      <c r="HB424" s="4"/>
      <c r="HC424" s="4"/>
      <c r="HD424" s="4"/>
      <c r="HE424" s="4"/>
      <c r="HF424" s="4"/>
      <c r="HG424" s="4"/>
      <c r="HH424" s="4"/>
      <c r="HI424" s="4"/>
      <c r="HJ424" s="4"/>
    </row>
    <row r="425" spans="1:218" hidden="1">
      <c r="A425" t="s">
        <v>3079</v>
      </c>
      <c r="B425" t="s">
        <v>3080</v>
      </c>
      <c r="C425" t="s">
        <v>489</v>
      </c>
      <c r="D425" t="s">
        <v>490</v>
      </c>
      <c r="E425" t="s">
        <v>490</v>
      </c>
      <c r="F425" s="3">
        <v>1</v>
      </c>
      <c r="G425" s="12">
        <f t="shared" si="12"/>
        <v>1.8</v>
      </c>
      <c r="H425" s="12" t="e">
        <f t="shared" si="13"/>
        <v>#NUM!</v>
      </c>
      <c r="I425" s="3">
        <v>1.7986799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>
        <v>1.8</v>
      </c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  <c r="DQ425" s="4"/>
      <c r="DR425" s="4"/>
      <c r="DS425" s="4"/>
      <c r="DT425" s="4"/>
      <c r="DU425" s="4"/>
      <c r="DV425" s="4"/>
      <c r="DW425" s="4"/>
      <c r="DX425" s="4"/>
      <c r="DY425" s="4"/>
      <c r="DZ425" s="4"/>
      <c r="EA425" s="4"/>
      <c r="EB425" s="4"/>
      <c r="EC425" s="4"/>
      <c r="ED425" s="4"/>
      <c r="EE425" s="4"/>
      <c r="EF425" s="4"/>
      <c r="EG425" s="4"/>
      <c r="EH425" s="4"/>
      <c r="EI425" s="4"/>
      <c r="EJ425" s="4"/>
      <c r="EK425" s="4"/>
      <c r="EL425" s="4"/>
      <c r="EM425" s="4"/>
      <c r="EN425" s="4"/>
      <c r="EO425" s="4"/>
      <c r="EP425" s="4"/>
      <c r="EQ425" s="4"/>
      <c r="ER425" s="4"/>
      <c r="ES425" s="4"/>
      <c r="ET425" s="4"/>
      <c r="EU425" s="4"/>
      <c r="EV425" s="4"/>
      <c r="EW425" s="4"/>
      <c r="EX425" s="4"/>
      <c r="EY425" s="4"/>
      <c r="EZ425" s="4"/>
      <c r="FA425" s="4"/>
      <c r="FB425" s="4"/>
      <c r="FC425" s="4"/>
      <c r="FD425" s="4"/>
      <c r="FE425" s="4"/>
      <c r="FF425" s="4"/>
      <c r="FG425" s="4"/>
      <c r="FH425" s="4"/>
      <c r="FI425" s="4"/>
      <c r="FJ425" s="4"/>
      <c r="FK425" s="4"/>
      <c r="FL425" s="4"/>
      <c r="FM425" s="4"/>
      <c r="FN425" s="4"/>
      <c r="FO425" s="4"/>
      <c r="FP425" s="4"/>
      <c r="FQ425" s="4"/>
      <c r="FR425" s="4"/>
      <c r="FS425" s="4"/>
      <c r="FT425" s="4"/>
      <c r="FU425" s="4"/>
      <c r="FV425" s="4"/>
      <c r="FW425" s="4"/>
      <c r="FX425" s="4"/>
      <c r="FY425" s="4"/>
      <c r="FZ425" s="4"/>
      <c r="GA425" s="4"/>
      <c r="GB425" s="4"/>
      <c r="GC425" s="4"/>
      <c r="GD425" s="4"/>
      <c r="GE425" s="4"/>
      <c r="GF425" s="4"/>
      <c r="GG425" s="4"/>
      <c r="GH425" s="4"/>
      <c r="GI425" s="4"/>
      <c r="GJ425" s="4"/>
      <c r="GK425" s="4"/>
      <c r="GL425" s="4"/>
      <c r="GM425" s="4"/>
      <c r="GN425" s="4"/>
      <c r="GO425" s="4"/>
      <c r="GP425" s="4"/>
      <c r="GQ425" s="4"/>
      <c r="GR425" s="4"/>
      <c r="GS425" s="4"/>
      <c r="GT425" s="4"/>
      <c r="GU425" s="4"/>
      <c r="GV425" s="4"/>
      <c r="GW425" s="4"/>
      <c r="GX425" s="4"/>
      <c r="GY425" s="4"/>
      <c r="GZ425" s="4"/>
      <c r="HA425" s="4"/>
      <c r="HB425" s="4"/>
      <c r="HC425" s="4"/>
      <c r="HD425" s="4"/>
      <c r="HE425" s="4"/>
      <c r="HF425" s="4"/>
      <c r="HG425" s="4"/>
      <c r="HH425" s="4"/>
      <c r="HI425" s="4"/>
      <c r="HJ425" s="4"/>
    </row>
    <row r="426" spans="1:218" hidden="1">
      <c r="A426" t="s">
        <v>3077</v>
      </c>
      <c r="B426" t="s">
        <v>3078</v>
      </c>
      <c r="C426" t="s">
        <v>489</v>
      </c>
      <c r="D426" t="s">
        <v>490</v>
      </c>
      <c r="E426" t="s">
        <v>490</v>
      </c>
      <c r="F426" s="3">
        <v>1</v>
      </c>
      <c r="G426" s="12">
        <f t="shared" si="12"/>
        <v>1.82</v>
      </c>
      <c r="H426" s="12" t="e">
        <f t="shared" si="13"/>
        <v>#NUM!</v>
      </c>
      <c r="I426" s="3">
        <v>1.8215701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>
        <v>1.82</v>
      </c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  <c r="DQ426" s="4"/>
      <c r="DR426" s="4"/>
      <c r="DS426" s="4"/>
      <c r="DT426" s="4"/>
      <c r="DU426" s="4"/>
      <c r="DV426" s="4"/>
      <c r="DW426" s="4"/>
      <c r="DX426" s="4"/>
      <c r="DY426" s="4"/>
      <c r="DZ426" s="4"/>
      <c r="EA426" s="4"/>
      <c r="EB426" s="4"/>
      <c r="EC426" s="4"/>
      <c r="ED426" s="4"/>
      <c r="EE426" s="4"/>
      <c r="EF426" s="4"/>
      <c r="EG426" s="4"/>
      <c r="EH426" s="4"/>
      <c r="EI426" s="4"/>
      <c r="EJ426" s="4"/>
      <c r="EK426" s="4"/>
      <c r="EL426" s="4"/>
      <c r="EM426" s="4"/>
      <c r="EN426" s="4"/>
      <c r="EO426" s="4"/>
      <c r="EP426" s="4"/>
      <c r="EQ426" s="4"/>
      <c r="ER426" s="4"/>
      <c r="ES426" s="4"/>
      <c r="ET426" s="4"/>
      <c r="EU426" s="4"/>
      <c r="EV426" s="4"/>
      <c r="EW426" s="4"/>
      <c r="EX426" s="4"/>
      <c r="EY426" s="4"/>
      <c r="EZ426" s="4"/>
      <c r="FA426" s="4"/>
      <c r="FB426" s="4"/>
      <c r="FC426" s="4"/>
      <c r="FD426" s="4"/>
      <c r="FE426" s="4"/>
      <c r="FF426" s="4"/>
      <c r="FG426" s="4"/>
      <c r="FH426" s="4"/>
      <c r="FI426" s="4"/>
      <c r="FJ426" s="4"/>
      <c r="FK426" s="4"/>
      <c r="FL426" s="4"/>
      <c r="FM426" s="4"/>
      <c r="FN426" s="4"/>
      <c r="FO426" s="4"/>
      <c r="FP426" s="4"/>
      <c r="FQ426" s="4"/>
      <c r="FR426" s="4"/>
      <c r="FS426" s="4"/>
      <c r="FT426" s="4"/>
      <c r="FU426" s="4"/>
      <c r="FV426" s="4"/>
      <c r="FW426" s="4"/>
      <c r="FX426" s="4"/>
      <c r="FY426" s="4"/>
      <c r="FZ426" s="4"/>
      <c r="GA426" s="4"/>
      <c r="GB426" s="4"/>
      <c r="GC426" s="4"/>
      <c r="GD426" s="4"/>
      <c r="GE426" s="4"/>
      <c r="GF426" s="4"/>
      <c r="GG426" s="4"/>
      <c r="GH426" s="4"/>
      <c r="GI426" s="4"/>
      <c r="GJ426" s="4"/>
      <c r="GK426" s="4"/>
      <c r="GL426" s="4"/>
      <c r="GM426" s="4"/>
      <c r="GN426" s="4"/>
      <c r="GO426" s="4"/>
      <c r="GP426" s="4"/>
      <c r="GQ426" s="4"/>
      <c r="GR426" s="4"/>
      <c r="GS426" s="4"/>
      <c r="GT426" s="4"/>
      <c r="GU426" s="4"/>
      <c r="GV426" s="4"/>
      <c r="GW426" s="4"/>
      <c r="GX426" s="4"/>
      <c r="GY426" s="4"/>
      <c r="GZ426" s="4"/>
      <c r="HA426" s="4"/>
      <c r="HB426" s="4"/>
      <c r="HC426" s="4"/>
      <c r="HD426" s="4"/>
      <c r="HE426" s="4"/>
      <c r="HF426" s="4"/>
      <c r="HG426" s="4"/>
      <c r="HH426" s="4"/>
      <c r="HI426" s="4"/>
      <c r="HJ426" s="4"/>
    </row>
    <row r="427" spans="1:218" hidden="1">
      <c r="A427" t="s">
        <v>2444</v>
      </c>
      <c r="B427" t="s">
        <v>2445</v>
      </c>
      <c r="C427" t="s">
        <v>505</v>
      </c>
      <c r="D427" t="s">
        <v>2446</v>
      </c>
      <c r="E427" t="s">
        <v>2314</v>
      </c>
      <c r="F427" s="3">
        <v>1</v>
      </c>
      <c r="G427" s="12">
        <f t="shared" si="12"/>
        <v>3.8</v>
      </c>
      <c r="H427" s="12" t="e">
        <f t="shared" si="13"/>
        <v>#NUM!</v>
      </c>
      <c r="I427" s="3">
        <v>3.7997700000000001</v>
      </c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  <c r="DQ427" s="4"/>
      <c r="DR427" s="4"/>
      <c r="DS427" s="4"/>
      <c r="DT427" s="4"/>
      <c r="DU427" s="4"/>
      <c r="DV427" s="4"/>
      <c r="DW427" s="4"/>
      <c r="DX427" s="4"/>
      <c r="DY427" s="4"/>
      <c r="DZ427" s="4"/>
      <c r="EA427" s="4"/>
      <c r="EB427" s="4"/>
      <c r="EC427" s="4"/>
      <c r="ED427" s="4">
        <v>3.8</v>
      </c>
      <c r="EE427" s="4"/>
      <c r="EF427" s="4"/>
      <c r="EG427" s="4"/>
      <c r="EH427" s="4"/>
      <c r="EI427" s="4"/>
      <c r="EJ427" s="4"/>
      <c r="EK427" s="4"/>
      <c r="EL427" s="4"/>
      <c r="EM427" s="4"/>
      <c r="EN427" s="4"/>
      <c r="EO427" s="4"/>
      <c r="EP427" s="4"/>
      <c r="EQ427" s="4"/>
      <c r="ER427" s="4"/>
      <c r="ES427" s="4"/>
      <c r="ET427" s="4"/>
      <c r="EU427" s="4"/>
      <c r="EV427" s="4"/>
      <c r="EW427" s="4"/>
      <c r="EX427" s="4"/>
      <c r="EY427" s="4"/>
      <c r="EZ427" s="4"/>
      <c r="FA427" s="4"/>
      <c r="FB427" s="4"/>
      <c r="FC427" s="4"/>
      <c r="FD427" s="4"/>
      <c r="FE427" s="4"/>
      <c r="FF427" s="4"/>
      <c r="FG427" s="4"/>
      <c r="FH427" s="4"/>
      <c r="FI427" s="4"/>
      <c r="FJ427" s="4"/>
      <c r="FK427" s="4"/>
      <c r="FL427" s="4"/>
      <c r="FM427" s="4"/>
      <c r="FN427" s="4"/>
      <c r="FO427" s="4"/>
      <c r="FP427" s="4"/>
      <c r="FQ427" s="4"/>
      <c r="FR427" s="4"/>
      <c r="FS427" s="4"/>
      <c r="FT427" s="4"/>
      <c r="FU427" s="4"/>
      <c r="FV427" s="4"/>
      <c r="FW427" s="4"/>
      <c r="FX427" s="4"/>
      <c r="FY427" s="4"/>
      <c r="FZ427" s="4"/>
      <c r="GA427" s="4"/>
      <c r="GB427" s="4"/>
      <c r="GC427" s="4"/>
      <c r="GD427" s="4"/>
      <c r="GE427" s="4"/>
      <c r="GF427" s="4"/>
      <c r="GG427" s="4"/>
      <c r="GH427" s="4"/>
      <c r="GI427" s="4"/>
      <c r="GJ427" s="4"/>
      <c r="GK427" s="4"/>
      <c r="GL427" s="4"/>
      <c r="GM427" s="4"/>
      <c r="GN427" s="4"/>
      <c r="GO427" s="4"/>
      <c r="GP427" s="4"/>
      <c r="GQ427" s="4"/>
      <c r="GR427" s="4"/>
      <c r="GS427" s="4"/>
      <c r="GT427" s="4"/>
      <c r="GU427" s="4"/>
      <c r="GV427" s="4"/>
      <c r="GW427" s="4"/>
      <c r="GX427" s="4"/>
      <c r="GY427" s="4"/>
      <c r="GZ427" s="4"/>
      <c r="HA427" s="4"/>
      <c r="HB427" s="4"/>
      <c r="HC427" s="4"/>
      <c r="HD427" s="4"/>
      <c r="HE427" s="4"/>
      <c r="HF427" s="4"/>
      <c r="HG427" s="4"/>
      <c r="HH427" s="4"/>
      <c r="HI427" s="4"/>
      <c r="HJ427" s="4"/>
    </row>
    <row r="428" spans="1:218" hidden="1">
      <c r="A428" t="s">
        <v>3019</v>
      </c>
      <c r="B428" t="s">
        <v>3020</v>
      </c>
      <c r="C428" t="s">
        <v>2367</v>
      </c>
      <c r="D428" t="s">
        <v>3021</v>
      </c>
      <c r="E428" t="s">
        <v>3022</v>
      </c>
      <c r="F428" s="3">
        <v>1</v>
      </c>
      <c r="G428" s="12">
        <f t="shared" si="12"/>
        <v>2.14</v>
      </c>
      <c r="H428" s="12" t="e">
        <f t="shared" si="13"/>
        <v>#NUM!</v>
      </c>
      <c r="I428" s="3">
        <v>2.14011</v>
      </c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>
        <v>2.14</v>
      </c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  <c r="DQ428" s="4"/>
      <c r="DR428" s="4"/>
      <c r="DS428" s="4"/>
      <c r="DT428" s="4"/>
      <c r="DU428" s="4"/>
      <c r="DV428" s="4"/>
      <c r="DW428" s="4"/>
      <c r="DX428" s="4"/>
      <c r="DY428" s="4"/>
      <c r="DZ428" s="4"/>
      <c r="EA428" s="4"/>
      <c r="EB428" s="4"/>
      <c r="EC428" s="4"/>
      <c r="ED428" s="4"/>
      <c r="EE428" s="4"/>
      <c r="EF428" s="4"/>
      <c r="EG428" s="4"/>
      <c r="EH428" s="4"/>
      <c r="EI428" s="4"/>
      <c r="EJ428" s="4"/>
      <c r="EK428" s="4"/>
      <c r="EL428" s="4"/>
      <c r="EM428" s="4"/>
      <c r="EN428" s="4"/>
      <c r="EO428" s="4"/>
      <c r="EP428" s="4"/>
      <c r="EQ428" s="4"/>
      <c r="ER428" s="4"/>
      <c r="ES428" s="4"/>
      <c r="ET428" s="4"/>
      <c r="EU428" s="4"/>
      <c r="EV428" s="4"/>
      <c r="EW428" s="4"/>
      <c r="EX428" s="4"/>
      <c r="EY428" s="4"/>
      <c r="EZ428" s="4"/>
      <c r="FA428" s="4"/>
      <c r="FB428" s="4"/>
      <c r="FC428" s="4"/>
      <c r="FD428" s="4"/>
      <c r="FE428" s="4"/>
      <c r="FF428" s="4"/>
      <c r="FG428" s="4"/>
      <c r="FH428" s="4"/>
      <c r="FI428" s="4"/>
      <c r="FJ428" s="4"/>
      <c r="FK428" s="4"/>
      <c r="FL428" s="4"/>
      <c r="FM428" s="4"/>
      <c r="FN428" s="4"/>
      <c r="FO428" s="4"/>
      <c r="FP428" s="4"/>
      <c r="FQ428" s="4"/>
      <c r="FR428" s="4"/>
      <c r="FS428" s="4"/>
      <c r="FT428" s="4"/>
      <c r="FU428" s="4"/>
      <c r="FV428" s="4"/>
      <c r="FW428" s="4"/>
      <c r="FX428" s="4"/>
      <c r="FY428" s="4"/>
      <c r="FZ428" s="4"/>
      <c r="GA428" s="4"/>
      <c r="GB428" s="4"/>
      <c r="GC428" s="4"/>
      <c r="GD428" s="4"/>
      <c r="GE428" s="4"/>
      <c r="GF428" s="4"/>
      <c r="GG428" s="4"/>
      <c r="GH428" s="4"/>
      <c r="GI428" s="4"/>
      <c r="GJ428" s="4"/>
      <c r="GK428" s="4"/>
      <c r="GL428" s="4"/>
      <c r="GM428" s="4"/>
      <c r="GN428" s="4"/>
      <c r="GO428" s="4"/>
      <c r="GP428" s="4"/>
      <c r="GQ428" s="4"/>
      <c r="GR428" s="4"/>
      <c r="GS428" s="4"/>
      <c r="GT428" s="4"/>
      <c r="GU428" s="4"/>
      <c r="GV428" s="4"/>
      <c r="GW428" s="4"/>
      <c r="GX428" s="4"/>
      <c r="GY428" s="4"/>
      <c r="GZ428" s="4"/>
      <c r="HA428" s="4"/>
      <c r="HB428" s="4"/>
      <c r="HC428" s="4"/>
      <c r="HD428" s="4"/>
      <c r="HE428" s="4"/>
      <c r="HF428" s="4"/>
      <c r="HG428" s="4"/>
      <c r="HH428" s="4"/>
      <c r="HI428" s="4"/>
      <c r="HJ428" s="4"/>
    </row>
    <row r="429" spans="1:218" hidden="1">
      <c r="A429" t="s">
        <v>2769</v>
      </c>
      <c r="B429" t="s">
        <v>2770</v>
      </c>
      <c r="C429" t="s">
        <v>505</v>
      </c>
      <c r="D429" t="s">
        <v>2771</v>
      </c>
      <c r="E429" t="s">
        <v>2772</v>
      </c>
      <c r="F429" s="3">
        <v>1</v>
      </c>
      <c r="G429" s="12">
        <f t="shared" si="12"/>
        <v>2.91</v>
      </c>
      <c r="H429" s="12" t="e">
        <f t="shared" si="13"/>
        <v>#NUM!</v>
      </c>
      <c r="I429" s="3">
        <v>2.9097499999999998</v>
      </c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  <c r="DQ429" s="4"/>
      <c r="DR429" s="4"/>
      <c r="DS429" s="4"/>
      <c r="DT429" s="4"/>
      <c r="DU429" s="4"/>
      <c r="DV429" s="4"/>
      <c r="DW429" s="4"/>
      <c r="DX429" s="4"/>
      <c r="DY429" s="4"/>
      <c r="DZ429" s="4"/>
      <c r="EA429" s="4"/>
      <c r="EB429" s="4"/>
      <c r="EC429" s="4"/>
      <c r="ED429" s="4"/>
      <c r="EE429" s="4"/>
      <c r="EF429" s="4"/>
      <c r="EG429" s="4"/>
      <c r="EH429" s="4"/>
      <c r="EI429" s="4"/>
      <c r="EJ429" s="4">
        <v>2.91</v>
      </c>
      <c r="EK429" s="4"/>
      <c r="EL429" s="4"/>
      <c r="EM429" s="4"/>
      <c r="EN429" s="4"/>
      <c r="EO429" s="4"/>
      <c r="EP429" s="4"/>
      <c r="EQ429" s="4"/>
      <c r="ER429" s="4"/>
      <c r="ES429" s="4"/>
      <c r="ET429" s="4"/>
      <c r="EU429" s="4"/>
      <c r="EV429" s="4"/>
      <c r="EW429" s="4"/>
      <c r="EX429" s="4"/>
      <c r="EY429" s="4"/>
      <c r="EZ429" s="4"/>
      <c r="FA429" s="4"/>
      <c r="FB429" s="4"/>
      <c r="FC429" s="4"/>
      <c r="FD429" s="4"/>
      <c r="FE429" s="4"/>
      <c r="FF429" s="4"/>
      <c r="FG429" s="4"/>
      <c r="FH429" s="4"/>
      <c r="FI429" s="4"/>
      <c r="FJ429" s="4"/>
      <c r="FK429" s="4"/>
      <c r="FL429" s="4"/>
      <c r="FM429" s="4"/>
      <c r="FN429" s="4"/>
      <c r="FO429" s="4"/>
      <c r="FP429" s="4"/>
      <c r="FQ429" s="4"/>
      <c r="FR429" s="4"/>
      <c r="FS429" s="4"/>
      <c r="FT429" s="4"/>
      <c r="FU429" s="4"/>
      <c r="FV429" s="4"/>
      <c r="FW429" s="4"/>
      <c r="FX429" s="4"/>
      <c r="FY429" s="4"/>
      <c r="FZ429" s="4"/>
      <c r="GA429" s="4"/>
      <c r="GB429" s="4"/>
      <c r="GC429" s="4"/>
      <c r="GD429" s="4"/>
      <c r="GE429" s="4"/>
      <c r="GF429" s="4"/>
      <c r="GG429" s="4"/>
      <c r="GH429" s="4"/>
      <c r="GI429" s="4"/>
      <c r="GJ429" s="4"/>
      <c r="GK429" s="4"/>
      <c r="GL429" s="4"/>
      <c r="GM429" s="4"/>
      <c r="GN429" s="4"/>
      <c r="GO429" s="4"/>
      <c r="GP429" s="4"/>
      <c r="GQ429" s="4"/>
      <c r="GR429" s="4"/>
      <c r="GS429" s="4"/>
      <c r="GT429" s="4"/>
      <c r="GU429" s="4"/>
      <c r="GV429" s="4"/>
      <c r="GW429" s="4"/>
      <c r="GX429" s="4"/>
      <c r="GY429" s="4"/>
      <c r="GZ429" s="4"/>
      <c r="HA429" s="4"/>
      <c r="HB429" s="4"/>
      <c r="HC429" s="4"/>
      <c r="HD429" s="4"/>
      <c r="HE429" s="4"/>
      <c r="HF429" s="4"/>
      <c r="HG429" s="4"/>
      <c r="HH429" s="4"/>
      <c r="HI429" s="4"/>
      <c r="HJ429" s="4"/>
    </row>
    <row r="430" spans="1:218" hidden="1">
      <c r="A430" t="s">
        <v>2076</v>
      </c>
      <c r="B430" t="s">
        <v>2077</v>
      </c>
      <c r="C430" t="s">
        <v>443</v>
      </c>
      <c r="D430" t="s">
        <v>2078</v>
      </c>
      <c r="E430" t="s">
        <v>2079</v>
      </c>
      <c r="F430" s="3">
        <v>1</v>
      </c>
      <c r="G430" s="12">
        <f t="shared" si="12"/>
        <v>4.59</v>
      </c>
      <c r="H430" s="12" t="e">
        <f t="shared" si="13"/>
        <v>#NUM!</v>
      </c>
      <c r="I430" s="3">
        <v>4.5929897999999998</v>
      </c>
      <c r="K430" s="4"/>
      <c r="L430" s="4"/>
      <c r="M430" s="4"/>
      <c r="N430" s="4"/>
      <c r="O430" s="4"/>
      <c r="P430" s="4"/>
      <c r="Q430" s="4"/>
      <c r="R430" s="4"/>
      <c r="S430" s="4">
        <v>4.59</v>
      </c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  <c r="DQ430" s="4"/>
      <c r="DR430" s="4"/>
      <c r="DS430" s="4"/>
      <c r="DT430" s="4"/>
      <c r="DU430" s="4"/>
      <c r="DV430" s="4"/>
      <c r="DW430" s="4"/>
      <c r="DX430" s="4"/>
      <c r="DY430" s="4"/>
      <c r="DZ430" s="4"/>
      <c r="EA430" s="4"/>
      <c r="EB430" s="4"/>
      <c r="EC430" s="4"/>
      <c r="ED430" s="4"/>
      <c r="EE430" s="4"/>
      <c r="EF430" s="4"/>
      <c r="EG430" s="4"/>
      <c r="EH430" s="4"/>
      <c r="EI430" s="4"/>
      <c r="EJ430" s="4"/>
      <c r="EK430" s="4"/>
      <c r="EL430" s="4"/>
      <c r="EM430" s="4"/>
      <c r="EN430" s="4"/>
      <c r="EO430" s="4"/>
      <c r="EP430" s="4"/>
      <c r="EQ430" s="4"/>
      <c r="ER430" s="4"/>
      <c r="ES430" s="4"/>
      <c r="ET430" s="4"/>
      <c r="EU430" s="4"/>
      <c r="EV430" s="4"/>
      <c r="EW430" s="4"/>
      <c r="EX430" s="4"/>
      <c r="EY430" s="4"/>
      <c r="EZ430" s="4"/>
      <c r="FA430" s="4"/>
      <c r="FB430" s="4"/>
      <c r="FC430" s="4"/>
      <c r="FD430" s="4"/>
      <c r="FE430" s="4"/>
      <c r="FF430" s="4"/>
      <c r="FG430" s="4"/>
      <c r="FH430" s="4"/>
      <c r="FI430" s="4"/>
      <c r="FJ430" s="4"/>
      <c r="FK430" s="4"/>
      <c r="FL430" s="4"/>
      <c r="FM430" s="4"/>
      <c r="FN430" s="4"/>
      <c r="FO430" s="4"/>
      <c r="FP430" s="4"/>
      <c r="FQ430" s="4"/>
      <c r="FR430" s="4"/>
      <c r="FS430" s="4"/>
      <c r="FT430" s="4"/>
      <c r="FU430" s="4"/>
      <c r="FV430" s="4"/>
      <c r="FW430" s="4"/>
      <c r="FX430" s="4"/>
      <c r="FY430" s="4"/>
      <c r="FZ430" s="4"/>
      <c r="GA430" s="4"/>
      <c r="GB430" s="4"/>
      <c r="GC430" s="4"/>
      <c r="GD430" s="4"/>
      <c r="GE430" s="4"/>
      <c r="GF430" s="4"/>
      <c r="GG430" s="4"/>
      <c r="GH430" s="4"/>
      <c r="GI430" s="4"/>
      <c r="GJ430" s="4"/>
      <c r="GK430" s="4"/>
      <c r="GL430" s="4"/>
      <c r="GM430" s="4"/>
      <c r="GN430" s="4"/>
      <c r="GO430" s="4"/>
      <c r="GP430" s="4"/>
      <c r="GQ430" s="4"/>
      <c r="GR430" s="4"/>
      <c r="GS430" s="4"/>
      <c r="GT430" s="4"/>
      <c r="GU430" s="4"/>
      <c r="GV430" s="4"/>
      <c r="GW430" s="4"/>
      <c r="GX430" s="4"/>
      <c r="GY430" s="4"/>
      <c r="GZ430" s="4"/>
      <c r="HA430" s="4"/>
      <c r="HB430" s="4"/>
      <c r="HC430" s="4"/>
      <c r="HD430" s="4"/>
      <c r="HE430" s="4"/>
      <c r="HF430" s="4"/>
      <c r="HG430" s="4"/>
      <c r="HH430" s="4"/>
      <c r="HI430" s="4"/>
      <c r="HJ430" s="4"/>
    </row>
    <row r="431" spans="1:218" hidden="1">
      <c r="A431" t="s">
        <v>2842</v>
      </c>
      <c r="B431" t="s">
        <v>2843</v>
      </c>
      <c r="C431" t="s">
        <v>484</v>
      </c>
      <c r="D431" t="s">
        <v>2844</v>
      </c>
      <c r="E431" t="s">
        <v>2845</v>
      </c>
      <c r="F431" s="3">
        <v>1</v>
      </c>
      <c r="G431" s="12" t="e">
        <f t="shared" si="12"/>
        <v>#NUM!</v>
      </c>
      <c r="H431" s="12" t="e">
        <f t="shared" si="13"/>
        <v>#NUM!</v>
      </c>
      <c r="I431" s="3">
        <v>2.6791800000000001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  <c r="DQ431" s="4"/>
      <c r="DR431" s="4"/>
      <c r="DS431" s="4"/>
      <c r="DT431" s="4"/>
      <c r="DU431" s="4"/>
      <c r="DV431" s="4"/>
      <c r="DW431" s="4"/>
      <c r="DX431" s="4"/>
      <c r="DY431" s="4"/>
      <c r="DZ431" s="4"/>
      <c r="EA431" s="4"/>
      <c r="EB431" s="4"/>
      <c r="EC431" s="4"/>
      <c r="ED431" s="4"/>
      <c r="EE431" s="4"/>
      <c r="EF431" s="4"/>
      <c r="EG431" s="4"/>
      <c r="EH431" s="4"/>
      <c r="EI431" s="4"/>
      <c r="EJ431" s="4"/>
      <c r="EK431" s="4"/>
      <c r="EL431" s="4"/>
      <c r="EM431" s="4"/>
      <c r="EN431" s="4"/>
      <c r="EO431" s="4"/>
      <c r="EP431" s="4"/>
      <c r="EQ431" s="4"/>
      <c r="ER431" s="4"/>
      <c r="ES431" s="4"/>
      <c r="ET431" s="4"/>
      <c r="EU431" s="4"/>
      <c r="EV431" s="4"/>
      <c r="EW431" s="4"/>
      <c r="EX431" s="4"/>
      <c r="EY431" s="4"/>
      <c r="EZ431" s="4"/>
      <c r="FA431" s="4"/>
      <c r="FB431" s="4"/>
      <c r="FC431" s="4"/>
      <c r="FD431" s="4"/>
      <c r="FE431" s="4"/>
      <c r="FF431" s="4"/>
      <c r="FG431" s="4"/>
      <c r="FH431" s="4"/>
      <c r="FI431" s="4"/>
      <c r="FJ431" s="4"/>
      <c r="FK431" s="4"/>
      <c r="FL431" s="4"/>
      <c r="FM431" s="4"/>
      <c r="FN431" s="4"/>
      <c r="FO431" s="4"/>
      <c r="FP431" s="4"/>
      <c r="FQ431" s="4"/>
      <c r="FR431" s="4"/>
      <c r="FS431" s="4"/>
      <c r="FT431" s="4"/>
      <c r="FU431" s="4"/>
      <c r="FV431" s="4"/>
      <c r="FW431" s="4"/>
      <c r="FX431" s="4"/>
      <c r="FY431" s="4"/>
      <c r="FZ431" s="4"/>
      <c r="GA431" s="4"/>
      <c r="GB431" s="4"/>
      <c r="GC431" s="4"/>
      <c r="GD431" s="4"/>
      <c r="GE431" s="4"/>
      <c r="GF431" s="4"/>
      <c r="GG431" s="4"/>
      <c r="GH431" s="4"/>
      <c r="GI431" s="4"/>
      <c r="GJ431" s="4"/>
      <c r="GK431" s="4"/>
      <c r="GL431" s="4"/>
      <c r="GM431" s="4"/>
      <c r="GN431" s="4"/>
      <c r="GO431" s="4"/>
      <c r="GP431" s="4"/>
      <c r="GQ431" s="4"/>
      <c r="GR431" s="4"/>
      <c r="GS431" s="4"/>
      <c r="GT431" s="4"/>
      <c r="GU431" s="4"/>
      <c r="GV431" s="4"/>
      <c r="GW431" s="4"/>
      <c r="GX431" s="4"/>
      <c r="GY431" s="4"/>
      <c r="GZ431" s="4"/>
      <c r="HA431" s="4"/>
      <c r="HB431" s="4"/>
      <c r="HC431" s="4"/>
      <c r="HD431" s="4"/>
      <c r="HE431" s="4"/>
      <c r="HF431" s="4"/>
      <c r="HG431" s="4"/>
      <c r="HH431" s="4"/>
      <c r="HI431" s="4"/>
      <c r="HJ431" s="4"/>
    </row>
    <row r="432" spans="1:218" hidden="1">
      <c r="A432" t="s">
        <v>1923</v>
      </c>
      <c r="B432" t="s">
        <v>1924</v>
      </c>
      <c r="C432" t="s">
        <v>963</v>
      </c>
      <c r="D432" t="s">
        <v>1925</v>
      </c>
      <c r="E432" t="s">
        <v>1926</v>
      </c>
      <c r="F432" s="3">
        <v>1</v>
      </c>
      <c r="G432" s="12">
        <f t="shared" si="12"/>
        <v>5.08</v>
      </c>
      <c r="H432" s="12" t="e">
        <f t="shared" si="13"/>
        <v>#NUM!</v>
      </c>
      <c r="I432" s="3">
        <v>5.0846900000000002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  <c r="DQ432" s="4"/>
      <c r="DR432" s="4"/>
      <c r="DS432" s="4"/>
      <c r="DT432" s="4"/>
      <c r="DU432" s="4"/>
      <c r="DV432" s="4"/>
      <c r="DW432" s="4"/>
      <c r="DX432" s="4"/>
      <c r="DY432" s="4"/>
      <c r="DZ432" s="4"/>
      <c r="EA432" s="4"/>
      <c r="EB432" s="4"/>
      <c r="EC432" s="4"/>
      <c r="ED432" s="4"/>
      <c r="EE432" s="4"/>
      <c r="EF432" s="4"/>
      <c r="EG432" s="4"/>
      <c r="EH432" s="4"/>
      <c r="EI432" s="4"/>
      <c r="EJ432" s="4"/>
      <c r="EK432" s="4"/>
      <c r="EL432" s="4"/>
      <c r="EM432" s="4"/>
      <c r="EN432" s="4"/>
      <c r="EO432" s="4"/>
      <c r="EP432" s="4"/>
      <c r="EQ432" s="4"/>
      <c r="ER432" s="4"/>
      <c r="ES432" s="4"/>
      <c r="ET432" s="4"/>
      <c r="EU432" s="4"/>
      <c r="EV432" s="4"/>
      <c r="EW432" s="4"/>
      <c r="EX432" s="4"/>
      <c r="EY432" s="4"/>
      <c r="EZ432" s="4"/>
      <c r="FA432" s="4"/>
      <c r="FB432" s="4"/>
      <c r="FC432" s="4"/>
      <c r="FD432" s="4"/>
      <c r="FE432" s="4"/>
      <c r="FF432" s="4"/>
      <c r="FG432" s="4"/>
      <c r="FH432" s="4"/>
      <c r="FI432" s="4"/>
      <c r="FJ432" s="4"/>
      <c r="FK432" s="4"/>
      <c r="FL432" s="4"/>
      <c r="FM432" s="4"/>
      <c r="FN432" s="4"/>
      <c r="FO432" s="4"/>
      <c r="FP432" s="4"/>
      <c r="FQ432" s="4"/>
      <c r="FR432" s="4"/>
      <c r="FS432" s="4"/>
      <c r="FT432" s="4"/>
      <c r="FU432" s="4"/>
      <c r="FV432" s="4"/>
      <c r="FW432" s="4"/>
      <c r="FX432" s="4"/>
      <c r="FY432" s="4"/>
      <c r="FZ432" s="4"/>
      <c r="GA432" s="4">
        <v>5.08</v>
      </c>
      <c r="GB432" s="4"/>
      <c r="GC432" s="4"/>
      <c r="GD432" s="4"/>
      <c r="GE432" s="4"/>
      <c r="GF432" s="4"/>
      <c r="GG432" s="4"/>
      <c r="GH432" s="4"/>
      <c r="GI432" s="4"/>
      <c r="GJ432" s="4"/>
      <c r="GK432" s="4"/>
      <c r="GL432" s="4"/>
      <c r="GM432" s="4"/>
      <c r="GN432" s="4"/>
      <c r="GO432" s="4"/>
      <c r="GP432" s="4"/>
      <c r="GQ432" s="4"/>
      <c r="GR432" s="4"/>
      <c r="GS432" s="4"/>
      <c r="GT432" s="4"/>
      <c r="GU432" s="4"/>
      <c r="GV432" s="4"/>
      <c r="GW432" s="4"/>
      <c r="GX432" s="4"/>
      <c r="GY432" s="4"/>
      <c r="GZ432" s="4"/>
      <c r="HA432" s="4"/>
      <c r="HB432" s="4"/>
      <c r="HC432" s="4"/>
      <c r="HD432" s="4"/>
      <c r="HE432" s="4"/>
      <c r="HF432" s="4"/>
      <c r="HG432" s="4"/>
      <c r="HH432" s="4"/>
      <c r="HI432" s="4"/>
      <c r="HJ432" s="4"/>
    </row>
    <row r="433" spans="1:218" hidden="1">
      <c r="A433" t="s">
        <v>1952</v>
      </c>
      <c r="B433" t="s">
        <v>1953</v>
      </c>
      <c r="C433" t="s">
        <v>783</v>
      </c>
      <c r="D433" t="s">
        <v>1954</v>
      </c>
      <c r="E433" t="s">
        <v>1955</v>
      </c>
      <c r="F433" s="3">
        <v>1</v>
      </c>
      <c r="G433" s="12">
        <f t="shared" si="12"/>
        <v>4.96</v>
      </c>
      <c r="H433" s="12" t="e">
        <f t="shared" si="13"/>
        <v>#NUM!</v>
      </c>
      <c r="I433" s="3">
        <v>4.9590804000000004</v>
      </c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  <c r="DQ433" s="4"/>
      <c r="DR433" s="4"/>
      <c r="DS433" s="4"/>
      <c r="DT433" s="4"/>
      <c r="DU433" s="4"/>
      <c r="DV433" s="4"/>
      <c r="DW433" s="4"/>
      <c r="DX433" s="4"/>
      <c r="DY433" s="4"/>
      <c r="DZ433" s="4"/>
      <c r="EA433" s="4"/>
      <c r="EB433" s="4"/>
      <c r="EC433" s="4"/>
      <c r="ED433" s="4"/>
      <c r="EE433" s="4"/>
      <c r="EF433" s="4"/>
      <c r="EG433" s="4"/>
      <c r="EH433" s="4"/>
      <c r="EI433" s="4"/>
      <c r="EJ433" s="4"/>
      <c r="EK433" s="4"/>
      <c r="EL433" s="4"/>
      <c r="EM433" s="4"/>
      <c r="EN433" s="4"/>
      <c r="EO433" s="4"/>
      <c r="EP433" s="4"/>
      <c r="EQ433" s="4"/>
      <c r="ER433" s="4"/>
      <c r="ES433" s="4"/>
      <c r="ET433" s="4"/>
      <c r="EU433" s="4"/>
      <c r="EV433" s="4"/>
      <c r="EW433" s="4"/>
      <c r="EX433" s="4"/>
      <c r="EY433" s="4"/>
      <c r="EZ433" s="4"/>
      <c r="FA433" s="4"/>
      <c r="FB433" s="4"/>
      <c r="FC433" s="4"/>
      <c r="FD433" s="4"/>
      <c r="FE433" s="4"/>
      <c r="FF433" s="4"/>
      <c r="FG433" s="4"/>
      <c r="FH433" s="4"/>
      <c r="FI433" s="4"/>
      <c r="FJ433" s="4"/>
      <c r="FK433" s="4"/>
      <c r="FL433" s="4"/>
      <c r="FM433" s="4"/>
      <c r="FN433" s="4"/>
      <c r="FO433" s="4"/>
      <c r="FP433" s="4"/>
      <c r="FQ433" s="4"/>
      <c r="FR433" s="4"/>
      <c r="FS433" s="4"/>
      <c r="FT433" s="4"/>
      <c r="FU433" s="4"/>
      <c r="FV433" s="4"/>
      <c r="FW433" s="4"/>
      <c r="FX433" s="4"/>
      <c r="FY433" s="4"/>
      <c r="FZ433" s="4"/>
      <c r="GA433" s="4"/>
      <c r="GB433" s="4"/>
      <c r="GC433" s="4"/>
      <c r="GD433" s="4"/>
      <c r="GE433" s="4"/>
      <c r="GF433" s="4"/>
      <c r="GG433" s="4"/>
      <c r="GH433" s="4"/>
      <c r="GI433" s="4"/>
      <c r="GJ433" s="4"/>
      <c r="GK433" s="4"/>
      <c r="GL433" s="4"/>
      <c r="GM433" s="4"/>
      <c r="GN433" s="4"/>
      <c r="GO433" s="4"/>
      <c r="GP433" s="4"/>
      <c r="GQ433" s="4"/>
      <c r="GR433" s="4"/>
      <c r="GS433" s="4"/>
      <c r="GT433" s="4">
        <v>4.96</v>
      </c>
      <c r="GU433" s="4"/>
      <c r="GV433" s="4"/>
      <c r="GW433" s="4"/>
      <c r="GX433" s="4"/>
      <c r="GY433" s="4"/>
      <c r="GZ433" s="4"/>
      <c r="HA433" s="4"/>
      <c r="HB433" s="4"/>
      <c r="HC433" s="4"/>
      <c r="HD433" s="4"/>
      <c r="HE433" s="4"/>
      <c r="HF433" s="4"/>
      <c r="HG433" s="4"/>
      <c r="HH433" s="4"/>
      <c r="HI433" s="4"/>
      <c r="HJ433" s="4"/>
    </row>
    <row r="434" spans="1:218" hidden="1">
      <c r="A434" t="s">
        <v>2025</v>
      </c>
      <c r="B434" t="s">
        <v>2026</v>
      </c>
      <c r="C434" t="s">
        <v>1264</v>
      </c>
      <c r="D434" t="s">
        <v>2027</v>
      </c>
      <c r="E434" t="s">
        <v>2028</v>
      </c>
      <c r="F434" s="3">
        <v>1</v>
      </c>
      <c r="G434" s="12">
        <f t="shared" si="12"/>
        <v>4.6900000000000004</v>
      </c>
      <c r="H434" s="12" t="e">
        <f t="shared" si="13"/>
        <v>#NUM!</v>
      </c>
      <c r="I434" s="3">
        <v>4.6934999999999993</v>
      </c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  <c r="DQ434" s="4"/>
      <c r="DR434" s="4"/>
      <c r="DS434" s="4"/>
      <c r="DT434" s="4"/>
      <c r="DU434" s="4"/>
      <c r="DV434" s="4"/>
      <c r="DW434" s="4"/>
      <c r="DX434" s="4"/>
      <c r="DY434" s="4"/>
      <c r="DZ434" s="4"/>
      <c r="EA434" s="4"/>
      <c r="EB434" s="4"/>
      <c r="EC434" s="4"/>
      <c r="ED434" s="4"/>
      <c r="EE434" s="4"/>
      <c r="EF434" s="4"/>
      <c r="EG434" s="4"/>
      <c r="EH434" s="4"/>
      <c r="EI434" s="4"/>
      <c r="EJ434" s="4"/>
      <c r="EK434" s="4"/>
      <c r="EL434" s="4"/>
      <c r="EM434" s="4"/>
      <c r="EN434" s="4"/>
      <c r="EO434" s="4"/>
      <c r="EP434" s="4"/>
      <c r="EQ434" s="4"/>
      <c r="ER434" s="4"/>
      <c r="ES434" s="4"/>
      <c r="ET434" s="4"/>
      <c r="EU434" s="4"/>
      <c r="EV434" s="4"/>
      <c r="EW434" s="4"/>
      <c r="EX434" s="4"/>
      <c r="EY434" s="4"/>
      <c r="EZ434" s="4"/>
      <c r="FA434" s="4"/>
      <c r="FB434" s="4"/>
      <c r="FC434" s="4"/>
      <c r="FD434" s="4"/>
      <c r="FE434" s="4"/>
      <c r="FF434" s="4"/>
      <c r="FG434" s="4"/>
      <c r="FH434" s="4"/>
      <c r="FI434" s="4"/>
      <c r="FJ434" s="4"/>
      <c r="FK434" s="4"/>
      <c r="FL434" s="4"/>
      <c r="FM434" s="4"/>
      <c r="FN434" s="4"/>
      <c r="FO434" s="4"/>
      <c r="FP434" s="4"/>
      <c r="FQ434" s="4"/>
      <c r="FR434" s="4"/>
      <c r="FS434" s="4"/>
      <c r="FT434" s="4"/>
      <c r="FU434" s="4"/>
      <c r="FV434" s="4"/>
      <c r="FW434" s="4"/>
      <c r="FX434" s="4"/>
      <c r="FY434" s="4"/>
      <c r="FZ434" s="4"/>
      <c r="GA434" s="4"/>
      <c r="GB434" s="4"/>
      <c r="GC434" s="4"/>
      <c r="GD434" s="4"/>
      <c r="GE434" s="4"/>
      <c r="GF434" s="4"/>
      <c r="GG434" s="4"/>
      <c r="GH434" s="4"/>
      <c r="GI434" s="4"/>
      <c r="GJ434" s="4"/>
      <c r="GK434" s="4"/>
      <c r="GL434" s="4"/>
      <c r="GM434" s="4"/>
      <c r="GN434" s="4"/>
      <c r="GO434" s="4"/>
      <c r="GP434" s="4"/>
      <c r="GQ434" s="4"/>
      <c r="GR434" s="4"/>
      <c r="GS434" s="4"/>
      <c r="GT434" s="4"/>
      <c r="GU434" s="4"/>
      <c r="GV434" s="4"/>
      <c r="GW434" s="4"/>
      <c r="GX434" s="4"/>
      <c r="GY434" s="4"/>
      <c r="GZ434" s="4"/>
      <c r="HA434" s="4"/>
      <c r="HB434" s="4"/>
      <c r="HC434" s="4"/>
      <c r="HD434" s="4"/>
      <c r="HE434" s="4">
        <v>4.6900000000000004</v>
      </c>
      <c r="HF434" s="4"/>
      <c r="HG434" s="4"/>
      <c r="HH434" s="4"/>
      <c r="HI434" s="4"/>
      <c r="HJ434" s="4"/>
    </row>
    <row r="435" spans="1:218" hidden="1">
      <c r="A435" t="s">
        <v>3067</v>
      </c>
      <c r="B435" t="s">
        <v>3068</v>
      </c>
      <c r="C435" t="s">
        <v>505</v>
      </c>
      <c r="D435" t="s">
        <v>3069</v>
      </c>
      <c r="E435" t="s">
        <v>3070</v>
      </c>
      <c r="F435" s="3">
        <v>1</v>
      </c>
      <c r="G435" s="12">
        <f t="shared" si="12"/>
        <v>1.87</v>
      </c>
      <c r="H435" s="12" t="e">
        <f t="shared" si="13"/>
        <v>#NUM!</v>
      </c>
      <c r="I435" s="3">
        <v>1.87283</v>
      </c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  <c r="DQ435" s="4"/>
      <c r="DR435" s="4"/>
      <c r="DS435" s="4"/>
      <c r="DT435" s="4"/>
      <c r="DU435" s="4"/>
      <c r="DV435" s="4"/>
      <c r="DW435" s="4"/>
      <c r="DX435" s="4"/>
      <c r="DY435" s="4"/>
      <c r="DZ435" s="4"/>
      <c r="EA435" s="4"/>
      <c r="EB435" s="4"/>
      <c r="EC435" s="4"/>
      <c r="ED435" s="4"/>
      <c r="EE435" s="4"/>
      <c r="EF435" s="4"/>
      <c r="EG435" s="4"/>
      <c r="EH435" s="4"/>
      <c r="EI435" s="4"/>
      <c r="EJ435" s="4"/>
      <c r="EK435" s="4"/>
      <c r="EL435" s="4"/>
      <c r="EM435" s="4"/>
      <c r="EN435" s="4">
        <v>1.87</v>
      </c>
      <c r="EO435" s="4"/>
      <c r="EP435" s="4"/>
      <c r="EQ435" s="4"/>
      <c r="ER435" s="4"/>
      <c r="ES435" s="4"/>
      <c r="ET435" s="4"/>
      <c r="EU435" s="4"/>
      <c r="EV435" s="4"/>
      <c r="EW435" s="4"/>
      <c r="EX435" s="4"/>
      <c r="EY435" s="4"/>
      <c r="EZ435" s="4"/>
      <c r="FA435" s="4"/>
      <c r="FB435" s="4"/>
      <c r="FC435" s="4"/>
      <c r="FD435" s="4"/>
      <c r="FE435" s="4"/>
      <c r="FF435" s="4"/>
      <c r="FG435" s="4"/>
      <c r="FH435" s="4"/>
      <c r="FI435" s="4"/>
      <c r="FJ435" s="4"/>
      <c r="FK435" s="4"/>
      <c r="FL435" s="4"/>
      <c r="FM435" s="4"/>
      <c r="FN435" s="4"/>
      <c r="FO435" s="4"/>
      <c r="FP435" s="4"/>
      <c r="FQ435" s="4"/>
      <c r="FR435" s="4"/>
      <c r="FS435" s="4"/>
      <c r="FT435" s="4"/>
      <c r="FU435" s="4"/>
      <c r="FV435" s="4"/>
      <c r="FW435" s="4"/>
      <c r="FX435" s="4"/>
      <c r="FY435" s="4"/>
      <c r="FZ435" s="4"/>
      <c r="GA435" s="4"/>
      <c r="GB435" s="4"/>
      <c r="GC435" s="4"/>
      <c r="GD435" s="4"/>
      <c r="GE435" s="4"/>
      <c r="GF435" s="4"/>
      <c r="GG435" s="4"/>
      <c r="GH435" s="4"/>
      <c r="GI435" s="4"/>
      <c r="GJ435" s="4"/>
      <c r="GK435" s="4"/>
      <c r="GL435" s="4"/>
      <c r="GM435" s="4"/>
      <c r="GN435" s="4"/>
      <c r="GO435" s="4"/>
      <c r="GP435" s="4"/>
      <c r="GQ435" s="4"/>
      <c r="GR435" s="4"/>
      <c r="GS435" s="4"/>
      <c r="GT435" s="4"/>
      <c r="GU435" s="4"/>
      <c r="GV435" s="4"/>
      <c r="GW435" s="4"/>
      <c r="GX435" s="4"/>
      <c r="GY435" s="4"/>
      <c r="GZ435" s="4"/>
      <c r="HA435" s="4"/>
      <c r="HB435" s="4"/>
      <c r="HC435" s="4"/>
      <c r="HD435" s="4"/>
      <c r="HE435" s="4"/>
      <c r="HF435" s="4"/>
      <c r="HG435" s="4"/>
      <c r="HH435" s="4"/>
      <c r="HI435" s="4"/>
      <c r="HJ435" s="4"/>
    </row>
    <row r="436" spans="1:218" hidden="1">
      <c r="A436" t="s">
        <v>2401</v>
      </c>
      <c r="B436" t="s">
        <v>2402</v>
      </c>
      <c r="C436" t="s">
        <v>505</v>
      </c>
      <c r="D436" t="s">
        <v>2403</v>
      </c>
      <c r="E436" t="s">
        <v>2404</v>
      </c>
      <c r="F436" s="3">
        <v>1</v>
      </c>
      <c r="G436" s="12">
        <f t="shared" si="12"/>
        <v>3.91</v>
      </c>
      <c r="H436" s="12" t="e">
        <f t="shared" si="13"/>
        <v>#NUM!</v>
      </c>
      <c r="I436" s="3">
        <v>3.9111600000000002</v>
      </c>
      <c r="K436" s="4"/>
      <c r="L436" s="4"/>
      <c r="M436" s="4"/>
      <c r="N436" s="4"/>
      <c r="O436" s="4"/>
      <c r="P436" s="4"/>
      <c r="Q436" s="4">
        <v>3.91</v>
      </c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  <c r="DQ436" s="4"/>
      <c r="DR436" s="4"/>
      <c r="DS436" s="4"/>
      <c r="DT436" s="4"/>
      <c r="DU436" s="4"/>
      <c r="DV436" s="4"/>
      <c r="DW436" s="4"/>
      <c r="DX436" s="4"/>
      <c r="DY436" s="4"/>
      <c r="DZ436" s="4"/>
      <c r="EA436" s="4"/>
      <c r="EB436" s="4"/>
      <c r="EC436" s="4"/>
      <c r="ED436" s="4"/>
      <c r="EE436" s="4"/>
      <c r="EF436" s="4"/>
      <c r="EG436" s="4"/>
      <c r="EH436" s="4"/>
      <c r="EI436" s="4"/>
      <c r="EJ436" s="4"/>
      <c r="EK436" s="4"/>
      <c r="EL436" s="4"/>
      <c r="EM436" s="4"/>
      <c r="EN436" s="4"/>
      <c r="EO436" s="4"/>
      <c r="EP436" s="4"/>
      <c r="EQ436" s="4"/>
      <c r="ER436" s="4"/>
      <c r="ES436" s="4"/>
      <c r="ET436" s="4"/>
      <c r="EU436" s="4"/>
      <c r="EV436" s="4"/>
      <c r="EW436" s="4"/>
      <c r="EX436" s="4"/>
      <c r="EY436" s="4"/>
      <c r="EZ436" s="4"/>
      <c r="FA436" s="4"/>
      <c r="FB436" s="4"/>
      <c r="FC436" s="4"/>
      <c r="FD436" s="4"/>
      <c r="FE436" s="4"/>
      <c r="FF436" s="4"/>
      <c r="FG436" s="4"/>
      <c r="FH436" s="4"/>
      <c r="FI436" s="4"/>
      <c r="FJ436" s="4"/>
      <c r="FK436" s="4"/>
      <c r="FL436" s="4"/>
      <c r="FM436" s="4"/>
      <c r="FN436" s="4"/>
      <c r="FO436" s="4"/>
      <c r="FP436" s="4"/>
      <c r="FQ436" s="4"/>
      <c r="FR436" s="4"/>
      <c r="FS436" s="4"/>
      <c r="FT436" s="4"/>
      <c r="FU436" s="4"/>
      <c r="FV436" s="4"/>
      <c r="FW436" s="4"/>
      <c r="FX436" s="4"/>
      <c r="FY436" s="4"/>
      <c r="FZ436" s="4"/>
      <c r="GA436" s="4"/>
      <c r="GB436" s="4"/>
      <c r="GC436" s="4"/>
      <c r="GD436" s="4"/>
      <c r="GE436" s="4"/>
      <c r="GF436" s="4"/>
      <c r="GG436" s="4"/>
      <c r="GH436" s="4"/>
      <c r="GI436" s="4"/>
      <c r="GJ436" s="4"/>
      <c r="GK436" s="4"/>
      <c r="GL436" s="4"/>
      <c r="GM436" s="4"/>
      <c r="GN436" s="4"/>
      <c r="GO436" s="4"/>
      <c r="GP436" s="4"/>
      <c r="GQ436" s="4"/>
      <c r="GR436" s="4"/>
      <c r="GS436" s="4"/>
      <c r="GT436" s="4"/>
      <c r="GU436" s="4"/>
      <c r="GV436" s="4"/>
      <c r="GW436" s="4"/>
      <c r="GX436" s="4"/>
      <c r="GY436" s="4"/>
      <c r="GZ436" s="4"/>
      <c r="HA436" s="4"/>
      <c r="HB436" s="4"/>
      <c r="HC436" s="4"/>
      <c r="HD436" s="4"/>
      <c r="HE436" s="4"/>
      <c r="HF436" s="4"/>
      <c r="HG436" s="4"/>
      <c r="HH436" s="4"/>
      <c r="HI436" s="4"/>
      <c r="HJ436" s="4"/>
    </row>
    <row r="437" spans="1:218" hidden="1">
      <c r="A437" t="s">
        <v>3125</v>
      </c>
      <c r="B437" t="s">
        <v>3126</v>
      </c>
      <c r="C437" t="s">
        <v>505</v>
      </c>
      <c r="D437" t="s">
        <v>3127</v>
      </c>
      <c r="E437" t="s">
        <v>3128</v>
      </c>
      <c r="F437" s="3">
        <v>1</v>
      </c>
      <c r="G437" s="12">
        <f t="shared" si="12"/>
        <v>1.26</v>
      </c>
      <c r="H437" s="12" t="e">
        <f t="shared" si="13"/>
        <v>#NUM!</v>
      </c>
      <c r="I437" s="3">
        <v>1.2570699999999999</v>
      </c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>
        <v>1.26</v>
      </c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  <c r="DQ437" s="4"/>
      <c r="DR437" s="4"/>
      <c r="DS437" s="4"/>
      <c r="DT437" s="4"/>
      <c r="DU437" s="4"/>
      <c r="DV437" s="4"/>
      <c r="DW437" s="4"/>
      <c r="DX437" s="4"/>
      <c r="DY437" s="4"/>
      <c r="DZ437" s="4"/>
      <c r="EA437" s="4"/>
      <c r="EB437" s="4"/>
      <c r="EC437" s="4"/>
      <c r="ED437" s="4"/>
      <c r="EE437" s="4"/>
      <c r="EF437" s="4"/>
      <c r="EG437" s="4"/>
      <c r="EH437" s="4"/>
      <c r="EI437" s="4"/>
      <c r="EJ437" s="4"/>
      <c r="EK437" s="4"/>
      <c r="EL437" s="4"/>
      <c r="EM437" s="4"/>
      <c r="EN437" s="4"/>
      <c r="EO437" s="4"/>
      <c r="EP437" s="4"/>
      <c r="EQ437" s="4"/>
      <c r="ER437" s="4"/>
      <c r="ES437" s="4"/>
      <c r="ET437" s="4"/>
      <c r="EU437" s="4"/>
      <c r="EV437" s="4"/>
      <c r="EW437" s="4"/>
      <c r="EX437" s="4"/>
      <c r="EY437" s="4"/>
      <c r="EZ437" s="4"/>
      <c r="FA437" s="4"/>
      <c r="FB437" s="4"/>
      <c r="FC437" s="4"/>
      <c r="FD437" s="4"/>
      <c r="FE437" s="4"/>
      <c r="FF437" s="4"/>
      <c r="FG437" s="4"/>
      <c r="FH437" s="4"/>
      <c r="FI437" s="4"/>
      <c r="FJ437" s="4"/>
      <c r="FK437" s="4"/>
      <c r="FL437" s="4"/>
      <c r="FM437" s="4"/>
      <c r="FN437" s="4"/>
      <c r="FO437" s="4"/>
      <c r="FP437" s="4"/>
      <c r="FQ437" s="4"/>
      <c r="FR437" s="4"/>
      <c r="FS437" s="4"/>
      <c r="FT437" s="4"/>
      <c r="FU437" s="4"/>
      <c r="FV437" s="4"/>
      <c r="FW437" s="4"/>
      <c r="FX437" s="4"/>
      <c r="FY437" s="4"/>
      <c r="FZ437" s="4"/>
      <c r="GA437" s="4"/>
      <c r="GB437" s="4"/>
      <c r="GC437" s="4"/>
      <c r="GD437" s="4"/>
      <c r="GE437" s="4"/>
      <c r="GF437" s="4"/>
      <c r="GG437" s="4"/>
      <c r="GH437" s="4"/>
      <c r="GI437" s="4"/>
      <c r="GJ437" s="4"/>
      <c r="GK437" s="4"/>
      <c r="GL437" s="4"/>
      <c r="GM437" s="4"/>
      <c r="GN437" s="4"/>
      <c r="GO437" s="4"/>
      <c r="GP437" s="4"/>
      <c r="GQ437" s="4"/>
      <c r="GR437" s="4"/>
      <c r="GS437" s="4"/>
      <c r="GT437" s="4"/>
      <c r="GU437" s="4"/>
      <c r="GV437" s="4"/>
      <c r="GW437" s="4"/>
      <c r="GX437" s="4"/>
      <c r="GY437" s="4"/>
      <c r="GZ437" s="4"/>
      <c r="HA437" s="4"/>
      <c r="HB437" s="4"/>
      <c r="HC437" s="4"/>
      <c r="HD437" s="4"/>
      <c r="HE437" s="4"/>
      <c r="HF437" s="4"/>
      <c r="HG437" s="4"/>
      <c r="HH437" s="4"/>
      <c r="HI437" s="4"/>
      <c r="HJ437" s="4"/>
    </row>
    <row r="438" spans="1:218" hidden="1">
      <c r="A438" t="s">
        <v>2824</v>
      </c>
      <c r="B438" t="s">
        <v>2825</v>
      </c>
      <c r="C438" t="s">
        <v>1118</v>
      </c>
      <c r="D438" t="s">
        <v>2826</v>
      </c>
      <c r="E438" t="s">
        <v>2827</v>
      </c>
      <c r="F438" s="3">
        <v>1</v>
      </c>
      <c r="G438" s="12">
        <f t="shared" si="12"/>
        <v>2.71</v>
      </c>
      <c r="H438" s="12" t="e">
        <f t="shared" si="13"/>
        <v>#NUM!</v>
      </c>
      <c r="I438" s="3">
        <v>2.7103000000000002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>
        <v>2.71</v>
      </c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</row>
    <row r="439" spans="1:218" hidden="1">
      <c r="A439" t="s">
        <v>2119</v>
      </c>
      <c r="B439" t="s">
        <v>2120</v>
      </c>
      <c r="C439" t="s">
        <v>1028</v>
      </c>
      <c r="D439" t="s">
        <v>2121</v>
      </c>
      <c r="E439" t="s">
        <v>2122</v>
      </c>
      <c r="F439" s="3">
        <v>1</v>
      </c>
      <c r="G439" s="12">
        <f t="shared" si="12"/>
        <v>4.4800000000000004</v>
      </c>
      <c r="H439" s="12" t="e">
        <f t="shared" si="13"/>
        <v>#NUM!</v>
      </c>
      <c r="I439" s="3">
        <v>4.4784999999999986</v>
      </c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>
        <v>4.4800000000000004</v>
      </c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  <c r="DQ439" s="4"/>
      <c r="DR439" s="4"/>
      <c r="DS439" s="4"/>
      <c r="DT439" s="4"/>
      <c r="DU439" s="4"/>
      <c r="DV439" s="4"/>
      <c r="DW439" s="4"/>
      <c r="DX439" s="4"/>
      <c r="DY439" s="4"/>
      <c r="DZ439" s="4"/>
      <c r="EA439" s="4"/>
      <c r="EB439" s="4"/>
      <c r="EC439" s="4"/>
      <c r="ED439" s="4"/>
      <c r="EE439" s="4"/>
      <c r="EF439" s="4"/>
      <c r="EG439" s="4"/>
      <c r="EH439" s="4"/>
      <c r="EI439" s="4"/>
      <c r="EJ439" s="4"/>
      <c r="EK439" s="4"/>
      <c r="EL439" s="4"/>
      <c r="EM439" s="4"/>
      <c r="EN439" s="4"/>
      <c r="EO439" s="4"/>
      <c r="EP439" s="4"/>
      <c r="EQ439" s="4"/>
      <c r="ER439" s="4"/>
      <c r="ES439" s="4"/>
      <c r="ET439" s="4"/>
      <c r="EU439" s="4"/>
      <c r="EV439" s="4"/>
      <c r="EW439" s="4"/>
      <c r="EX439" s="4"/>
      <c r="EY439" s="4"/>
      <c r="EZ439" s="4"/>
      <c r="FA439" s="4"/>
      <c r="FB439" s="4"/>
      <c r="FC439" s="4"/>
      <c r="FD439" s="4"/>
      <c r="FE439" s="4"/>
      <c r="FF439" s="4"/>
      <c r="FG439" s="4"/>
      <c r="FH439" s="4"/>
      <c r="FI439" s="4"/>
      <c r="FJ439" s="4"/>
      <c r="FK439" s="4"/>
      <c r="FL439" s="4"/>
      <c r="FM439" s="4"/>
      <c r="FN439" s="4"/>
      <c r="FO439" s="4"/>
      <c r="FP439" s="4"/>
      <c r="FQ439" s="4"/>
      <c r="FR439" s="4"/>
      <c r="FS439" s="4"/>
      <c r="FT439" s="4"/>
      <c r="FU439" s="4"/>
      <c r="FV439" s="4"/>
      <c r="FW439" s="4"/>
      <c r="FX439" s="4"/>
      <c r="FY439" s="4"/>
      <c r="FZ439" s="4"/>
      <c r="GA439" s="4"/>
      <c r="GB439" s="4"/>
      <c r="GC439" s="4"/>
      <c r="GD439" s="4"/>
      <c r="GE439" s="4"/>
      <c r="GF439" s="4"/>
      <c r="GG439" s="4"/>
      <c r="GH439" s="4"/>
      <c r="GI439" s="4"/>
      <c r="GJ439" s="4"/>
      <c r="GK439" s="4"/>
      <c r="GL439" s="4"/>
      <c r="GM439" s="4"/>
      <c r="GN439" s="4"/>
      <c r="GO439" s="4"/>
      <c r="GP439" s="4"/>
      <c r="GQ439" s="4"/>
      <c r="GR439" s="4"/>
      <c r="GS439" s="4"/>
      <c r="GT439" s="4"/>
      <c r="GU439" s="4"/>
      <c r="GV439" s="4"/>
      <c r="GW439" s="4"/>
      <c r="GX439" s="4"/>
      <c r="GY439" s="4"/>
      <c r="GZ439" s="4"/>
      <c r="HA439" s="4"/>
      <c r="HB439" s="4"/>
      <c r="HC439" s="4"/>
      <c r="HD439" s="4"/>
      <c r="HE439" s="4"/>
      <c r="HF439" s="4"/>
      <c r="HG439" s="4"/>
      <c r="HH439" s="4"/>
      <c r="HI439" s="4"/>
      <c r="HJ439" s="4"/>
    </row>
    <row r="440" spans="1:218" hidden="1">
      <c r="A440" t="s">
        <v>1665</v>
      </c>
      <c r="B440" t="s">
        <v>1666</v>
      </c>
      <c r="C440" t="s">
        <v>505</v>
      </c>
      <c r="D440" t="s">
        <v>1667</v>
      </c>
      <c r="E440" t="s">
        <v>1668</v>
      </c>
      <c r="F440" s="3">
        <v>1</v>
      </c>
      <c r="G440" s="12">
        <f t="shared" si="12"/>
        <v>12.17</v>
      </c>
      <c r="H440" s="12" t="e">
        <f t="shared" si="13"/>
        <v>#NUM!</v>
      </c>
      <c r="I440" s="3">
        <v>12.17046</v>
      </c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  <c r="DQ440" s="4"/>
      <c r="DR440" s="4"/>
      <c r="DS440" s="4"/>
      <c r="DT440" s="4"/>
      <c r="DU440" s="4"/>
      <c r="DV440" s="4"/>
      <c r="DW440" s="4"/>
      <c r="DX440" s="4"/>
      <c r="DY440" s="4"/>
      <c r="DZ440" s="4"/>
      <c r="EA440" s="4"/>
      <c r="EB440" s="4"/>
      <c r="EC440" s="4"/>
      <c r="ED440" s="4"/>
      <c r="EE440" s="4"/>
      <c r="EF440" s="4"/>
      <c r="EG440" s="4"/>
      <c r="EH440" s="4"/>
      <c r="EI440" s="4"/>
      <c r="EJ440" s="4"/>
      <c r="EK440" s="4"/>
      <c r="EL440" s="4"/>
      <c r="EM440" s="4"/>
      <c r="EN440" s="4"/>
      <c r="EO440" s="4"/>
      <c r="EP440" s="4"/>
      <c r="EQ440" s="4"/>
      <c r="ER440" s="4"/>
      <c r="ES440" s="4"/>
      <c r="ET440" s="4">
        <v>12.17</v>
      </c>
      <c r="EU440" s="4"/>
      <c r="EV440" s="4"/>
      <c r="EW440" s="4"/>
      <c r="EX440" s="4"/>
      <c r="EY440" s="4"/>
      <c r="EZ440" s="4"/>
      <c r="FA440" s="4"/>
      <c r="FB440" s="4"/>
      <c r="FC440" s="4"/>
      <c r="FD440" s="4"/>
      <c r="FE440" s="4"/>
      <c r="FF440" s="4"/>
      <c r="FG440" s="4"/>
      <c r="FH440" s="4"/>
      <c r="FI440" s="4"/>
      <c r="FJ440" s="4"/>
      <c r="FK440" s="4"/>
      <c r="FL440" s="4"/>
      <c r="FM440" s="4"/>
      <c r="FN440" s="4"/>
      <c r="FO440" s="4"/>
      <c r="FP440" s="4"/>
      <c r="FQ440" s="4"/>
      <c r="FR440" s="4"/>
      <c r="FS440" s="4"/>
      <c r="FT440" s="4"/>
      <c r="FU440" s="4"/>
      <c r="FV440" s="4"/>
      <c r="FW440" s="4"/>
      <c r="FX440" s="4"/>
      <c r="FY440" s="4"/>
      <c r="FZ440" s="4"/>
      <c r="GA440" s="4"/>
      <c r="GB440" s="4"/>
      <c r="GC440" s="4"/>
      <c r="GD440" s="4"/>
      <c r="GE440" s="4"/>
      <c r="GF440" s="4"/>
      <c r="GG440" s="4"/>
      <c r="GH440" s="4"/>
      <c r="GI440" s="4"/>
      <c r="GJ440" s="4"/>
      <c r="GK440" s="4"/>
      <c r="GL440" s="4"/>
      <c r="GM440" s="4"/>
      <c r="GN440" s="4"/>
      <c r="GO440" s="4"/>
      <c r="GP440" s="4"/>
      <c r="GQ440" s="4"/>
      <c r="GR440" s="4"/>
      <c r="GS440" s="4"/>
      <c r="GT440" s="4"/>
      <c r="GU440" s="4"/>
      <c r="GV440" s="4"/>
      <c r="GW440" s="4"/>
      <c r="GX440" s="4"/>
      <c r="GY440" s="4"/>
      <c r="GZ440" s="4"/>
      <c r="HA440" s="4"/>
      <c r="HB440" s="4"/>
      <c r="HC440" s="4"/>
      <c r="HD440" s="4"/>
      <c r="HE440" s="4"/>
      <c r="HF440" s="4"/>
      <c r="HG440" s="4"/>
      <c r="HH440" s="4"/>
      <c r="HI440" s="4"/>
      <c r="HJ440" s="4"/>
    </row>
    <row r="441" spans="1:218" hidden="1">
      <c r="A441" t="s">
        <v>2390</v>
      </c>
      <c r="B441" t="s">
        <v>2391</v>
      </c>
      <c r="C441" t="s">
        <v>2392</v>
      </c>
      <c r="D441" t="s">
        <v>2393</v>
      </c>
      <c r="E441" t="s">
        <v>2394</v>
      </c>
      <c r="F441" s="3">
        <v>1</v>
      </c>
      <c r="G441" s="12">
        <f t="shared" si="12"/>
        <v>3.94</v>
      </c>
      <c r="H441" s="12" t="e">
        <f t="shared" si="13"/>
        <v>#NUM!</v>
      </c>
      <c r="I441" s="3">
        <v>3.9396900000000001</v>
      </c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>
        <v>3.94</v>
      </c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  <c r="DQ441" s="4"/>
      <c r="DR441" s="4"/>
      <c r="DS441" s="4"/>
      <c r="DT441" s="4"/>
      <c r="DU441" s="4"/>
      <c r="DV441" s="4"/>
      <c r="DW441" s="4"/>
      <c r="DX441" s="4"/>
      <c r="DY441" s="4"/>
      <c r="DZ441" s="4"/>
      <c r="EA441" s="4"/>
      <c r="EB441" s="4"/>
      <c r="EC441" s="4"/>
      <c r="ED441" s="4"/>
      <c r="EE441" s="4"/>
      <c r="EF441" s="4"/>
      <c r="EG441" s="4"/>
      <c r="EH441" s="4"/>
      <c r="EI441" s="4"/>
      <c r="EJ441" s="4"/>
      <c r="EK441" s="4"/>
      <c r="EL441" s="4"/>
      <c r="EM441" s="4"/>
      <c r="EN441" s="4"/>
      <c r="EO441" s="4"/>
      <c r="EP441" s="4"/>
      <c r="EQ441" s="4"/>
      <c r="ER441" s="4"/>
      <c r="ES441" s="4"/>
      <c r="ET441" s="4"/>
      <c r="EU441" s="4"/>
      <c r="EV441" s="4"/>
      <c r="EW441" s="4"/>
      <c r="EX441" s="4"/>
      <c r="EY441" s="4"/>
      <c r="EZ441" s="4"/>
      <c r="FA441" s="4"/>
      <c r="FB441" s="4"/>
      <c r="FC441" s="4"/>
      <c r="FD441" s="4"/>
      <c r="FE441" s="4"/>
      <c r="FF441" s="4"/>
      <c r="FG441" s="4"/>
      <c r="FH441" s="4"/>
      <c r="FI441" s="4"/>
      <c r="FJ441" s="4"/>
      <c r="FK441" s="4"/>
      <c r="FL441" s="4"/>
      <c r="FM441" s="4"/>
      <c r="FN441" s="4"/>
      <c r="FO441" s="4"/>
      <c r="FP441" s="4"/>
      <c r="FQ441" s="4"/>
      <c r="FR441" s="4"/>
      <c r="FS441" s="4"/>
      <c r="FT441" s="4"/>
      <c r="FU441" s="4"/>
      <c r="FV441" s="4"/>
      <c r="FW441" s="4"/>
      <c r="FX441" s="4"/>
      <c r="FY441" s="4"/>
      <c r="FZ441" s="4"/>
      <c r="GA441" s="4"/>
      <c r="GB441" s="4"/>
      <c r="GC441" s="4"/>
      <c r="GD441" s="4"/>
      <c r="GE441" s="4"/>
      <c r="GF441" s="4"/>
      <c r="GG441" s="4"/>
      <c r="GH441" s="4"/>
      <c r="GI441" s="4"/>
      <c r="GJ441" s="4"/>
      <c r="GK441" s="4"/>
      <c r="GL441" s="4"/>
      <c r="GM441" s="4"/>
      <c r="GN441" s="4"/>
      <c r="GO441" s="4"/>
      <c r="GP441" s="4"/>
      <c r="GQ441" s="4"/>
      <c r="GR441" s="4"/>
      <c r="GS441" s="4"/>
      <c r="GT441" s="4"/>
      <c r="GU441" s="4"/>
      <c r="GV441" s="4"/>
      <c r="GW441" s="4"/>
      <c r="GX441" s="4"/>
      <c r="GY441" s="4"/>
      <c r="GZ441" s="4"/>
      <c r="HA441" s="4"/>
      <c r="HB441" s="4"/>
      <c r="HC441" s="4"/>
      <c r="HD441" s="4"/>
      <c r="HE441" s="4"/>
      <c r="HF441" s="4"/>
      <c r="HG441" s="4"/>
      <c r="HH441" s="4"/>
      <c r="HI441" s="4"/>
      <c r="HJ441" s="4"/>
    </row>
    <row r="442" spans="1:218" hidden="1">
      <c r="A442" t="s">
        <v>2783</v>
      </c>
      <c r="B442" t="s">
        <v>2784</v>
      </c>
      <c r="C442" t="s">
        <v>821</v>
      </c>
      <c r="D442" t="s">
        <v>2785</v>
      </c>
      <c r="E442" t="s">
        <v>2786</v>
      </c>
      <c r="F442" s="3">
        <v>1</v>
      </c>
      <c r="G442" s="12">
        <f t="shared" si="12"/>
        <v>2.86</v>
      </c>
      <c r="H442" s="12" t="e">
        <f t="shared" si="13"/>
        <v>#NUM!</v>
      </c>
      <c r="I442" s="3">
        <v>2.8557299999999999</v>
      </c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  <c r="DQ442" s="4"/>
      <c r="DR442" s="4"/>
      <c r="DS442" s="4"/>
      <c r="DT442" s="4"/>
      <c r="DU442" s="4"/>
      <c r="DV442" s="4"/>
      <c r="DW442" s="4"/>
      <c r="DX442" s="4"/>
      <c r="DY442" s="4"/>
      <c r="DZ442" s="4"/>
      <c r="EA442" s="4"/>
      <c r="EB442" s="4"/>
      <c r="EC442" s="4"/>
      <c r="ED442" s="4"/>
      <c r="EE442" s="4"/>
      <c r="EF442" s="4"/>
      <c r="EG442" s="4"/>
      <c r="EH442" s="4"/>
      <c r="EI442" s="4"/>
      <c r="EJ442" s="4">
        <v>2.86</v>
      </c>
      <c r="EK442" s="4"/>
      <c r="EL442" s="4"/>
      <c r="EM442" s="4"/>
      <c r="EN442" s="4"/>
      <c r="EO442" s="4"/>
      <c r="EP442" s="4"/>
      <c r="EQ442" s="4"/>
      <c r="ER442" s="4"/>
      <c r="ES442" s="4"/>
      <c r="ET442" s="4"/>
      <c r="EU442" s="4"/>
      <c r="EV442" s="4"/>
      <c r="EW442" s="4"/>
      <c r="EX442" s="4"/>
      <c r="EY442" s="4"/>
      <c r="EZ442" s="4"/>
      <c r="FA442" s="4"/>
      <c r="FB442" s="4"/>
      <c r="FC442" s="4"/>
      <c r="FD442" s="4"/>
      <c r="FE442" s="4"/>
      <c r="FF442" s="4"/>
      <c r="FG442" s="4"/>
      <c r="FH442" s="4"/>
      <c r="FI442" s="4"/>
      <c r="FJ442" s="4"/>
      <c r="FK442" s="4"/>
      <c r="FL442" s="4"/>
      <c r="FM442" s="4"/>
      <c r="FN442" s="4"/>
      <c r="FO442" s="4"/>
      <c r="FP442" s="4"/>
      <c r="FQ442" s="4"/>
      <c r="FR442" s="4"/>
      <c r="FS442" s="4"/>
      <c r="FT442" s="4"/>
      <c r="FU442" s="4"/>
      <c r="FV442" s="4"/>
      <c r="FW442" s="4"/>
      <c r="FX442" s="4"/>
      <c r="FY442" s="4"/>
      <c r="FZ442" s="4"/>
      <c r="GA442" s="4"/>
      <c r="GB442" s="4"/>
      <c r="GC442" s="4"/>
      <c r="GD442" s="4"/>
      <c r="GE442" s="4"/>
      <c r="GF442" s="4"/>
      <c r="GG442" s="4"/>
      <c r="GH442" s="4"/>
      <c r="GI442" s="4"/>
      <c r="GJ442" s="4"/>
      <c r="GK442" s="4"/>
      <c r="GL442" s="4"/>
      <c r="GM442" s="4"/>
      <c r="GN442" s="4"/>
      <c r="GO442" s="4"/>
      <c r="GP442" s="4"/>
      <c r="GQ442" s="4"/>
      <c r="GR442" s="4"/>
      <c r="GS442" s="4"/>
      <c r="GT442" s="4"/>
      <c r="GU442" s="4"/>
      <c r="GV442" s="4"/>
      <c r="GW442" s="4"/>
      <c r="GX442" s="4"/>
      <c r="GY442" s="4"/>
      <c r="GZ442" s="4"/>
      <c r="HA442" s="4"/>
      <c r="HB442" s="4"/>
      <c r="HC442" s="4"/>
      <c r="HD442" s="4"/>
      <c r="HE442" s="4"/>
      <c r="HF442" s="4"/>
      <c r="HG442" s="4"/>
      <c r="HH442" s="4"/>
      <c r="HI442" s="4"/>
      <c r="HJ442" s="4"/>
    </row>
    <row r="443" spans="1:218" hidden="1">
      <c r="A443" t="s">
        <v>2779</v>
      </c>
      <c r="B443" t="s">
        <v>2780</v>
      </c>
      <c r="C443" t="s">
        <v>505</v>
      </c>
      <c r="D443" t="s">
        <v>2781</v>
      </c>
      <c r="E443" t="s">
        <v>2782</v>
      </c>
      <c r="F443" s="3">
        <v>1</v>
      </c>
      <c r="G443" s="12">
        <f t="shared" si="12"/>
        <v>2.89</v>
      </c>
      <c r="H443" s="12" t="e">
        <f t="shared" si="13"/>
        <v>#NUM!</v>
      </c>
      <c r="I443" s="3">
        <v>2.8854301000000002</v>
      </c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  <c r="DQ443" s="4"/>
      <c r="DR443" s="4"/>
      <c r="DS443" s="4"/>
      <c r="DT443" s="4"/>
      <c r="DU443" s="4"/>
      <c r="DV443" s="4"/>
      <c r="DW443" s="4"/>
      <c r="DX443" s="4"/>
      <c r="DY443" s="4"/>
      <c r="DZ443" s="4"/>
      <c r="EA443" s="4"/>
      <c r="EB443" s="4"/>
      <c r="EC443" s="4"/>
      <c r="ED443" s="4"/>
      <c r="EE443" s="4"/>
      <c r="EF443" s="4"/>
      <c r="EG443" s="4"/>
      <c r="EH443" s="4"/>
      <c r="EI443" s="4"/>
      <c r="EJ443" s="4"/>
      <c r="EK443" s="4"/>
      <c r="EL443" s="4"/>
      <c r="EM443" s="4"/>
      <c r="EN443" s="4"/>
      <c r="EO443" s="4"/>
      <c r="EP443" s="4"/>
      <c r="EQ443" s="4"/>
      <c r="ER443" s="4"/>
      <c r="ES443" s="4"/>
      <c r="ET443" s="4"/>
      <c r="EU443" s="4"/>
      <c r="EV443" s="4"/>
      <c r="EW443" s="4"/>
      <c r="EX443" s="4"/>
      <c r="EY443" s="4"/>
      <c r="EZ443" s="4"/>
      <c r="FA443" s="4"/>
      <c r="FB443" s="4"/>
      <c r="FC443" s="4"/>
      <c r="FD443" s="4"/>
      <c r="FE443" s="4"/>
      <c r="FF443" s="4"/>
      <c r="FG443" s="4"/>
      <c r="FH443" s="4"/>
      <c r="FI443" s="4"/>
      <c r="FJ443" s="4"/>
      <c r="FK443" s="4"/>
      <c r="FL443" s="4"/>
      <c r="FM443" s="4"/>
      <c r="FN443" s="4"/>
      <c r="FO443" s="4"/>
      <c r="FP443" s="4"/>
      <c r="FQ443" s="4"/>
      <c r="FR443" s="4"/>
      <c r="FS443" s="4"/>
      <c r="FT443" s="4"/>
      <c r="FU443" s="4"/>
      <c r="FV443" s="4"/>
      <c r="FW443" s="4"/>
      <c r="FX443" s="4"/>
      <c r="FY443" s="4"/>
      <c r="FZ443" s="4"/>
      <c r="GA443" s="4"/>
      <c r="GB443" s="4"/>
      <c r="GC443" s="4"/>
      <c r="GD443" s="4"/>
      <c r="GE443" s="4"/>
      <c r="GF443" s="4"/>
      <c r="GG443" s="4"/>
      <c r="GH443" s="4">
        <v>2.89</v>
      </c>
      <c r="GI443" s="4"/>
      <c r="GJ443" s="4"/>
      <c r="GK443" s="4"/>
      <c r="GL443" s="4"/>
      <c r="GM443" s="4"/>
      <c r="GN443" s="4"/>
      <c r="GO443" s="4"/>
      <c r="GP443" s="4"/>
      <c r="GQ443" s="4"/>
      <c r="GR443" s="4"/>
      <c r="GS443" s="4"/>
      <c r="GT443" s="4"/>
      <c r="GU443" s="4"/>
      <c r="GV443" s="4"/>
      <c r="GW443" s="4"/>
      <c r="GX443" s="4"/>
      <c r="GY443" s="4"/>
      <c r="GZ443" s="4"/>
      <c r="HA443" s="4"/>
      <c r="HB443" s="4"/>
      <c r="HC443" s="4"/>
      <c r="HD443" s="4"/>
      <c r="HE443" s="4"/>
      <c r="HF443" s="4"/>
      <c r="HG443" s="4"/>
      <c r="HH443" s="4"/>
      <c r="HI443" s="4"/>
      <c r="HJ443" s="4"/>
    </row>
    <row r="444" spans="1:218" hidden="1">
      <c r="A444" t="s">
        <v>2240</v>
      </c>
      <c r="B444" t="s">
        <v>2241</v>
      </c>
      <c r="C444" t="s">
        <v>1887</v>
      </c>
      <c r="D444" t="s">
        <v>2242</v>
      </c>
      <c r="E444" t="s">
        <v>2243</v>
      </c>
      <c r="F444" s="3">
        <v>1</v>
      </c>
      <c r="G444" s="12">
        <f t="shared" si="12"/>
        <v>4.24</v>
      </c>
      <c r="H444" s="12" t="e">
        <f t="shared" si="13"/>
        <v>#NUM!</v>
      </c>
      <c r="I444" s="3">
        <v>4.2385301999999996</v>
      </c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  <c r="DQ444" s="4"/>
      <c r="DR444" s="4"/>
      <c r="DS444" s="4"/>
      <c r="DT444" s="4"/>
      <c r="DU444" s="4"/>
      <c r="DV444" s="4"/>
      <c r="DW444" s="4"/>
      <c r="DX444" s="4"/>
      <c r="DY444" s="4"/>
      <c r="DZ444" s="4"/>
      <c r="EA444" s="4"/>
      <c r="EB444" s="4"/>
      <c r="EC444" s="4"/>
      <c r="ED444" s="4"/>
      <c r="EE444" s="4"/>
      <c r="EF444" s="4"/>
      <c r="EG444" s="4"/>
      <c r="EH444" s="4"/>
      <c r="EI444" s="4"/>
      <c r="EJ444" s="4"/>
      <c r="EK444" s="4"/>
      <c r="EL444" s="4"/>
      <c r="EM444" s="4"/>
      <c r="EN444" s="4"/>
      <c r="EO444" s="4"/>
      <c r="EP444" s="4"/>
      <c r="EQ444" s="4"/>
      <c r="ER444" s="4"/>
      <c r="ES444" s="4"/>
      <c r="ET444" s="4"/>
      <c r="EU444" s="4"/>
      <c r="EV444" s="4"/>
      <c r="EW444" s="4"/>
      <c r="EX444" s="4"/>
      <c r="EY444" s="4"/>
      <c r="EZ444" s="4"/>
      <c r="FA444" s="4"/>
      <c r="FB444" s="4"/>
      <c r="FC444" s="4"/>
      <c r="FD444" s="4"/>
      <c r="FE444" s="4">
        <v>4.24</v>
      </c>
      <c r="FF444" s="4"/>
      <c r="FG444" s="4"/>
      <c r="FH444" s="4"/>
      <c r="FI444" s="4"/>
      <c r="FJ444" s="4"/>
      <c r="FK444" s="4"/>
      <c r="FL444" s="4"/>
      <c r="FM444" s="4"/>
      <c r="FN444" s="4"/>
      <c r="FO444" s="4"/>
      <c r="FP444" s="4"/>
      <c r="FQ444" s="4"/>
      <c r="FR444" s="4"/>
      <c r="FS444" s="4"/>
      <c r="FT444" s="4"/>
      <c r="FU444" s="4"/>
      <c r="FV444" s="4"/>
      <c r="FW444" s="4"/>
      <c r="FX444" s="4"/>
      <c r="FY444" s="4"/>
      <c r="FZ444" s="4"/>
      <c r="GA444" s="4"/>
      <c r="GB444" s="4"/>
      <c r="GC444" s="4"/>
      <c r="GD444" s="4"/>
      <c r="GE444" s="4"/>
      <c r="GF444" s="4"/>
      <c r="GG444" s="4"/>
      <c r="GH444" s="4"/>
      <c r="GI444" s="4"/>
      <c r="GJ444" s="4"/>
      <c r="GK444" s="4"/>
      <c r="GL444" s="4"/>
      <c r="GM444" s="4"/>
      <c r="GN444" s="4"/>
      <c r="GO444" s="4"/>
      <c r="GP444" s="4"/>
      <c r="GQ444" s="4"/>
      <c r="GR444" s="4"/>
      <c r="GS444" s="4"/>
      <c r="GT444" s="4"/>
      <c r="GU444" s="4"/>
      <c r="GV444" s="4"/>
      <c r="GW444" s="4"/>
      <c r="GX444" s="4"/>
      <c r="GY444" s="4"/>
      <c r="GZ444" s="4"/>
      <c r="HA444" s="4"/>
      <c r="HB444" s="4"/>
      <c r="HC444" s="4"/>
      <c r="HD444" s="4"/>
      <c r="HE444" s="4"/>
      <c r="HF444" s="4"/>
      <c r="HG444" s="4"/>
      <c r="HH444" s="4"/>
      <c r="HI444" s="4"/>
      <c r="HJ444" s="4"/>
    </row>
    <row r="445" spans="1:218" hidden="1">
      <c r="A445" t="s">
        <v>2306</v>
      </c>
      <c r="B445" t="s">
        <v>2307</v>
      </c>
      <c r="C445" t="s">
        <v>1329</v>
      </c>
      <c r="D445" t="s">
        <v>2308</v>
      </c>
      <c r="E445" t="s">
        <v>2309</v>
      </c>
      <c r="F445" s="3">
        <v>1</v>
      </c>
      <c r="G445" s="12">
        <f t="shared" si="12"/>
        <v>4.13</v>
      </c>
      <c r="H445" s="12" t="e">
        <f t="shared" si="13"/>
        <v>#NUM!</v>
      </c>
      <c r="I445" s="3">
        <v>4.1252800000000001</v>
      </c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>
        <v>4.13</v>
      </c>
      <c r="DN445" s="4"/>
      <c r="DO445" s="4"/>
      <c r="DP445" s="4"/>
      <c r="DQ445" s="4"/>
      <c r="DR445" s="4"/>
      <c r="DS445" s="4"/>
      <c r="DT445" s="4"/>
      <c r="DU445" s="4"/>
      <c r="DV445" s="4"/>
      <c r="DW445" s="4"/>
      <c r="DX445" s="4"/>
      <c r="DY445" s="4"/>
      <c r="DZ445" s="4"/>
      <c r="EA445" s="4"/>
      <c r="EB445" s="4"/>
      <c r="EC445" s="4"/>
      <c r="ED445" s="4"/>
      <c r="EE445" s="4"/>
      <c r="EF445" s="4"/>
      <c r="EG445" s="4"/>
      <c r="EH445" s="4"/>
      <c r="EI445" s="4"/>
      <c r="EJ445" s="4"/>
      <c r="EK445" s="4"/>
      <c r="EL445" s="4"/>
      <c r="EM445" s="4"/>
      <c r="EN445" s="4"/>
      <c r="EO445" s="4"/>
      <c r="EP445" s="4"/>
      <c r="EQ445" s="4"/>
      <c r="ER445" s="4"/>
      <c r="ES445" s="4"/>
      <c r="ET445" s="4"/>
      <c r="EU445" s="4"/>
      <c r="EV445" s="4"/>
      <c r="EW445" s="4"/>
      <c r="EX445" s="4"/>
      <c r="EY445" s="4"/>
      <c r="EZ445" s="4"/>
      <c r="FA445" s="4"/>
      <c r="FB445" s="4"/>
      <c r="FC445" s="4"/>
      <c r="FD445" s="4"/>
      <c r="FE445" s="4"/>
      <c r="FF445" s="4"/>
      <c r="FG445" s="4"/>
      <c r="FH445" s="4"/>
      <c r="FI445" s="4"/>
      <c r="FJ445" s="4"/>
      <c r="FK445" s="4"/>
      <c r="FL445" s="4"/>
      <c r="FM445" s="4"/>
      <c r="FN445" s="4"/>
      <c r="FO445" s="4"/>
      <c r="FP445" s="4"/>
      <c r="FQ445" s="4"/>
      <c r="FR445" s="4"/>
      <c r="FS445" s="4"/>
      <c r="FT445" s="4"/>
      <c r="FU445" s="4"/>
      <c r="FV445" s="4"/>
      <c r="FW445" s="4"/>
      <c r="FX445" s="4"/>
      <c r="FY445" s="4"/>
      <c r="FZ445" s="4"/>
      <c r="GA445" s="4"/>
      <c r="GB445" s="4"/>
      <c r="GC445" s="4"/>
      <c r="GD445" s="4"/>
      <c r="GE445" s="4"/>
      <c r="GF445" s="4"/>
      <c r="GG445" s="4"/>
      <c r="GH445" s="4"/>
      <c r="GI445" s="4"/>
      <c r="GJ445" s="4"/>
      <c r="GK445" s="4"/>
      <c r="GL445" s="4"/>
      <c r="GM445" s="4"/>
      <c r="GN445" s="4"/>
      <c r="GO445" s="4"/>
      <c r="GP445" s="4"/>
      <c r="GQ445" s="4"/>
      <c r="GR445" s="4"/>
      <c r="GS445" s="4"/>
      <c r="GT445" s="4"/>
      <c r="GU445" s="4"/>
      <c r="GV445" s="4"/>
      <c r="GW445" s="4"/>
      <c r="GX445" s="4"/>
      <c r="GY445" s="4"/>
      <c r="GZ445" s="4"/>
      <c r="HA445" s="4"/>
      <c r="HB445" s="4"/>
      <c r="HC445" s="4"/>
      <c r="HD445" s="4"/>
      <c r="HE445" s="4"/>
      <c r="HF445" s="4"/>
      <c r="HG445" s="4"/>
      <c r="HH445" s="4"/>
      <c r="HI445" s="4"/>
      <c r="HJ445" s="4"/>
    </row>
    <row r="446" spans="1:218" hidden="1">
      <c r="A446" t="s">
        <v>2846</v>
      </c>
      <c r="B446" t="s">
        <v>2847</v>
      </c>
      <c r="C446" t="s">
        <v>792</v>
      </c>
      <c r="D446" t="s">
        <v>2848</v>
      </c>
      <c r="E446" t="s">
        <v>2849</v>
      </c>
      <c r="F446" s="3">
        <v>1</v>
      </c>
      <c r="G446" s="12">
        <f t="shared" si="12"/>
        <v>2.67</v>
      </c>
      <c r="H446" s="12" t="e">
        <f t="shared" si="13"/>
        <v>#NUM!</v>
      </c>
      <c r="I446" s="3">
        <v>2.6714699999999998</v>
      </c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  <c r="DQ446" s="4"/>
      <c r="DR446" s="4"/>
      <c r="DS446" s="4"/>
      <c r="DT446" s="4"/>
      <c r="DU446" s="4"/>
      <c r="DV446" s="4"/>
      <c r="DW446" s="4"/>
      <c r="DX446" s="4"/>
      <c r="DY446" s="4"/>
      <c r="DZ446" s="4"/>
      <c r="EA446" s="4"/>
      <c r="EB446" s="4"/>
      <c r="EC446" s="4"/>
      <c r="ED446" s="4"/>
      <c r="EE446" s="4"/>
      <c r="EF446" s="4"/>
      <c r="EG446" s="4"/>
      <c r="EH446" s="4"/>
      <c r="EI446" s="4"/>
      <c r="EJ446" s="4"/>
      <c r="EK446" s="4"/>
      <c r="EL446" s="4"/>
      <c r="EM446" s="4"/>
      <c r="EN446" s="4"/>
      <c r="EO446" s="4"/>
      <c r="EP446" s="4"/>
      <c r="EQ446" s="4"/>
      <c r="ER446" s="4"/>
      <c r="ES446" s="4"/>
      <c r="ET446" s="4"/>
      <c r="EU446" s="4"/>
      <c r="EV446" s="4"/>
      <c r="EW446" s="4"/>
      <c r="EX446" s="4"/>
      <c r="EY446" s="4"/>
      <c r="EZ446" s="4"/>
      <c r="FA446" s="4"/>
      <c r="FB446" s="4"/>
      <c r="FC446" s="4"/>
      <c r="FD446" s="4"/>
      <c r="FE446" s="4"/>
      <c r="FF446" s="4"/>
      <c r="FG446" s="4"/>
      <c r="FH446" s="4"/>
      <c r="FI446" s="4"/>
      <c r="FJ446" s="4"/>
      <c r="FK446" s="4"/>
      <c r="FL446" s="4"/>
      <c r="FM446" s="4"/>
      <c r="FN446" s="4"/>
      <c r="FO446" s="4"/>
      <c r="FP446" s="4"/>
      <c r="FQ446" s="4"/>
      <c r="FR446" s="4"/>
      <c r="FS446" s="4"/>
      <c r="FT446" s="4"/>
      <c r="FU446" s="4"/>
      <c r="FV446" s="4"/>
      <c r="FW446" s="4"/>
      <c r="FX446" s="4"/>
      <c r="FY446" s="4"/>
      <c r="FZ446" s="4"/>
      <c r="GA446" s="4"/>
      <c r="GB446" s="4"/>
      <c r="GC446" s="4"/>
      <c r="GD446" s="4"/>
      <c r="GE446" s="4"/>
      <c r="GF446" s="4"/>
      <c r="GG446" s="4"/>
      <c r="GH446" s="4">
        <v>2.67</v>
      </c>
      <c r="GI446" s="4"/>
      <c r="GJ446" s="4"/>
      <c r="GK446" s="4"/>
      <c r="GL446" s="4"/>
      <c r="GM446" s="4"/>
      <c r="GN446" s="4"/>
      <c r="GO446" s="4"/>
      <c r="GP446" s="4"/>
      <c r="GQ446" s="4"/>
      <c r="GR446" s="4"/>
      <c r="GS446" s="4"/>
      <c r="GT446" s="4"/>
      <c r="GU446" s="4"/>
      <c r="GV446" s="4"/>
      <c r="GW446" s="4"/>
      <c r="GX446" s="4"/>
      <c r="GY446" s="4"/>
      <c r="GZ446" s="4"/>
      <c r="HA446" s="4"/>
      <c r="HB446" s="4"/>
      <c r="HC446" s="4"/>
      <c r="HD446" s="4"/>
      <c r="HE446" s="4"/>
      <c r="HF446" s="4"/>
      <c r="HG446" s="4"/>
      <c r="HH446" s="4"/>
      <c r="HI446" s="4"/>
      <c r="HJ446" s="4"/>
    </row>
    <row r="447" spans="1:218" hidden="1">
      <c r="A447" t="s">
        <v>2974</v>
      </c>
      <c r="B447" t="s">
        <v>2975</v>
      </c>
      <c r="C447" t="s">
        <v>1887</v>
      </c>
      <c r="D447" t="s">
        <v>2976</v>
      </c>
      <c r="E447" t="s">
        <v>2977</v>
      </c>
      <c r="F447" s="3">
        <v>1</v>
      </c>
      <c r="G447" s="12">
        <f t="shared" si="12"/>
        <v>2.2599999999999998</v>
      </c>
      <c r="H447" s="12" t="e">
        <f t="shared" si="13"/>
        <v>#NUM!</v>
      </c>
      <c r="I447" s="3">
        <v>2.2645499999999998</v>
      </c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>
        <v>2.2599999999999998</v>
      </c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  <c r="DQ447" s="4"/>
      <c r="DR447" s="4"/>
      <c r="DS447" s="4"/>
      <c r="DT447" s="4"/>
      <c r="DU447" s="4"/>
      <c r="DV447" s="4"/>
      <c r="DW447" s="4"/>
      <c r="DX447" s="4"/>
      <c r="DY447" s="4"/>
      <c r="DZ447" s="4"/>
      <c r="EA447" s="4"/>
      <c r="EB447" s="4"/>
      <c r="EC447" s="4"/>
      <c r="ED447" s="4"/>
      <c r="EE447" s="4"/>
      <c r="EF447" s="4"/>
      <c r="EG447" s="4"/>
      <c r="EH447" s="4"/>
      <c r="EI447" s="4"/>
      <c r="EJ447" s="4"/>
      <c r="EK447" s="4"/>
      <c r="EL447" s="4"/>
      <c r="EM447" s="4"/>
      <c r="EN447" s="4"/>
      <c r="EO447" s="4"/>
      <c r="EP447" s="4"/>
      <c r="EQ447" s="4"/>
      <c r="ER447" s="4"/>
      <c r="ES447" s="4"/>
      <c r="ET447" s="4"/>
      <c r="EU447" s="4"/>
      <c r="EV447" s="4"/>
      <c r="EW447" s="4"/>
      <c r="EX447" s="4"/>
      <c r="EY447" s="4"/>
      <c r="EZ447" s="4"/>
      <c r="FA447" s="4"/>
      <c r="FB447" s="4"/>
      <c r="FC447" s="4"/>
      <c r="FD447" s="4"/>
      <c r="FE447" s="4"/>
      <c r="FF447" s="4"/>
      <c r="FG447" s="4"/>
      <c r="FH447" s="4"/>
      <c r="FI447" s="4"/>
      <c r="FJ447" s="4"/>
      <c r="FK447" s="4"/>
      <c r="FL447" s="4"/>
      <c r="FM447" s="4"/>
      <c r="FN447" s="4"/>
      <c r="FO447" s="4"/>
      <c r="FP447" s="4"/>
      <c r="FQ447" s="4"/>
      <c r="FR447" s="4"/>
      <c r="FS447" s="4"/>
      <c r="FT447" s="4"/>
      <c r="FU447" s="4"/>
      <c r="FV447" s="4"/>
      <c r="FW447" s="4"/>
      <c r="FX447" s="4"/>
      <c r="FY447" s="4"/>
      <c r="FZ447" s="4"/>
      <c r="GA447" s="4"/>
      <c r="GB447" s="4"/>
      <c r="GC447" s="4"/>
      <c r="GD447" s="4"/>
      <c r="GE447" s="4"/>
      <c r="GF447" s="4"/>
      <c r="GG447" s="4"/>
      <c r="GH447" s="4"/>
      <c r="GI447" s="4"/>
      <c r="GJ447" s="4"/>
      <c r="GK447" s="4"/>
      <c r="GL447" s="4"/>
      <c r="GM447" s="4"/>
      <c r="GN447" s="4"/>
      <c r="GO447" s="4"/>
      <c r="GP447" s="4"/>
      <c r="GQ447" s="4"/>
      <c r="GR447" s="4"/>
      <c r="GS447" s="4"/>
      <c r="GT447" s="4"/>
      <c r="GU447" s="4"/>
      <c r="GV447" s="4"/>
      <c r="GW447" s="4"/>
      <c r="GX447" s="4"/>
      <c r="GY447" s="4"/>
      <c r="GZ447" s="4"/>
      <c r="HA447" s="4"/>
      <c r="HB447" s="4"/>
      <c r="HC447" s="4"/>
      <c r="HD447" s="4"/>
      <c r="HE447" s="4"/>
      <c r="HF447" s="4"/>
      <c r="HG447" s="4"/>
      <c r="HH447" s="4"/>
      <c r="HI447" s="4"/>
      <c r="HJ447" s="4"/>
    </row>
    <row r="448" spans="1:218" hidden="1">
      <c r="A448" t="s">
        <v>2714</v>
      </c>
      <c r="B448" t="s">
        <v>2715</v>
      </c>
      <c r="C448" t="s">
        <v>489</v>
      </c>
      <c r="D448" t="s">
        <v>490</v>
      </c>
      <c r="E448" t="s">
        <v>490</v>
      </c>
      <c r="F448" s="3">
        <v>1</v>
      </c>
      <c r="G448" s="12">
        <f t="shared" si="12"/>
        <v>3.04</v>
      </c>
      <c r="H448" s="12" t="e">
        <f t="shared" si="13"/>
        <v>#NUM!</v>
      </c>
      <c r="I448" s="3">
        <v>3.04494</v>
      </c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>
        <v>3.04</v>
      </c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  <c r="DQ448" s="4"/>
      <c r="DR448" s="4"/>
      <c r="DS448" s="4"/>
      <c r="DT448" s="4"/>
      <c r="DU448" s="4"/>
      <c r="DV448" s="4"/>
      <c r="DW448" s="4"/>
      <c r="DX448" s="4"/>
      <c r="DY448" s="4"/>
      <c r="DZ448" s="4"/>
      <c r="EA448" s="4"/>
      <c r="EB448" s="4"/>
      <c r="EC448" s="4"/>
      <c r="ED448" s="4"/>
      <c r="EE448" s="4"/>
      <c r="EF448" s="4"/>
      <c r="EG448" s="4"/>
      <c r="EH448" s="4"/>
      <c r="EI448" s="4"/>
      <c r="EJ448" s="4"/>
      <c r="EK448" s="4"/>
      <c r="EL448" s="4"/>
      <c r="EM448" s="4"/>
      <c r="EN448" s="4"/>
      <c r="EO448" s="4"/>
      <c r="EP448" s="4"/>
      <c r="EQ448" s="4"/>
      <c r="ER448" s="4"/>
      <c r="ES448" s="4"/>
      <c r="ET448" s="4"/>
      <c r="EU448" s="4"/>
      <c r="EV448" s="4"/>
      <c r="EW448" s="4"/>
      <c r="EX448" s="4"/>
      <c r="EY448" s="4"/>
      <c r="EZ448" s="4"/>
      <c r="FA448" s="4"/>
      <c r="FB448" s="4"/>
      <c r="FC448" s="4"/>
      <c r="FD448" s="4"/>
      <c r="FE448" s="4"/>
      <c r="FF448" s="4"/>
      <c r="FG448" s="4"/>
      <c r="FH448" s="4"/>
      <c r="FI448" s="4"/>
      <c r="FJ448" s="4"/>
      <c r="FK448" s="4"/>
      <c r="FL448" s="4"/>
      <c r="FM448" s="4"/>
      <c r="FN448" s="4"/>
      <c r="FO448" s="4"/>
      <c r="FP448" s="4"/>
      <c r="FQ448" s="4"/>
      <c r="FR448" s="4"/>
      <c r="FS448" s="4"/>
      <c r="FT448" s="4"/>
      <c r="FU448" s="4"/>
      <c r="FV448" s="4"/>
      <c r="FW448" s="4"/>
      <c r="FX448" s="4"/>
      <c r="FY448" s="4"/>
      <c r="FZ448" s="4"/>
      <c r="GA448" s="4"/>
      <c r="GB448" s="4"/>
      <c r="GC448" s="4"/>
      <c r="GD448" s="4"/>
      <c r="GE448" s="4"/>
      <c r="GF448" s="4"/>
      <c r="GG448" s="4"/>
      <c r="GH448" s="4"/>
      <c r="GI448" s="4"/>
      <c r="GJ448" s="4"/>
      <c r="GK448" s="4"/>
      <c r="GL448" s="4"/>
      <c r="GM448" s="4"/>
      <c r="GN448" s="4"/>
      <c r="GO448" s="4"/>
      <c r="GP448" s="4"/>
      <c r="GQ448" s="4"/>
      <c r="GR448" s="4"/>
      <c r="GS448" s="4"/>
      <c r="GT448" s="4"/>
      <c r="GU448" s="4"/>
      <c r="GV448" s="4"/>
      <c r="GW448" s="4"/>
      <c r="GX448" s="4"/>
      <c r="GY448" s="4"/>
      <c r="GZ448" s="4"/>
      <c r="HA448" s="4"/>
      <c r="HB448" s="4"/>
      <c r="HC448" s="4"/>
      <c r="HD448" s="4"/>
      <c r="HE448" s="4"/>
      <c r="HF448" s="4"/>
      <c r="HG448" s="4"/>
      <c r="HH448" s="4"/>
      <c r="HI448" s="4"/>
      <c r="HJ448" s="4"/>
    </row>
    <row r="449" spans="1:218" hidden="1">
      <c r="A449" t="s">
        <v>2553</v>
      </c>
      <c r="B449" t="s">
        <v>2554</v>
      </c>
      <c r="C449" t="s">
        <v>505</v>
      </c>
      <c r="D449" t="s">
        <v>2555</v>
      </c>
      <c r="E449" t="s">
        <v>2556</v>
      </c>
      <c r="F449" s="3">
        <v>1</v>
      </c>
      <c r="G449" s="12">
        <f t="shared" si="12"/>
        <v>3.48</v>
      </c>
      <c r="H449" s="12" t="e">
        <f t="shared" si="13"/>
        <v>#NUM!</v>
      </c>
      <c r="I449" s="3">
        <v>3.4786697000000002</v>
      </c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  <c r="DQ449" s="4"/>
      <c r="DR449" s="4"/>
      <c r="DS449" s="4"/>
      <c r="DT449" s="4"/>
      <c r="DU449" s="4"/>
      <c r="DV449" s="4"/>
      <c r="DW449" s="4"/>
      <c r="DX449" s="4"/>
      <c r="DY449" s="4"/>
      <c r="DZ449" s="4"/>
      <c r="EA449" s="4"/>
      <c r="EB449" s="4"/>
      <c r="EC449" s="4"/>
      <c r="ED449" s="4"/>
      <c r="EE449" s="4"/>
      <c r="EF449" s="4"/>
      <c r="EG449" s="4"/>
      <c r="EH449" s="4"/>
      <c r="EI449" s="4"/>
      <c r="EJ449" s="4"/>
      <c r="EK449" s="4"/>
      <c r="EL449" s="4"/>
      <c r="EM449" s="4"/>
      <c r="EN449" s="4"/>
      <c r="EO449" s="4"/>
      <c r="EP449" s="4"/>
      <c r="EQ449" s="4"/>
      <c r="ER449" s="4"/>
      <c r="ES449" s="4"/>
      <c r="ET449" s="4"/>
      <c r="EU449" s="4"/>
      <c r="EV449" s="4"/>
      <c r="EW449" s="4"/>
      <c r="EX449" s="4"/>
      <c r="EY449" s="4"/>
      <c r="EZ449" s="4"/>
      <c r="FA449" s="4"/>
      <c r="FB449" s="4"/>
      <c r="FC449" s="4"/>
      <c r="FD449" s="4"/>
      <c r="FE449" s="4"/>
      <c r="FF449" s="4"/>
      <c r="FG449" s="4"/>
      <c r="FH449" s="4"/>
      <c r="FI449" s="4"/>
      <c r="FJ449" s="4"/>
      <c r="FK449" s="4"/>
      <c r="FL449" s="4"/>
      <c r="FM449" s="4"/>
      <c r="FN449" s="4"/>
      <c r="FO449" s="4"/>
      <c r="FP449" s="4"/>
      <c r="FQ449" s="4"/>
      <c r="FR449" s="4">
        <v>3.48</v>
      </c>
      <c r="FS449" s="4"/>
      <c r="FT449" s="4"/>
      <c r="FU449" s="4"/>
      <c r="FV449" s="4"/>
      <c r="FW449" s="4"/>
      <c r="FX449" s="4"/>
      <c r="FY449" s="4"/>
      <c r="FZ449" s="4"/>
      <c r="GA449" s="4"/>
      <c r="GB449" s="4"/>
      <c r="GC449" s="4"/>
      <c r="GD449" s="4"/>
      <c r="GE449" s="4"/>
      <c r="GF449" s="4"/>
      <c r="GG449" s="4"/>
      <c r="GH449" s="4"/>
      <c r="GI449" s="4"/>
      <c r="GJ449" s="4"/>
      <c r="GK449" s="4"/>
      <c r="GL449" s="4"/>
      <c r="GM449" s="4"/>
      <c r="GN449" s="4"/>
      <c r="GO449" s="4"/>
      <c r="GP449" s="4"/>
      <c r="GQ449" s="4"/>
      <c r="GR449" s="4"/>
      <c r="GS449" s="4"/>
      <c r="GT449" s="4"/>
      <c r="GU449" s="4"/>
      <c r="GV449" s="4"/>
      <c r="GW449" s="4"/>
      <c r="GX449" s="4"/>
      <c r="GY449" s="4"/>
      <c r="GZ449" s="4"/>
      <c r="HA449" s="4"/>
      <c r="HB449" s="4"/>
      <c r="HC449" s="4"/>
      <c r="HD449" s="4"/>
      <c r="HE449" s="4"/>
      <c r="HF449" s="4"/>
      <c r="HG449" s="4"/>
      <c r="HH449" s="4"/>
      <c r="HI449" s="4"/>
      <c r="HJ449" s="4"/>
    </row>
    <row r="450" spans="1:218" hidden="1">
      <c r="A450" t="s">
        <v>2856</v>
      </c>
      <c r="B450" t="s">
        <v>2857</v>
      </c>
      <c r="C450" t="s">
        <v>505</v>
      </c>
      <c r="D450" t="s">
        <v>2858</v>
      </c>
      <c r="E450" t="s">
        <v>2859</v>
      </c>
      <c r="F450" s="3">
        <v>1</v>
      </c>
      <c r="G450" s="12">
        <f t="shared" si="12"/>
        <v>2.61</v>
      </c>
      <c r="H450" s="12" t="e">
        <f t="shared" si="13"/>
        <v>#NUM!</v>
      </c>
      <c r="I450" s="3">
        <v>2.6108799999999999</v>
      </c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  <c r="DQ450" s="4"/>
      <c r="DR450" s="4"/>
      <c r="DS450" s="4"/>
      <c r="DT450" s="4"/>
      <c r="DU450" s="4"/>
      <c r="DV450" s="4"/>
      <c r="DW450" s="4"/>
      <c r="DX450" s="4"/>
      <c r="DY450" s="4"/>
      <c r="DZ450" s="4"/>
      <c r="EA450" s="4"/>
      <c r="EB450" s="4"/>
      <c r="EC450" s="4"/>
      <c r="ED450" s="4"/>
      <c r="EE450" s="4"/>
      <c r="EF450" s="4"/>
      <c r="EG450" s="4"/>
      <c r="EH450" s="4"/>
      <c r="EI450" s="4"/>
      <c r="EJ450" s="4"/>
      <c r="EK450" s="4"/>
      <c r="EL450" s="4"/>
      <c r="EM450" s="4"/>
      <c r="EN450" s="4"/>
      <c r="EO450" s="4"/>
      <c r="EP450" s="4"/>
      <c r="EQ450" s="4"/>
      <c r="ER450" s="4"/>
      <c r="ES450" s="4">
        <v>2.61</v>
      </c>
      <c r="ET450" s="4"/>
      <c r="EU450" s="4"/>
      <c r="EV450" s="4"/>
      <c r="EW450" s="4"/>
      <c r="EX450" s="4"/>
      <c r="EY450" s="4"/>
      <c r="EZ450" s="4"/>
      <c r="FA450" s="4"/>
      <c r="FB450" s="4"/>
      <c r="FC450" s="4"/>
      <c r="FD450" s="4"/>
      <c r="FE450" s="4"/>
      <c r="FF450" s="4"/>
      <c r="FG450" s="4"/>
      <c r="FH450" s="4"/>
      <c r="FI450" s="4"/>
      <c r="FJ450" s="4"/>
      <c r="FK450" s="4"/>
      <c r="FL450" s="4"/>
      <c r="FM450" s="4"/>
      <c r="FN450" s="4"/>
      <c r="FO450" s="4"/>
      <c r="FP450" s="4"/>
      <c r="FQ450" s="4"/>
      <c r="FR450" s="4"/>
      <c r="FS450" s="4"/>
      <c r="FT450" s="4"/>
      <c r="FU450" s="4"/>
      <c r="FV450" s="4"/>
      <c r="FW450" s="4"/>
      <c r="FX450" s="4"/>
      <c r="FY450" s="4"/>
      <c r="FZ450" s="4"/>
      <c r="GA450" s="4"/>
      <c r="GB450" s="4"/>
      <c r="GC450" s="4"/>
      <c r="GD450" s="4"/>
      <c r="GE450" s="4"/>
      <c r="GF450" s="4"/>
      <c r="GG450" s="4"/>
      <c r="GH450" s="4"/>
      <c r="GI450" s="4"/>
      <c r="GJ450" s="4"/>
      <c r="GK450" s="4"/>
      <c r="GL450" s="4"/>
      <c r="GM450" s="4"/>
      <c r="GN450" s="4"/>
      <c r="GO450" s="4"/>
      <c r="GP450" s="4"/>
      <c r="GQ450" s="4"/>
      <c r="GR450" s="4"/>
      <c r="GS450" s="4"/>
      <c r="GT450" s="4"/>
      <c r="GU450" s="4"/>
      <c r="GV450" s="4"/>
      <c r="GW450" s="4"/>
      <c r="GX450" s="4"/>
      <c r="GY450" s="4"/>
      <c r="GZ450" s="4"/>
      <c r="HA450" s="4"/>
      <c r="HB450" s="4"/>
      <c r="HC450" s="4"/>
      <c r="HD450" s="4"/>
      <c r="HE450" s="4"/>
      <c r="HF450" s="4"/>
      <c r="HG450" s="4"/>
      <c r="HH450" s="4"/>
      <c r="HI450" s="4"/>
      <c r="HJ450" s="4"/>
    </row>
    <row r="451" spans="1:218" hidden="1">
      <c r="A451" t="s">
        <v>2007</v>
      </c>
      <c r="B451" t="s">
        <v>2008</v>
      </c>
      <c r="C451" t="s">
        <v>443</v>
      </c>
      <c r="D451" t="s">
        <v>2009</v>
      </c>
      <c r="E451" t="s">
        <v>2010</v>
      </c>
      <c r="F451" s="3">
        <v>1</v>
      </c>
      <c r="G451" s="12">
        <f t="shared" si="12"/>
        <v>4.76</v>
      </c>
      <c r="H451" s="12" t="e">
        <f t="shared" si="13"/>
        <v>#NUM!</v>
      </c>
      <c r="I451" s="3">
        <v>4.7608699999999997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  <c r="DQ451" s="4"/>
      <c r="DR451" s="4"/>
      <c r="DS451" s="4"/>
      <c r="DT451" s="4"/>
      <c r="DU451" s="4"/>
      <c r="DV451" s="4"/>
      <c r="DW451" s="4"/>
      <c r="DX451" s="4"/>
      <c r="DY451" s="4"/>
      <c r="DZ451" s="4"/>
      <c r="EA451" s="4"/>
      <c r="EB451" s="4"/>
      <c r="EC451" s="4"/>
      <c r="ED451" s="4"/>
      <c r="EE451" s="4"/>
      <c r="EF451" s="4"/>
      <c r="EG451" s="4"/>
      <c r="EH451" s="4"/>
      <c r="EI451" s="4"/>
      <c r="EJ451" s="4"/>
      <c r="EK451" s="4"/>
      <c r="EL451" s="4"/>
      <c r="EM451" s="4"/>
      <c r="EN451" s="4"/>
      <c r="EO451" s="4"/>
      <c r="EP451" s="4"/>
      <c r="EQ451" s="4"/>
      <c r="ER451" s="4"/>
      <c r="ES451" s="4"/>
      <c r="ET451" s="4"/>
      <c r="EU451" s="4"/>
      <c r="EV451" s="4"/>
      <c r="EW451" s="4"/>
      <c r="EX451" s="4"/>
      <c r="EY451" s="4"/>
      <c r="EZ451" s="4"/>
      <c r="FA451" s="4"/>
      <c r="FB451" s="4"/>
      <c r="FC451" s="4"/>
      <c r="FD451" s="4"/>
      <c r="FE451" s="4"/>
      <c r="FF451" s="4"/>
      <c r="FG451" s="4"/>
      <c r="FH451" s="4"/>
      <c r="FI451" s="4"/>
      <c r="FJ451" s="4"/>
      <c r="FK451" s="4"/>
      <c r="FL451" s="4"/>
      <c r="FM451" s="4"/>
      <c r="FN451" s="4"/>
      <c r="FO451" s="4"/>
      <c r="FP451" s="4"/>
      <c r="FQ451" s="4"/>
      <c r="FR451" s="4"/>
      <c r="FS451" s="4"/>
      <c r="FT451" s="4"/>
      <c r="FU451" s="4"/>
      <c r="FV451" s="4"/>
      <c r="FW451" s="4"/>
      <c r="FX451" s="4"/>
      <c r="FY451" s="4"/>
      <c r="FZ451" s="4"/>
      <c r="GA451" s="4"/>
      <c r="GB451" s="4"/>
      <c r="GC451" s="4"/>
      <c r="GD451" s="4"/>
      <c r="GE451" s="4"/>
      <c r="GF451" s="4"/>
      <c r="GG451" s="4"/>
      <c r="GH451" s="4"/>
      <c r="GI451" s="4"/>
      <c r="GJ451" s="4"/>
      <c r="GK451" s="4"/>
      <c r="GL451" s="4"/>
      <c r="GM451" s="4"/>
      <c r="GN451" s="4"/>
      <c r="GO451" s="4"/>
      <c r="GP451" s="4"/>
      <c r="GQ451" s="4"/>
      <c r="GR451" s="4"/>
      <c r="GS451" s="4"/>
      <c r="GT451" s="4"/>
      <c r="GU451" s="4"/>
      <c r="GV451" s="4"/>
      <c r="GW451" s="4"/>
      <c r="GX451" s="4"/>
      <c r="GY451" s="4"/>
      <c r="GZ451" s="4"/>
      <c r="HA451" s="4"/>
      <c r="HB451" s="4"/>
      <c r="HC451" s="4"/>
      <c r="HD451" s="4"/>
      <c r="HE451" s="4"/>
      <c r="HF451" s="4"/>
      <c r="HG451" s="4"/>
      <c r="HH451" s="4"/>
      <c r="HI451" s="4"/>
      <c r="HJ451" s="4">
        <v>4.76</v>
      </c>
    </row>
    <row r="452" spans="1:218" hidden="1">
      <c r="A452" t="s">
        <v>2467</v>
      </c>
      <c r="B452" t="s">
        <v>2468</v>
      </c>
      <c r="C452" t="s">
        <v>443</v>
      </c>
      <c r="D452" t="s">
        <v>2469</v>
      </c>
      <c r="E452" t="s">
        <v>2470</v>
      </c>
      <c r="F452" s="3">
        <v>1</v>
      </c>
      <c r="G452" s="12">
        <f t="shared" si="12"/>
        <v>3.75</v>
      </c>
      <c r="H452" s="12" t="e">
        <f t="shared" si="13"/>
        <v>#NUM!</v>
      </c>
      <c r="I452" s="3">
        <v>3.7524500000000001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>
        <v>3.75</v>
      </c>
      <c r="DK452" s="4"/>
      <c r="DL452" s="4"/>
      <c r="DM452" s="4"/>
      <c r="DN452" s="4"/>
      <c r="DO452" s="4"/>
      <c r="DP452" s="4"/>
      <c r="DQ452" s="4"/>
      <c r="DR452" s="4"/>
      <c r="DS452" s="4"/>
      <c r="DT452" s="4"/>
      <c r="DU452" s="4"/>
      <c r="DV452" s="4"/>
      <c r="DW452" s="4"/>
      <c r="DX452" s="4"/>
      <c r="DY452" s="4"/>
      <c r="DZ452" s="4"/>
      <c r="EA452" s="4"/>
      <c r="EB452" s="4"/>
      <c r="EC452" s="4"/>
      <c r="ED452" s="4"/>
      <c r="EE452" s="4"/>
      <c r="EF452" s="4"/>
      <c r="EG452" s="4"/>
      <c r="EH452" s="4"/>
      <c r="EI452" s="4"/>
      <c r="EJ452" s="4"/>
      <c r="EK452" s="4"/>
      <c r="EL452" s="4"/>
      <c r="EM452" s="4"/>
      <c r="EN452" s="4"/>
      <c r="EO452" s="4"/>
      <c r="EP452" s="4"/>
      <c r="EQ452" s="4"/>
      <c r="ER452" s="4"/>
      <c r="ES452" s="4"/>
      <c r="ET452" s="4"/>
      <c r="EU452" s="4"/>
      <c r="EV452" s="4"/>
      <c r="EW452" s="4"/>
      <c r="EX452" s="4"/>
      <c r="EY452" s="4"/>
      <c r="EZ452" s="4"/>
      <c r="FA452" s="4"/>
      <c r="FB452" s="4"/>
      <c r="FC452" s="4"/>
      <c r="FD452" s="4"/>
      <c r="FE452" s="4"/>
      <c r="FF452" s="4"/>
      <c r="FG452" s="4"/>
      <c r="FH452" s="4"/>
      <c r="FI452" s="4"/>
      <c r="FJ452" s="4"/>
      <c r="FK452" s="4"/>
      <c r="FL452" s="4"/>
      <c r="FM452" s="4"/>
      <c r="FN452" s="4"/>
      <c r="FO452" s="4"/>
      <c r="FP452" s="4"/>
      <c r="FQ452" s="4"/>
      <c r="FR452" s="4"/>
      <c r="FS452" s="4"/>
      <c r="FT452" s="4"/>
      <c r="FU452" s="4"/>
      <c r="FV452" s="4"/>
      <c r="FW452" s="4"/>
      <c r="FX452" s="4"/>
      <c r="FY452" s="4"/>
      <c r="FZ452" s="4"/>
      <c r="GA452" s="4"/>
      <c r="GB452" s="4"/>
      <c r="GC452" s="4"/>
      <c r="GD452" s="4"/>
      <c r="GE452" s="4"/>
      <c r="GF452" s="4"/>
      <c r="GG452" s="4"/>
      <c r="GH452" s="4"/>
      <c r="GI452" s="4"/>
      <c r="GJ452" s="4"/>
      <c r="GK452" s="4"/>
      <c r="GL452" s="4"/>
      <c r="GM452" s="4"/>
      <c r="GN452" s="4"/>
      <c r="GO452" s="4"/>
      <c r="GP452" s="4"/>
      <c r="GQ452" s="4"/>
      <c r="GR452" s="4"/>
      <c r="GS452" s="4"/>
      <c r="GT452" s="4"/>
      <c r="GU452" s="4"/>
      <c r="GV452" s="4"/>
      <c r="GW452" s="4"/>
      <c r="GX452" s="4"/>
      <c r="GY452" s="4"/>
      <c r="GZ452" s="4"/>
      <c r="HA452" s="4"/>
      <c r="HB452" s="4"/>
      <c r="HC452" s="4"/>
      <c r="HD452" s="4"/>
      <c r="HE452" s="4"/>
      <c r="HF452" s="4"/>
      <c r="HG452" s="4"/>
      <c r="HH452" s="4"/>
      <c r="HI452" s="4"/>
      <c r="HJ452" s="4"/>
    </row>
    <row r="453" spans="1:218" hidden="1">
      <c r="A453" t="s">
        <v>1912</v>
      </c>
      <c r="B453" t="s">
        <v>1913</v>
      </c>
      <c r="C453" t="s">
        <v>505</v>
      </c>
      <c r="D453" t="s">
        <v>1914</v>
      </c>
      <c r="E453" t="s">
        <v>1915</v>
      </c>
      <c r="F453" s="3">
        <v>1</v>
      </c>
      <c r="G453" s="12">
        <f t="shared" si="12"/>
        <v>5.13</v>
      </c>
      <c r="H453" s="12" t="e">
        <f t="shared" si="13"/>
        <v>#NUM!</v>
      </c>
      <c r="I453" s="3">
        <v>5.1349999999999998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  <c r="DQ453" s="4"/>
      <c r="DR453" s="4"/>
      <c r="DS453" s="4"/>
      <c r="DT453" s="4"/>
      <c r="DU453" s="4"/>
      <c r="DV453" s="4"/>
      <c r="DW453" s="4"/>
      <c r="DX453" s="4"/>
      <c r="DY453" s="4"/>
      <c r="DZ453" s="4"/>
      <c r="EA453" s="4"/>
      <c r="EB453" s="4"/>
      <c r="EC453" s="4"/>
      <c r="ED453" s="4"/>
      <c r="EE453" s="4"/>
      <c r="EF453" s="4"/>
      <c r="EG453" s="4"/>
      <c r="EH453" s="4"/>
      <c r="EI453" s="4"/>
      <c r="EJ453" s="4"/>
      <c r="EK453" s="4"/>
      <c r="EL453" s="4"/>
      <c r="EM453" s="4"/>
      <c r="EN453" s="4"/>
      <c r="EO453" s="4"/>
      <c r="EP453" s="4"/>
      <c r="EQ453" s="4"/>
      <c r="ER453" s="4"/>
      <c r="ES453" s="4"/>
      <c r="ET453" s="4"/>
      <c r="EU453" s="4"/>
      <c r="EV453" s="4"/>
      <c r="EW453" s="4"/>
      <c r="EX453" s="4"/>
      <c r="EY453" s="4"/>
      <c r="EZ453" s="4"/>
      <c r="FA453" s="4"/>
      <c r="FB453" s="4"/>
      <c r="FC453" s="4"/>
      <c r="FD453" s="4"/>
      <c r="FE453" s="4"/>
      <c r="FF453" s="4"/>
      <c r="FG453" s="4"/>
      <c r="FH453" s="4"/>
      <c r="FI453" s="4"/>
      <c r="FJ453" s="4"/>
      <c r="FK453" s="4"/>
      <c r="FL453" s="4"/>
      <c r="FM453" s="4"/>
      <c r="FN453" s="4"/>
      <c r="FO453" s="4"/>
      <c r="FP453" s="4"/>
      <c r="FQ453" s="4">
        <v>5.13</v>
      </c>
      <c r="FR453" s="4"/>
      <c r="FS453" s="4"/>
      <c r="FT453" s="4"/>
      <c r="FU453" s="4"/>
      <c r="FV453" s="4"/>
      <c r="FW453" s="4"/>
      <c r="FX453" s="4"/>
      <c r="FY453" s="4"/>
      <c r="FZ453" s="4"/>
      <c r="GA453" s="4"/>
      <c r="GB453" s="4"/>
      <c r="GC453" s="4"/>
      <c r="GD453" s="4"/>
      <c r="GE453" s="4"/>
      <c r="GF453" s="4"/>
      <c r="GG453" s="4"/>
      <c r="GH453" s="4"/>
      <c r="GI453" s="4"/>
      <c r="GJ453" s="4"/>
      <c r="GK453" s="4"/>
      <c r="GL453" s="4"/>
      <c r="GM453" s="4"/>
      <c r="GN453" s="4"/>
      <c r="GO453" s="4"/>
      <c r="GP453" s="4"/>
      <c r="GQ453" s="4"/>
      <c r="GR453" s="4"/>
      <c r="GS453" s="4"/>
      <c r="GT453" s="4"/>
      <c r="GU453" s="4"/>
      <c r="GV453" s="4"/>
      <c r="GW453" s="4"/>
      <c r="GX453" s="4"/>
      <c r="GY453" s="4"/>
      <c r="GZ453" s="4"/>
      <c r="HA453" s="4"/>
      <c r="HB453" s="4"/>
      <c r="HC453" s="4"/>
      <c r="HD453" s="4"/>
      <c r="HE453" s="4"/>
      <c r="HF453" s="4"/>
      <c r="HG453" s="4"/>
      <c r="HH453" s="4"/>
      <c r="HI453" s="4"/>
      <c r="HJ453" s="4"/>
    </row>
    <row r="454" spans="1:218" hidden="1">
      <c r="A454" t="s">
        <v>2524</v>
      </c>
      <c r="B454" t="s">
        <v>2525</v>
      </c>
      <c r="C454" t="s">
        <v>590</v>
      </c>
      <c r="D454" t="s">
        <v>2526</v>
      </c>
      <c r="E454" t="s">
        <v>2527</v>
      </c>
      <c r="F454" s="3">
        <v>1</v>
      </c>
      <c r="G454" s="12">
        <f t="shared" si="12"/>
        <v>3.6</v>
      </c>
      <c r="H454" s="12" t="e">
        <f t="shared" si="13"/>
        <v>#NUM!</v>
      </c>
      <c r="I454" s="3">
        <v>3.59518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  <c r="DQ454" s="4"/>
      <c r="DR454" s="4"/>
      <c r="DS454" s="4"/>
      <c r="DT454" s="4"/>
      <c r="DU454" s="4"/>
      <c r="DV454" s="4"/>
      <c r="DW454" s="4"/>
      <c r="DX454" s="4"/>
      <c r="DY454" s="4"/>
      <c r="DZ454" s="4"/>
      <c r="EA454" s="4"/>
      <c r="EB454" s="4"/>
      <c r="EC454" s="4"/>
      <c r="ED454" s="4"/>
      <c r="EE454" s="4"/>
      <c r="EF454" s="4"/>
      <c r="EG454" s="4"/>
      <c r="EH454" s="4"/>
      <c r="EI454" s="4"/>
      <c r="EJ454" s="4"/>
      <c r="EK454" s="4"/>
      <c r="EL454" s="4"/>
      <c r="EM454" s="4"/>
      <c r="EN454" s="4"/>
      <c r="EO454" s="4"/>
      <c r="EP454" s="4"/>
      <c r="EQ454" s="4"/>
      <c r="ER454" s="4"/>
      <c r="ES454" s="4"/>
      <c r="ET454" s="4"/>
      <c r="EU454" s="4"/>
      <c r="EV454" s="4"/>
      <c r="EW454" s="4"/>
      <c r="EX454" s="4"/>
      <c r="EY454" s="4"/>
      <c r="EZ454" s="4"/>
      <c r="FA454" s="4"/>
      <c r="FB454" s="4"/>
      <c r="FC454" s="4"/>
      <c r="FD454" s="4"/>
      <c r="FE454" s="4"/>
      <c r="FF454" s="4"/>
      <c r="FG454" s="4"/>
      <c r="FH454" s="4"/>
      <c r="FI454" s="4"/>
      <c r="FJ454" s="4"/>
      <c r="FK454" s="4"/>
      <c r="FL454" s="4"/>
      <c r="FM454" s="4"/>
      <c r="FN454" s="4">
        <v>3.6</v>
      </c>
      <c r="FO454" s="4"/>
      <c r="FP454" s="4"/>
      <c r="FQ454" s="4"/>
      <c r="FR454" s="4"/>
      <c r="FS454" s="4"/>
      <c r="FT454" s="4"/>
      <c r="FU454" s="4"/>
      <c r="FV454" s="4"/>
      <c r="FW454" s="4"/>
      <c r="FX454" s="4"/>
      <c r="FY454" s="4"/>
      <c r="FZ454" s="4"/>
      <c r="GA454" s="4"/>
      <c r="GB454" s="4"/>
      <c r="GC454" s="4"/>
      <c r="GD454" s="4"/>
      <c r="GE454" s="4"/>
      <c r="GF454" s="4"/>
      <c r="GG454" s="4"/>
      <c r="GH454" s="4"/>
      <c r="GI454" s="4"/>
      <c r="GJ454" s="4"/>
      <c r="GK454" s="4"/>
      <c r="GL454" s="4"/>
      <c r="GM454" s="4"/>
      <c r="GN454" s="4"/>
      <c r="GO454" s="4"/>
      <c r="GP454" s="4"/>
      <c r="GQ454" s="4"/>
      <c r="GR454" s="4"/>
      <c r="GS454" s="4"/>
      <c r="GT454" s="4"/>
      <c r="GU454" s="4"/>
      <c r="GV454" s="4"/>
      <c r="GW454" s="4"/>
      <c r="GX454" s="4"/>
      <c r="GY454" s="4"/>
      <c r="GZ454" s="4"/>
      <c r="HA454" s="4"/>
      <c r="HB454" s="4"/>
      <c r="HC454" s="4"/>
      <c r="HD454" s="4"/>
      <c r="HE454" s="4"/>
      <c r="HF454" s="4"/>
      <c r="HG454" s="4"/>
      <c r="HH454" s="4"/>
      <c r="HI454" s="4"/>
      <c r="HJ454" s="4"/>
    </row>
    <row r="455" spans="1:218" hidden="1">
      <c r="A455" t="s">
        <v>2123</v>
      </c>
      <c r="B455" t="s">
        <v>2124</v>
      </c>
      <c r="C455" t="s">
        <v>484</v>
      </c>
      <c r="D455" t="s">
        <v>2125</v>
      </c>
      <c r="E455" t="s">
        <v>2126</v>
      </c>
      <c r="F455" s="3">
        <v>1</v>
      </c>
      <c r="G455" s="12">
        <f t="shared" ref="G455:G518" si="14">LARGE($J455:$HJ455,1)</f>
        <v>4.4800000000000004</v>
      </c>
      <c r="H455" s="12" t="e">
        <f t="shared" ref="H455:H518" si="15">LARGE($J455:$HJ455,2)</f>
        <v>#NUM!</v>
      </c>
      <c r="I455" s="3">
        <v>4.4758502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>
        <v>4.4800000000000004</v>
      </c>
      <c r="DO455" s="4"/>
      <c r="DP455" s="4"/>
      <c r="DQ455" s="4"/>
      <c r="DR455" s="4"/>
      <c r="DS455" s="4"/>
      <c r="DT455" s="4"/>
      <c r="DU455" s="4"/>
      <c r="DV455" s="4"/>
      <c r="DW455" s="4"/>
      <c r="DX455" s="4"/>
      <c r="DY455" s="4"/>
      <c r="DZ455" s="4"/>
      <c r="EA455" s="4"/>
      <c r="EB455" s="4"/>
      <c r="EC455" s="4"/>
      <c r="ED455" s="4"/>
      <c r="EE455" s="4"/>
      <c r="EF455" s="4"/>
      <c r="EG455" s="4"/>
      <c r="EH455" s="4"/>
      <c r="EI455" s="4"/>
      <c r="EJ455" s="4"/>
      <c r="EK455" s="4"/>
      <c r="EL455" s="4"/>
      <c r="EM455" s="4"/>
      <c r="EN455" s="4"/>
      <c r="EO455" s="4"/>
      <c r="EP455" s="4"/>
      <c r="EQ455" s="4"/>
      <c r="ER455" s="4"/>
      <c r="ES455" s="4"/>
      <c r="ET455" s="4"/>
      <c r="EU455" s="4"/>
      <c r="EV455" s="4"/>
      <c r="EW455" s="4"/>
      <c r="EX455" s="4"/>
      <c r="EY455" s="4"/>
      <c r="EZ455" s="4"/>
      <c r="FA455" s="4"/>
      <c r="FB455" s="4"/>
      <c r="FC455" s="4"/>
      <c r="FD455" s="4"/>
      <c r="FE455" s="4"/>
      <c r="FF455" s="4"/>
      <c r="FG455" s="4"/>
      <c r="FH455" s="4"/>
      <c r="FI455" s="4"/>
      <c r="FJ455" s="4"/>
      <c r="FK455" s="4"/>
      <c r="FL455" s="4"/>
      <c r="FM455" s="4"/>
      <c r="FN455" s="4"/>
      <c r="FO455" s="4"/>
      <c r="FP455" s="4"/>
      <c r="FQ455" s="4"/>
      <c r="FR455" s="4"/>
      <c r="FS455" s="4"/>
      <c r="FT455" s="4"/>
      <c r="FU455" s="4"/>
      <c r="FV455" s="4"/>
      <c r="FW455" s="4"/>
      <c r="FX455" s="4"/>
      <c r="FY455" s="4"/>
      <c r="FZ455" s="4"/>
      <c r="GA455" s="4"/>
      <c r="GB455" s="4"/>
      <c r="GC455" s="4"/>
      <c r="GD455" s="4"/>
      <c r="GE455" s="4"/>
      <c r="GF455" s="4"/>
      <c r="GG455" s="4"/>
      <c r="GH455" s="4"/>
      <c r="GI455" s="4"/>
      <c r="GJ455" s="4"/>
      <c r="GK455" s="4"/>
      <c r="GL455" s="4"/>
      <c r="GM455" s="4"/>
      <c r="GN455" s="4"/>
      <c r="GO455" s="4"/>
      <c r="GP455" s="4"/>
      <c r="GQ455" s="4"/>
      <c r="GR455" s="4"/>
      <c r="GS455" s="4"/>
      <c r="GT455" s="4"/>
      <c r="GU455" s="4"/>
      <c r="GV455" s="4"/>
      <c r="GW455" s="4"/>
      <c r="GX455" s="4"/>
      <c r="GY455" s="4"/>
      <c r="GZ455" s="4"/>
      <c r="HA455" s="4"/>
      <c r="HB455" s="4"/>
      <c r="HC455" s="4"/>
      <c r="HD455" s="4"/>
      <c r="HE455" s="4"/>
      <c r="HF455" s="4"/>
      <c r="HG455" s="4"/>
      <c r="HH455" s="4"/>
      <c r="HI455" s="4"/>
      <c r="HJ455" s="4"/>
    </row>
    <row r="456" spans="1:218" hidden="1">
      <c r="A456" t="s">
        <v>1918</v>
      </c>
      <c r="B456" t="s">
        <v>1919</v>
      </c>
      <c r="C456" t="s">
        <v>1920</v>
      </c>
      <c r="D456" t="s">
        <v>1921</v>
      </c>
      <c r="E456" t="s">
        <v>1922</v>
      </c>
      <c r="F456" s="3">
        <v>1</v>
      </c>
      <c r="G456" s="12">
        <f t="shared" si="14"/>
        <v>5.09</v>
      </c>
      <c r="H456" s="12" t="e">
        <f t="shared" si="15"/>
        <v>#NUM!</v>
      </c>
      <c r="I456" s="3">
        <v>5.0883003000000002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  <c r="DQ456" s="4"/>
      <c r="DR456" s="4"/>
      <c r="DS456" s="4"/>
      <c r="DT456" s="4"/>
      <c r="DU456" s="4"/>
      <c r="DV456" s="4"/>
      <c r="DW456" s="4"/>
      <c r="DX456" s="4"/>
      <c r="DY456" s="4"/>
      <c r="DZ456" s="4"/>
      <c r="EA456" s="4"/>
      <c r="EB456" s="4"/>
      <c r="EC456" s="4"/>
      <c r="ED456" s="4">
        <v>5.09</v>
      </c>
      <c r="EE456" s="4"/>
      <c r="EF456" s="4"/>
      <c r="EG456" s="4"/>
      <c r="EH456" s="4"/>
      <c r="EI456" s="4"/>
      <c r="EJ456" s="4"/>
      <c r="EK456" s="4"/>
      <c r="EL456" s="4"/>
      <c r="EM456" s="4"/>
      <c r="EN456" s="4"/>
      <c r="EO456" s="4"/>
      <c r="EP456" s="4"/>
      <c r="EQ456" s="4"/>
      <c r="ER456" s="4"/>
      <c r="ES456" s="4"/>
      <c r="ET456" s="4"/>
      <c r="EU456" s="4"/>
      <c r="EV456" s="4"/>
      <c r="EW456" s="4"/>
      <c r="EX456" s="4"/>
      <c r="EY456" s="4"/>
      <c r="EZ456" s="4"/>
      <c r="FA456" s="4"/>
      <c r="FB456" s="4"/>
      <c r="FC456" s="4"/>
      <c r="FD456" s="4"/>
      <c r="FE456" s="4"/>
      <c r="FF456" s="4"/>
      <c r="FG456" s="4"/>
      <c r="FH456" s="4"/>
      <c r="FI456" s="4"/>
      <c r="FJ456" s="4"/>
      <c r="FK456" s="4"/>
      <c r="FL456" s="4"/>
      <c r="FM456" s="4"/>
      <c r="FN456" s="4"/>
      <c r="FO456" s="4"/>
      <c r="FP456" s="4"/>
      <c r="FQ456" s="4"/>
      <c r="FR456" s="4"/>
      <c r="FS456" s="4"/>
      <c r="FT456" s="4"/>
      <c r="FU456" s="4"/>
      <c r="FV456" s="4"/>
      <c r="FW456" s="4"/>
      <c r="FX456" s="4"/>
      <c r="FY456" s="4"/>
      <c r="FZ456" s="4"/>
      <c r="GA456" s="4"/>
      <c r="GB456" s="4"/>
      <c r="GC456" s="4"/>
      <c r="GD456" s="4"/>
      <c r="GE456" s="4"/>
      <c r="GF456" s="4"/>
      <c r="GG456" s="4"/>
      <c r="GH456" s="4"/>
      <c r="GI456" s="4"/>
      <c r="GJ456" s="4"/>
      <c r="GK456" s="4"/>
      <c r="GL456" s="4"/>
      <c r="GM456" s="4"/>
      <c r="GN456" s="4"/>
      <c r="GO456" s="4"/>
      <c r="GP456" s="4"/>
      <c r="GQ456" s="4"/>
      <c r="GR456" s="4"/>
      <c r="GS456" s="4"/>
      <c r="GT456" s="4"/>
      <c r="GU456" s="4"/>
      <c r="GV456" s="4"/>
      <c r="GW456" s="4"/>
      <c r="GX456" s="4"/>
      <c r="GY456" s="4"/>
      <c r="GZ456" s="4"/>
      <c r="HA456" s="4"/>
      <c r="HB456" s="4"/>
      <c r="HC456" s="4"/>
      <c r="HD456" s="4"/>
      <c r="HE456" s="4"/>
      <c r="HF456" s="4"/>
      <c r="HG456" s="4"/>
      <c r="HH456" s="4"/>
      <c r="HI456" s="4"/>
      <c r="HJ456" s="4"/>
    </row>
    <row r="457" spans="1:218" hidden="1">
      <c r="A457" t="s">
        <v>2254</v>
      </c>
      <c r="B457" t="s">
        <v>2255</v>
      </c>
      <c r="C457" t="s">
        <v>443</v>
      </c>
      <c r="D457" t="s">
        <v>2256</v>
      </c>
      <c r="E457" t="s">
        <v>2257</v>
      </c>
      <c r="F457" s="3">
        <v>1</v>
      </c>
      <c r="G457" s="12">
        <f t="shared" si="14"/>
        <v>4.21</v>
      </c>
      <c r="H457" s="12" t="e">
        <f t="shared" si="15"/>
        <v>#NUM!</v>
      </c>
      <c r="I457" s="3">
        <v>4.2077496999999999</v>
      </c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>
        <v>4.21</v>
      </c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  <c r="DQ457" s="4"/>
      <c r="DR457" s="4"/>
      <c r="DS457" s="4"/>
      <c r="DT457" s="4"/>
      <c r="DU457" s="4"/>
      <c r="DV457" s="4"/>
      <c r="DW457" s="4"/>
      <c r="DX457" s="4"/>
      <c r="DY457" s="4"/>
      <c r="DZ457" s="4"/>
      <c r="EA457" s="4"/>
      <c r="EB457" s="4"/>
      <c r="EC457" s="4"/>
      <c r="ED457" s="4"/>
      <c r="EE457" s="4"/>
      <c r="EF457" s="4"/>
      <c r="EG457" s="4"/>
      <c r="EH457" s="4"/>
      <c r="EI457" s="4"/>
      <c r="EJ457" s="4"/>
      <c r="EK457" s="4"/>
      <c r="EL457" s="4"/>
      <c r="EM457" s="4"/>
      <c r="EN457" s="4"/>
      <c r="EO457" s="4"/>
      <c r="EP457" s="4"/>
      <c r="EQ457" s="4"/>
      <c r="ER457" s="4"/>
      <c r="ES457" s="4"/>
      <c r="ET457" s="4"/>
      <c r="EU457" s="4"/>
      <c r="EV457" s="4"/>
      <c r="EW457" s="4"/>
      <c r="EX457" s="4"/>
      <c r="EY457" s="4"/>
      <c r="EZ457" s="4"/>
      <c r="FA457" s="4"/>
      <c r="FB457" s="4"/>
      <c r="FC457" s="4"/>
      <c r="FD457" s="4"/>
      <c r="FE457" s="4"/>
      <c r="FF457" s="4"/>
      <c r="FG457" s="4"/>
      <c r="FH457" s="4"/>
      <c r="FI457" s="4"/>
      <c r="FJ457" s="4"/>
      <c r="FK457" s="4"/>
      <c r="FL457" s="4"/>
      <c r="FM457" s="4"/>
      <c r="FN457" s="4"/>
      <c r="FO457" s="4"/>
      <c r="FP457" s="4"/>
      <c r="FQ457" s="4"/>
      <c r="FR457" s="4"/>
      <c r="FS457" s="4"/>
      <c r="FT457" s="4"/>
      <c r="FU457" s="4"/>
      <c r="FV457" s="4"/>
      <c r="FW457" s="4"/>
      <c r="FX457" s="4"/>
      <c r="FY457" s="4"/>
      <c r="FZ457" s="4"/>
      <c r="GA457" s="4"/>
      <c r="GB457" s="4"/>
      <c r="GC457" s="4"/>
      <c r="GD457" s="4"/>
      <c r="GE457" s="4"/>
      <c r="GF457" s="4"/>
      <c r="GG457" s="4"/>
      <c r="GH457" s="4"/>
      <c r="GI457" s="4"/>
      <c r="GJ457" s="4"/>
      <c r="GK457" s="4"/>
      <c r="GL457" s="4"/>
      <c r="GM457" s="4"/>
      <c r="GN457" s="4"/>
      <c r="GO457" s="4"/>
      <c r="GP457" s="4"/>
      <c r="GQ457" s="4"/>
      <c r="GR457" s="4"/>
      <c r="GS457" s="4"/>
      <c r="GT457" s="4"/>
      <c r="GU457" s="4"/>
      <c r="GV457" s="4"/>
      <c r="GW457" s="4"/>
      <c r="GX457" s="4"/>
      <c r="GY457" s="4"/>
      <c r="GZ457" s="4"/>
      <c r="HA457" s="4"/>
      <c r="HB457" s="4"/>
      <c r="HC457" s="4"/>
      <c r="HD457" s="4"/>
      <c r="HE457" s="4"/>
      <c r="HF457" s="4"/>
      <c r="HG457" s="4"/>
      <c r="HH457" s="4"/>
      <c r="HI457" s="4"/>
      <c r="HJ457" s="4"/>
    </row>
    <row r="458" spans="1:218" hidden="1">
      <c r="A458" t="s">
        <v>2852</v>
      </c>
      <c r="B458" t="s">
        <v>2853</v>
      </c>
      <c r="C458" t="s">
        <v>443</v>
      </c>
      <c r="D458" t="s">
        <v>2854</v>
      </c>
      <c r="E458" t="s">
        <v>2855</v>
      </c>
      <c r="F458" s="3">
        <v>1</v>
      </c>
      <c r="G458" s="12">
        <f t="shared" si="14"/>
        <v>2.63</v>
      </c>
      <c r="H458" s="12" t="e">
        <f t="shared" si="15"/>
        <v>#NUM!</v>
      </c>
      <c r="I458" s="3">
        <v>2.6251500000000001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  <c r="DQ458" s="4"/>
      <c r="DR458" s="4"/>
      <c r="DS458" s="4"/>
      <c r="DT458" s="4"/>
      <c r="DU458" s="4"/>
      <c r="DV458" s="4"/>
      <c r="DW458" s="4"/>
      <c r="DX458" s="4"/>
      <c r="DY458" s="4"/>
      <c r="DZ458" s="4"/>
      <c r="EA458" s="4"/>
      <c r="EB458" s="4"/>
      <c r="EC458" s="4"/>
      <c r="ED458" s="4"/>
      <c r="EE458" s="4"/>
      <c r="EF458" s="4"/>
      <c r="EG458" s="4"/>
      <c r="EH458" s="4"/>
      <c r="EI458" s="4"/>
      <c r="EJ458" s="4"/>
      <c r="EK458" s="4"/>
      <c r="EL458" s="4"/>
      <c r="EM458" s="4"/>
      <c r="EN458" s="4"/>
      <c r="EO458" s="4"/>
      <c r="EP458" s="4"/>
      <c r="EQ458" s="4"/>
      <c r="ER458" s="4"/>
      <c r="ES458" s="4"/>
      <c r="ET458" s="4"/>
      <c r="EU458" s="4"/>
      <c r="EV458" s="4"/>
      <c r="EW458" s="4"/>
      <c r="EX458" s="4"/>
      <c r="EY458" s="4"/>
      <c r="EZ458" s="4"/>
      <c r="FA458" s="4"/>
      <c r="FB458" s="4"/>
      <c r="FC458" s="4"/>
      <c r="FD458" s="4"/>
      <c r="FE458" s="4"/>
      <c r="FF458" s="4"/>
      <c r="FG458" s="4"/>
      <c r="FH458" s="4"/>
      <c r="FI458" s="4"/>
      <c r="FJ458" s="4"/>
      <c r="FK458" s="4"/>
      <c r="FL458" s="4"/>
      <c r="FM458" s="4"/>
      <c r="FN458" s="4"/>
      <c r="FO458" s="4"/>
      <c r="FP458" s="4"/>
      <c r="FQ458" s="4"/>
      <c r="FR458" s="4"/>
      <c r="FS458" s="4"/>
      <c r="FT458" s="4"/>
      <c r="FU458" s="4"/>
      <c r="FV458" s="4"/>
      <c r="FW458" s="4"/>
      <c r="FX458" s="4"/>
      <c r="FY458" s="4"/>
      <c r="FZ458" s="4"/>
      <c r="GA458" s="4"/>
      <c r="GB458" s="4"/>
      <c r="GC458" s="4"/>
      <c r="GD458" s="4"/>
      <c r="GE458" s="4"/>
      <c r="GF458" s="4"/>
      <c r="GG458" s="4"/>
      <c r="GH458" s="4">
        <v>2.63</v>
      </c>
      <c r="GI458" s="4"/>
      <c r="GJ458" s="4"/>
      <c r="GK458" s="4"/>
      <c r="GL458" s="4"/>
      <c r="GM458" s="4"/>
      <c r="GN458" s="4"/>
      <c r="GO458" s="4"/>
      <c r="GP458" s="4"/>
      <c r="GQ458" s="4"/>
      <c r="GR458" s="4"/>
      <c r="GS458" s="4"/>
      <c r="GT458" s="4"/>
      <c r="GU458" s="4"/>
      <c r="GV458" s="4"/>
      <c r="GW458" s="4"/>
      <c r="GX458" s="4"/>
      <c r="GY458" s="4"/>
      <c r="GZ458" s="4"/>
      <c r="HA458" s="4"/>
      <c r="HB458" s="4"/>
      <c r="HC458" s="4"/>
      <c r="HD458" s="4"/>
      <c r="HE458" s="4"/>
      <c r="HF458" s="4"/>
      <c r="HG458" s="4"/>
      <c r="HH458" s="4"/>
      <c r="HI458" s="4"/>
      <c r="HJ458" s="4"/>
    </row>
    <row r="459" spans="1:218" hidden="1">
      <c r="A459" t="s">
        <v>1964</v>
      </c>
      <c r="B459" t="s">
        <v>1965</v>
      </c>
      <c r="C459" t="s">
        <v>505</v>
      </c>
      <c r="D459" t="s">
        <v>1966</v>
      </c>
      <c r="E459" t="s">
        <v>1967</v>
      </c>
      <c r="F459" s="3">
        <v>1</v>
      </c>
      <c r="G459" s="12">
        <f t="shared" si="14"/>
        <v>4.88</v>
      </c>
      <c r="H459" s="12" t="e">
        <f t="shared" si="15"/>
        <v>#NUM!</v>
      </c>
      <c r="I459" s="3">
        <v>4.8838302000000002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>
        <v>4.88</v>
      </c>
      <c r="DM459" s="4"/>
      <c r="DN459" s="4"/>
      <c r="DO459" s="4"/>
      <c r="DP459" s="4"/>
      <c r="DQ459" s="4"/>
      <c r="DR459" s="4"/>
      <c r="DS459" s="4"/>
      <c r="DT459" s="4"/>
      <c r="DU459" s="4"/>
      <c r="DV459" s="4"/>
      <c r="DW459" s="4"/>
      <c r="DX459" s="4"/>
      <c r="DY459" s="4"/>
      <c r="DZ459" s="4"/>
      <c r="EA459" s="4"/>
      <c r="EB459" s="4"/>
      <c r="EC459" s="4"/>
      <c r="ED459" s="4"/>
      <c r="EE459" s="4"/>
      <c r="EF459" s="4"/>
      <c r="EG459" s="4"/>
      <c r="EH459" s="4"/>
      <c r="EI459" s="4"/>
      <c r="EJ459" s="4"/>
      <c r="EK459" s="4"/>
      <c r="EL459" s="4"/>
      <c r="EM459" s="4"/>
      <c r="EN459" s="4"/>
      <c r="EO459" s="4"/>
      <c r="EP459" s="4"/>
      <c r="EQ459" s="4"/>
      <c r="ER459" s="4"/>
      <c r="ES459" s="4"/>
      <c r="ET459" s="4"/>
      <c r="EU459" s="4"/>
      <c r="EV459" s="4"/>
      <c r="EW459" s="4"/>
      <c r="EX459" s="4"/>
      <c r="EY459" s="4"/>
      <c r="EZ459" s="4"/>
      <c r="FA459" s="4"/>
      <c r="FB459" s="4"/>
      <c r="FC459" s="4"/>
      <c r="FD459" s="4"/>
      <c r="FE459" s="4"/>
      <c r="FF459" s="4"/>
      <c r="FG459" s="4"/>
      <c r="FH459" s="4"/>
      <c r="FI459" s="4"/>
      <c r="FJ459" s="4"/>
      <c r="FK459" s="4"/>
      <c r="FL459" s="4"/>
      <c r="FM459" s="4"/>
      <c r="FN459" s="4"/>
      <c r="FO459" s="4"/>
      <c r="FP459" s="4"/>
      <c r="FQ459" s="4"/>
      <c r="FR459" s="4"/>
      <c r="FS459" s="4"/>
      <c r="FT459" s="4"/>
      <c r="FU459" s="4"/>
      <c r="FV459" s="4"/>
      <c r="FW459" s="4"/>
      <c r="FX459" s="4"/>
      <c r="FY459" s="4"/>
      <c r="FZ459" s="4"/>
      <c r="GA459" s="4"/>
      <c r="GB459" s="4"/>
      <c r="GC459" s="4"/>
      <c r="GD459" s="4"/>
      <c r="GE459" s="4"/>
      <c r="GF459" s="4"/>
      <c r="GG459" s="4"/>
      <c r="GH459" s="4"/>
      <c r="GI459" s="4"/>
      <c r="GJ459" s="4"/>
      <c r="GK459" s="4"/>
      <c r="GL459" s="4"/>
      <c r="GM459" s="4"/>
      <c r="GN459" s="4"/>
      <c r="GO459" s="4"/>
      <c r="GP459" s="4"/>
      <c r="GQ459" s="4"/>
      <c r="GR459" s="4"/>
      <c r="GS459" s="4"/>
      <c r="GT459" s="4"/>
      <c r="GU459" s="4"/>
      <c r="GV459" s="4"/>
      <c r="GW459" s="4"/>
      <c r="GX459" s="4"/>
      <c r="GY459" s="4"/>
      <c r="GZ459" s="4"/>
      <c r="HA459" s="4"/>
      <c r="HB459" s="4"/>
      <c r="HC459" s="4"/>
      <c r="HD459" s="4"/>
      <c r="HE459" s="4"/>
      <c r="HF459" s="4"/>
      <c r="HG459" s="4"/>
      <c r="HH459" s="4"/>
      <c r="HI459" s="4"/>
      <c r="HJ459" s="4"/>
    </row>
    <row r="460" spans="1:218" hidden="1">
      <c r="A460" t="s">
        <v>2557</v>
      </c>
      <c r="B460" t="s">
        <v>2558</v>
      </c>
      <c r="C460" t="s">
        <v>443</v>
      </c>
      <c r="D460" t="s">
        <v>2559</v>
      </c>
      <c r="E460" t="s">
        <v>2560</v>
      </c>
      <c r="F460" s="3">
        <v>1</v>
      </c>
      <c r="G460" s="12">
        <f t="shared" si="14"/>
        <v>3.48</v>
      </c>
      <c r="H460" s="12" t="e">
        <f t="shared" si="15"/>
        <v>#NUM!</v>
      </c>
      <c r="I460" s="3">
        <v>3.47688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>
        <v>3.48</v>
      </c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  <c r="DQ460" s="4"/>
      <c r="DR460" s="4"/>
      <c r="DS460" s="4"/>
      <c r="DT460" s="4"/>
      <c r="DU460" s="4"/>
      <c r="DV460" s="4"/>
      <c r="DW460" s="4"/>
      <c r="DX460" s="4"/>
      <c r="DY460" s="4"/>
      <c r="DZ460" s="4"/>
      <c r="EA460" s="4"/>
      <c r="EB460" s="4"/>
      <c r="EC460" s="4"/>
      <c r="ED460" s="4"/>
      <c r="EE460" s="4"/>
      <c r="EF460" s="4"/>
      <c r="EG460" s="4"/>
      <c r="EH460" s="4"/>
      <c r="EI460" s="4"/>
      <c r="EJ460" s="4"/>
      <c r="EK460" s="4"/>
      <c r="EL460" s="4"/>
      <c r="EM460" s="4"/>
      <c r="EN460" s="4"/>
      <c r="EO460" s="4"/>
      <c r="EP460" s="4"/>
      <c r="EQ460" s="4"/>
      <c r="ER460" s="4"/>
      <c r="ES460" s="4"/>
      <c r="ET460" s="4"/>
      <c r="EU460" s="4"/>
      <c r="EV460" s="4"/>
      <c r="EW460" s="4"/>
      <c r="EX460" s="4"/>
      <c r="EY460" s="4"/>
      <c r="EZ460" s="4"/>
      <c r="FA460" s="4"/>
      <c r="FB460" s="4"/>
      <c r="FC460" s="4"/>
      <c r="FD460" s="4"/>
      <c r="FE460" s="4"/>
      <c r="FF460" s="4"/>
      <c r="FG460" s="4"/>
      <c r="FH460" s="4"/>
      <c r="FI460" s="4"/>
      <c r="FJ460" s="4"/>
      <c r="FK460" s="4"/>
      <c r="FL460" s="4"/>
      <c r="FM460" s="4"/>
      <c r="FN460" s="4"/>
      <c r="FO460" s="4"/>
      <c r="FP460" s="4"/>
      <c r="FQ460" s="4"/>
      <c r="FR460" s="4"/>
      <c r="FS460" s="4"/>
      <c r="FT460" s="4"/>
      <c r="FU460" s="4"/>
      <c r="FV460" s="4"/>
      <c r="FW460" s="4"/>
      <c r="FX460" s="4"/>
      <c r="FY460" s="4"/>
      <c r="FZ460" s="4"/>
      <c r="GA460" s="4"/>
      <c r="GB460" s="4"/>
      <c r="GC460" s="4"/>
      <c r="GD460" s="4"/>
      <c r="GE460" s="4"/>
      <c r="GF460" s="4"/>
      <c r="GG460" s="4"/>
      <c r="GH460" s="4"/>
      <c r="GI460" s="4"/>
      <c r="GJ460" s="4"/>
      <c r="GK460" s="4"/>
      <c r="GL460" s="4"/>
      <c r="GM460" s="4"/>
      <c r="GN460" s="4"/>
      <c r="GO460" s="4"/>
      <c r="GP460" s="4"/>
      <c r="GQ460" s="4"/>
      <c r="GR460" s="4"/>
      <c r="GS460" s="4"/>
      <c r="GT460" s="4"/>
      <c r="GU460" s="4"/>
      <c r="GV460" s="4"/>
      <c r="GW460" s="4"/>
      <c r="GX460" s="4"/>
      <c r="GY460" s="4"/>
      <c r="GZ460" s="4"/>
      <c r="HA460" s="4"/>
      <c r="HB460" s="4"/>
      <c r="HC460" s="4"/>
      <c r="HD460" s="4"/>
      <c r="HE460" s="4"/>
      <c r="HF460" s="4"/>
      <c r="HG460" s="4"/>
      <c r="HH460" s="4"/>
      <c r="HI460" s="4"/>
      <c r="HJ460" s="4"/>
    </row>
    <row r="461" spans="1:218" hidden="1">
      <c r="A461" t="s">
        <v>1996</v>
      </c>
      <c r="B461" t="s">
        <v>1997</v>
      </c>
      <c r="C461" t="s">
        <v>1998</v>
      </c>
      <c r="D461" t="s">
        <v>1999</v>
      </c>
      <c r="E461" t="s">
        <v>2000</v>
      </c>
      <c r="F461" s="3">
        <v>1</v>
      </c>
      <c r="G461" s="12">
        <f t="shared" si="14"/>
        <v>4.8</v>
      </c>
      <c r="H461" s="12" t="e">
        <f t="shared" si="15"/>
        <v>#NUM!</v>
      </c>
      <c r="I461" s="3">
        <v>4.8011097999999999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  <c r="DQ461" s="4"/>
      <c r="DR461" s="4"/>
      <c r="DS461" s="4"/>
      <c r="DT461" s="4"/>
      <c r="DU461" s="4"/>
      <c r="DV461" s="4"/>
      <c r="DW461" s="4"/>
      <c r="DX461" s="4"/>
      <c r="DY461" s="4"/>
      <c r="DZ461" s="4"/>
      <c r="EA461" s="4"/>
      <c r="EB461" s="4"/>
      <c r="EC461" s="4"/>
      <c r="ED461" s="4"/>
      <c r="EE461" s="4"/>
      <c r="EF461" s="4"/>
      <c r="EG461" s="4"/>
      <c r="EH461" s="4">
        <v>4.8</v>
      </c>
      <c r="EI461" s="4"/>
      <c r="EJ461" s="4"/>
      <c r="EK461" s="4"/>
      <c r="EL461" s="4"/>
      <c r="EM461" s="4"/>
      <c r="EN461" s="4"/>
      <c r="EO461" s="4"/>
      <c r="EP461" s="4"/>
      <c r="EQ461" s="4"/>
      <c r="ER461" s="4"/>
      <c r="ES461" s="4"/>
      <c r="ET461" s="4"/>
      <c r="EU461" s="4"/>
      <c r="EV461" s="4"/>
      <c r="EW461" s="4"/>
      <c r="EX461" s="4"/>
      <c r="EY461" s="4"/>
      <c r="EZ461" s="4"/>
      <c r="FA461" s="4"/>
      <c r="FB461" s="4"/>
      <c r="FC461" s="4"/>
      <c r="FD461" s="4"/>
      <c r="FE461" s="4"/>
      <c r="FF461" s="4"/>
      <c r="FG461" s="4"/>
      <c r="FH461" s="4"/>
      <c r="FI461" s="4"/>
      <c r="FJ461" s="4"/>
      <c r="FK461" s="4"/>
      <c r="FL461" s="4"/>
      <c r="FM461" s="4"/>
      <c r="FN461" s="4"/>
      <c r="FO461" s="4"/>
      <c r="FP461" s="4"/>
      <c r="FQ461" s="4"/>
      <c r="FR461" s="4"/>
      <c r="FS461" s="4"/>
      <c r="FT461" s="4"/>
      <c r="FU461" s="4"/>
      <c r="FV461" s="4"/>
      <c r="FW461" s="4"/>
      <c r="FX461" s="4"/>
      <c r="FY461" s="4"/>
      <c r="FZ461" s="4"/>
      <c r="GA461" s="4"/>
      <c r="GB461" s="4"/>
      <c r="GC461" s="4"/>
      <c r="GD461" s="4"/>
      <c r="GE461" s="4"/>
      <c r="GF461" s="4"/>
      <c r="GG461" s="4"/>
      <c r="GH461" s="4"/>
      <c r="GI461" s="4"/>
      <c r="GJ461" s="4"/>
      <c r="GK461" s="4"/>
      <c r="GL461" s="4"/>
      <c r="GM461" s="4"/>
      <c r="GN461" s="4"/>
      <c r="GO461" s="4"/>
      <c r="GP461" s="4"/>
      <c r="GQ461" s="4"/>
      <c r="GR461" s="4"/>
      <c r="GS461" s="4"/>
      <c r="GT461" s="4"/>
      <c r="GU461" s="4"/>
      <c r="GV461" s="4"/>
      <c r="GW461" s="4"/>
      <c r="GX461" s="4"/>
      <c r="GY461" s="4"/>
      <c r="GZ461" s="4"/>
      <c r="HA461" s="4"/>
      <c r="HB461" s="4"/>
      <c r="HC461" s="4"/>
      <c r="HD461" s="4"/>
      <c r="HE461" s="4"/>
      <c r="HF461" s="4"/>
      <c r="HG461" s="4"/>
      <c r="HH461" s="4"/>
      <c r="HI461" s="4"/>
      <c r="HJ461" s="4"/>
    </row>
    <row r="462" spans="1:218" hidden="1">
      <c r="A462" t="s">
        <v>2966</v>
      </c>
      <c r="B462" t="s">
        <v>2967</v>
      </c>
      <c r="C462" t="s">
        <v>443</v>
      </c>
      <c r="D462" t="s">
        <v>2968</v>
      </c>
      <c r="E462" t="s">
        <v>2969</v>
      </c>
      <c r="F462" s="3">
        <v>1</v>
      </c>
      <c r="G462" s="12">
        <f t="shared" si="14"/>
        <v>2.2799999999999998</v>
      </c>
      <c r="H462" s="12" t="e">
        <f t="shared" si="15"/>
        <v>#NUM!</v>
      </c>
      <c r="I462" s="3">
        <v>2.2776597999999999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>
        <v>2.2799999999999998</v>
      </c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  <c r="DQ462" s="4"/>
      <c r="DR462" s="4"/>
      <c r="DS462" s="4"/>
      <c r="DT462" s="4"/>
      <c r="DU462" s="4"/>
      <c r="DV462" s="4"/>
      <c r="DW462" s="4"/>
      <c r="DX462" s="4"/>
      <c r="DY462" s="4"/>
      <c r="DZ462" s="4"/>
      <c r="EA462" s="4"/>
      <c r="EB462" s="4"/>
      <c r="EC462" s="4"/>
      <c r="ED462" s="4"/>
      <c r="EE462" s="4"/>
      <c r="EF462" s="4"/>
      <c r="EG462" s="4"/>
      <c r="EH462" s="4"/>
      <c r="EI462" s="4"/>
      <c r="EJ462" s="4"/>
      <c r="EK462" s="4"/>
      <c r="EL462" s="4"/>
      <c r="EM462" s="4"/>
      <c r="EN462" s="4"/>
      <c r="EO462" s="4"/>
      <c r="EP462" s="4"/>
      <c r="EQ462" s="4"/>
      <c r="ER462" s="4"/>
      <c r="ES462" s="4"/>
      <c r="ET462" s="4"/>
      <c r="EU462" s="4"/>
      <c r="EV462" s="4"/>
      <c r="EW462" s="4"/>
      <c r="EX462" s="4"/>
      <c r="EY462" s="4"/>
      <c r="EZ462" s="4"/>
      <c r="FA462" s="4"/>
      <c r="FB462" s="4"/>
      <c r="FC462" s="4"/>
      <c r="FD462" s="4"/>
      <c r="FE462" s="4"/>
      <c r="FF462" s="4"/>
      <c r="FG462" s="4"/>
      <c r="FH462" s="4"/>
      <c r="FI462" s="4"/>
      <c r="FJ462" s="4"/>
      <c r="FK462" s="4"/>
      <c r="FL462" s="4"/>
      <c r="FM462" s="4"/>
      <c r="FN462" s="4"/>
      <c r="FO462" s="4"/>
      <c r="FP462" s="4"/>
      <c r="FQ462" s="4"/>
      <c r="FR462" s="4"/>
      <c r="FS462" s="4"/>
      <c r="FT462" s="4"/>
      <c r="FU462" s="4"/>
      <c r="FV462" s="4"/>
      <c r="FW462" s="4"/>
      <c r="FX462" s="4"/>
      <c r="FY462" s="4"/>
      <c r="FZ462" s="4"/>
      <c r="GA462" s="4"/>
      <c r="GB462" s="4"/>
      <c r="GC462" s="4"/>
      <c r="GD462" s="4"/>
      <c r="GE462" s="4"/>
      <c r="GF462" s="4"/>
      <c r="GG462" s="4"/>
      <c r="GH462" s="4"/>
      <c r="GI462" s="4"/>
      <c r="GJ462" s="4"/>
      <c r="GK462" s="4"/>
      <c r="GL462" s="4"/>
      <c r="GM462" s="4"/>
      <c r="GN462" s="4"/>
      <c r="GO462" s="4"/>
      <c r="GP462" s="4"/>
      <c r="GQ462" s="4"/>
      <c r="GR462" s="4"/>
      <c r="GS462" s="4"/>
      <c r="GT462" s="4"/>
      <c r="GU462" s="4"/>
      <c r="GV462" s="4"/>
      <c r="GW462" s="4"/>
      <c r="GX462" s="4"/>
      <c r="GY462" s="4"/>
      <c r="GZ462" s="4"/>
      <c r="HA462" s="4"/>
      <c r="HB462" s="4"/>
      <c r="HC462" s="4"/>
      <c r="HD462" s="4"/>
      <c r="HE462" s="4"/>
      <c r="HF462" s="4"/>
      <c r="HG462" s="4"/>
      <c r="HH462" s="4"/>
      <c r="HI462" s="4"/>
      <c r="HJ462" s="4"/>
    </row>
    <row r="463" spans="1:218" hidden="1">
      <c r="A463" t="s">
        <v>1705</v>
      </c>
      <c r="B463" t="s">
        <v>1706</v>
      </c>
      <c r="C463" t="s">
        <v>1028</v>
      </c>
      <c r="D463" t="s">
        <v>1707</v>
      </c>
      <c r="E463" t="s">
        <v>1708</v>
      </c>
      <c r="F463" s="3">
        <v>1</v>
      </c>
      <c r="G463" s="12">
        <f t="shared" si="14"/>
        <v>7.9</v>
      </c>
      <c r="H463" s="12" t="e">
        <f t="shared" si="15"/>
        <v>#NUM!</v>
      </c>
      <c r="I463" s="3">
        <v>7.9035304000000002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>
        <v>7.9</v>
      </c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  <c r="DQ463" s="4"/>
      <c r="DR463" s="4"/>
      <c r="DS463" s="4"/>
      <c r="DT463" s="4"/>
      <c r="DU463" s="4"/>
      <c r="DV463" s="4"/>
      <c r="DW463" s="4"/>
      <c r="DX463" s="4"/>
      <c r="DY463" s="4"/>
      <c r="DZ463" s="4"/>
      <c r="EA463" s="4"/>
      <c r="EB463" s="4"/>
      <c r="EC463" s="4"/>
      <c r="ED463" s="4"/>
      <c r="EE463" s="4"/>
      <c r="EF463" s="4"/>
      <c r="EG463" s="4"/>
      <c r="EH463" s="4"/>
      <c r="EI463" s="4"/>
      <c r="EJ463" s="4"/>
      <c r="EK463" s="4"/>
      <c r="EL463" s="4"/>
      <c r="EM463" s="4"/>
      <c r="EN463" s="4"/>
      <c r="EO463" s="4"/>
      <c r="EP463" s="4"/>
      <c r="EQ463" s="4"/>
      <c r="ER463" s="4"/>
      <c r="ES463" s="4"/>
      <c r="ET463" s="4"/>
      <c r="EU463" s="4"/>
      <c r="EV463" s="4"/>
      <c r="EW463" s="4"/>
      <c r="EX463" s="4"/>
      <c r="EY463" s="4"/>
      <c r="EZ463" s="4"/>
      <c r="FA463" s="4"/>
      <c r="FB463" s="4"/>
      <c r="FC463" s="4"/>
      <c r="FD463" s="4"/>
      <c r="FE463" s="4"/>
      <c r="FF463" s="4"/>
      <c r="FG463" s="4"/>
      <c r="FH463" s="4"/>
      <c r="FI463" s="4"/>
      <c r="FJ463" s="4"/>
      <c r="FK463" s="4"/>
      <c r="FL463" s="4"/>
      <c r="FM463" s="4"/>
      <c r="FN463" s="4"/>
      <c r="FO463" s="4"/>
      <c r="FP463" s="4"/>
      <c r="FQ463" s="4"/>
      <c r="FR463" s="4"/>
      <c r="FS463" s="4"/>
      <c r="FT463" s="4"/>
      <c r="FU463" s="4"/>
      <c r="FV463" s="4"/>
      <c r="FW463" s="4"/>
      <c r="FX463" s="4"/>
      <c r="FY463" s="4"/>
      <c r="FZ463" s="4"/>
      <c r="GA463" s="4"/>
      <c r="GB463" s="4"/>
      <c r="GC463" s="4"/>
      <c r="GD463" s="4"/>
      <c r="GE463" s="4"/>
      <c r="GF463" s="4"/>
      <c r="GG463" s="4"/>
      <c r="GH463" s="4"/>
      <c r="GI463" s="4"/>
      <c r="GJ463" s="4"/>
      <c r="GK463" s="4"/>
      <c r="GL463" s="4"/>
      <c r="GM463" s="4"/>
      <c r="GN463" s="4"/>
      <c r="GO463" s="4"/>
      <c r="GP463" s="4"/>
      <c r="GQ463" s="4"/>
      <c r="GR463" s="4"/>
      <c r="GS463" s="4"/>
      <c r="GT463" s="4"/>
      <c r="GU463" s="4"/>
      <c r="GV463" s="4"/>
      <c r="GW463" s="4"/>
      <c r="GX463" s="4"/>
      <c r="GY463" s="4"/>
      <c r="GZ463" s="4"/>
      <c r="HA463" s="4"/>
      <c r="HB463" s="4"/>
      <c r="HC463" s="4"/>
      <c r="HD463" s="4"/>
      <c r="HE463" s="4"/>
      <c r="HF463" s="4"/>
      <c r="HG463" s="4"/>
      <c r="HH463" s="4"/>
      <c r="HI463" s="4"/>
      <c r="HJ463" s="4"/>
    </row>
    <row r="464" spans="1:218" hidden="1">
      <c r="A464" t="s">
        <v>1943</v>
      </c>
      <c r="B464" t="s">
        <v>1944</v>
      </c>
      <c r="C464" t="s">
        <v>1269</v>
      </c>
      <c r="D464" t="s">
        <v>1945</v>
      </c>
      <c r="E464" t="s">
        <v>1946</v>
      </c>
      <c r="F464" s="3">
        <v>1</v>
      </c>
      <c r="G464" s="12">
        <f t="shared" si="14"/>
        <v>4.99</v>
      </c>
      <c r="H464" s="12" t="e">
        <f t="shared" si="15"/>
        <v>#NUM!</v>
      </c>
      <c r="I464" s="3">
        <v>4.9882203000000001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>
        <v>4.99</v>
      </c>
      <c r="DG464" s="4"/>
      <c r="DH464" s="4"/>
      <c r="DI464" s="4"/>
      <c r="DJ464" s="4"/>
      <c r="DK464" s="4"/>
      <c r="DL464" s="4"/>
      <c r="DM464" s="4"/>
      <c r="DN464" s="4"/>
      <c r="DO464" s="4"/>
      <c r="DP464" s="4"/>
      <c r="DQ464" s="4"/>
      <c r="DR464" s="4"/>
      <c r="DS464" s="4"/>
      <c r="DT464" s="4"/>
      <c r="DU464" s="4"/>
      <c r="DV464" s="4"/>
      <c r="DW464" s="4"/>
      <c r="DX464" s="4"/>
      <c r="DY464" s="4"/>
      <c r="DZ464" s="4"/>
      <c r="EA464" s="4"/>
      <c r="EB464" s="4"/>
      <c r="EC464" s="4"/>
      <c r="ED464" s="4"/>
      <c r="EE464" s="4"/>
      <c r="EF464" s="4"/>
      <c r="EG464" s="4"/>
      <c r="EH464" s="4"/>
      <c r="EI464" s="4"/>
      <c r="EJ464" s="4"/>
      <c r="EK464" s="4"/>
      <c r="EL464" s="4"/>
      <c r="EM464" s="4"/>
      <c r="EN464" s="4"/>
      <c r="EO464" s="4"/>
      <c r="EP464" s="4"/>
      <c r="EQ464" s="4"/>
      <c r="ER464" s="4"/>
      <c r="ES464" s="4"/>
      <c r="ET464" s="4"/>
      <c r="EU464" s="4"/>
      <c r="EV464" s="4"/>
      <c r="EW464" s="4"/>
      <c r="EX464" s="4"/>
      <c r="EY464" s="4"/>
      <c r="EZ464" s="4"/>
      <c r="FA464" s="4"/>
      <c r="FB464" s="4"/>
      <c r="FC464" s="4"/>
      <c r="FD464" s="4"/>
      <c r="FE464" s="4"/>
      <c r="FF464" s="4"/>
      <c r="FG464" s="4"/>
      <c r="FH464" s="4"/>
      <c r="FI464" s="4"/>
      <c r="FJ464" s="4"/>
      <c r="FK464" s="4"/>
      <c r="FL464" s="4"/>
      <c r="FM464" s="4"/>
      <c r="FN464" s="4"/>
      <c r="FO464" s="4"/>
      <c r="FP464" s="4"/>
      <c r="FQ464" s="4"/>
      <c r="FR464" s="4"/>
      <c r="FS464" s="4"/>
      <c r="FT464" s="4"/>
      <c r="FU464" s="4"/>
      <c r="FV464" s="4"/>
      <c r="FW464" s="4"/>
      <c r="FX464" s="4"/>
      <c r="FY464" s="4"/>
      <c r="FZ464" s="4"/>
      <c r="GA464" s="4"/>
      <c r="GB464" s="4"/>
      <c r="GC464" s="4"/>
      <c r="GD464" s="4"/>
      <c r="GE464" s="4"/>
      <c r="GF464" s="4"/>
      <c r="GG464" s="4"/>
      <c r="GH464" s="4"/>
      <c r="GI464" s="4"/>
      <c r="GJ464" s="4"/>
      <c r="GK464" s="4"/>
      <c r="GL464" s="4"/>
      <c r="GM464" s="4"/>
      <c r="GN464" s="4"/>
      <c r="GO464" s="4"/>
      <c r="GP464" s="4"/>
      <c r="GQ464" s="4"/>
      <c r="GR464" s="4"/>
      <c r="GS464" s="4"/>
      <c r="GT464" s="4"/>
      <c r="GU464" s="4"/>
      <c r="GV464" s="4"/>
      <c r="GW464" s="4"/>
      <c r="GX464" s="4"/>
      <c r="GY464" s="4"/>
      <c r="GZ464" s="4"/>
      <c r="HA464" s="4"/>
      <c r="HB464" s="4"/>
      <c r="HC464" s="4"/>
      <c r="HD464" s="4"/>
      <c r="HE464" s="4"/>
      <c r="HF464" s="4"/>
      <c r="HG464" s="4"/>
      <c r="HH464" s="4"/>
      <c r="HI464" s="4"/>
      <c r="HJ464" s="4"/>
    </row>
    <row r="465" spans="1:218" hidden="1">
      <c r="A465" t="s">
        <v>2374</v>
      </c>
      <c r="B465" t="s">
        <v>2375</v>
      </c>
      <c r="C465" t="s">
        <v>489</v>
      </c>
      <c r="D465" t="s">
        <v>490</v>
      </c>
      <c r="E465" t="s">
        <v>490</v>
      </c>
      <c r="F465" s="3">
        <v>1</v>
      </c>
      <c r="G465" s="12">
        <f t="shared" si="14"/>
        <v>3.99</v>
      </c>
      <c r="H465" s="12" t="e">
        <f t="shared" si="15"/>
        <v>#NUM!</v>
      </c>
      <c r="I465" s="3">
        <v>3.9899499999999999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  <c r="DQ465" s="4"/>
      <c r="DR465" s="4">
        <v>3.99</v>
      </c>
      <c r="DS465" s="4"/>
      <c r="DT465" s="4"/>
      <c r="DU465" s="4"/>
      <c r="DV465" s="4"/>
      <c r="DW465" s="4"/>
      <c r="DX465" s="4"/>
      <c r="DY465" s="4"/>
      <c r="DZ465" s="4"/>
      <c r="EA465" s="4"/>
      <c r="EB465" s="4"/>
      <c r="EC465" s="4"/>
      <c r="ED465" s="4"/>
      <c r="EE465" s="4"/>
      <c r="EF465" s="4"/>
      <c r="EG465" s="4"/>
      <c r="EH465" s="4"/>
      <c r="EI465" s="4"/>
      <c r="EJ465" s="4"/>
      <c r="EK465" s="4"/>
      <c r="EL465" s="4"/>
      <c r="EM465" s="4"/>
      <c r="EN465" s="4"/>
      <c r="EO465" s="4"/>
      <c r="EP465" s="4"/>
      <c r="EQ465" s="4"/>
      <c r="ER465" s="4"/>
      <c r="ES465" s="4"/>
      <c r="ET465" s="4"/>
      <c r="EU465" s="4"/>
      <c r="EV465" s="4"/>
      <c r="EW465" s="4"/>
      <c r="EX465" s="4"/>
      <c r="EY465" s="4"/>
      <c r="EZ465" s="4"/>
      <c r="FA465" s="4"/>
      <c r="FB465" s="4"/>
      <c r="FC465" s="4"/>
      <c r="FD465" s="4"/>
      <c r="FE465" s="4"/>
      <c r="FF465" s="4"/>
      <c r="FG465" s="4"/>
      <c r="FH465" s="4"/>
      <c r="FI465" s="4"/>
      <c r="FJ465" s="4"/>
      <c r="FK465" s="4"/>
      <c r="FL465" s="4"/>
      <c r="FM465" s="4"/>
      <c r="FN465" s="4"/>
      <c r="FO465" s="4"/>
      <c r="FP465" s="4"/>
      <c r="FQ465" s="4"/>
      <c r="FR465" s="4"/>
      <c r="FS465" s="4"/>
      <c r="FT465" s="4"/>
      <c r="FU465" s="4"/>
      <c r="FV465" s="4"/>
      <c r="FW465" s="4"/>
      <c r="FX465" s="4"/>
      <c r="FY465" s="4"/>
      <c r="FZ465" s="4"/>
      <c r="GA465" s="4"/>
      <c r="GB465" s="4"/>
      <c r="GC465" s="4"/>
      <c r="GD465" s="4"/>
      <c r="GE465" s="4"/>
      <c r="GF465" s="4"/>
      <c r="GG465" s="4"/>
      <c r="GH465" s="4"/>
      <c r="GI465" s="4"/>
      <c r="GJ465" s="4"/>
      <c r="GK465" s="4"/>
      <c r="GL465" s="4"/>
      <c r="GM465" s="4"/>
      <c r="GN465" s="4"/>
      <c r="GO465" s="4"/>
      <c r="GP465" s="4"/>
      <c r="GQ465" s="4"/>
      <c r="GR465" s="4"/>
      <c r="GS465" s="4"/>
      <c r="GT465" s="4"/>
      <c r="GU465" s="4"/>
      <c r="GV465" s="4"/>
      <c r="GW465" s="4"/>
      <c r="GX465" s="4"/>
      <c r="GY465" s="4"/>
      <c r="GZ465" s="4"/>
      <c r="HA465" s="4"/>
      <c r="HB465" s="4"/>
      <c r="HC465" s="4"/>
      <c r="HD465" s="4"/>
      <c r="HE465" s="4"/>
      <c r="HF465" s="4"/>
      <c r="HG465" s="4"/>
      <c r="HH465" s="4"/>
      <c r="HI465" s="4"/>
      <c r="HJ465" s="4"/>
    </row>
    <row r="466" spans="1:218" hidden="1">
      <c r="A466" t="s">
        <v>1853</v>
      </c>
      <c r="B466" t="s">
        <v>1854</v>
      </c>
      <c r="C466" t="s">
        <v>1055</v>
      </c>
      <c r="D466" t="s">
        <v>1855</v>
      </c>
      <c r="E466" t="s">
        <v>1856</v>
      </c>
      <c r="F466" s="3">
        <v>1</v>
      </c>
      <c r="G466" s="12">
        <f t="shared" si="14"/>
        <v>5.72</v>
      </c>
      <c r="H466" s="12" t="e">
        <f t="shared" si="15"/>
        <v>#NUM!</v>
      </c>
      <c r="I466" s="3">
        <v>5.7249295999999994</v>
      </c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>
        <v>5.72</v>
      </c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  <c r="DQ466" s="4"/>
      <c r="DR466" s="4"/>
      <c r="DS466" s="4"/>
      <c r="DT466" s="4"/>
      <c r="DU466" s="4"/>
      <c r="DV466" s="4"/>
      <c r="DW466" s="4"/>
      <c r="DX466" s="4"/>
      <c r="DY466" s="4"/>
      <c r="DZ466" s="4"/>
      <c r="EA466" s="4"/>
      <c r="EB466" s="4"/>
      <c r="EC466" s="4"/>
      <c r="ED466" s="4"/>
      <c r="EE466" s="4"/>
      <c r="EF466" s="4"/>
      <c r="EG466" s="4"/>
      <c r="EH466" s="4"/>
      <c r="EI466" s="4"/>
      <c r="EJ466" s="4"/>
      <c r="EK466" s="4"/>
      <c r="EL466" s="4"/>
      <c r="EM466" s="4"/>
      <c r="EN466" s="4"/>
      <c r="EO466" s="4"/>
      <c r="EP466" s="4"/>
      <c r="EQ466" s="4"/>
      <c r="ER466" s="4"/>
      <c r="ES466" s="4"/>
      <c r="ET466" s="4"/>
      <c r="EU466" s="4"/>
      <c r="EV466" s="4"/>
      <c r="EW466" s="4"/>
      <c r="EX466" s="4"/>
      <c r="EY466" s="4"/>
      <c r="EZ466" s="4"/>
      <c r="FA466" s="4"/>
      <c r="FB466" s="4"/>
      <c r="FC466" s="4"/>
      <c r="FD466" s="4"/>
      <c r="FE466" s="4"/>
      <c r="FF466" s="4"/>
      <c r="FG466" s="4"/>
      <c r="FH466" s="4"/>
      <c r="FI466" s="4"/>
      <c r="FJ466" s="4"/>
      <c r="FK466" s="4"/>
      <c r="FL466" s="4"/>
      <c r="FM466" s="4"/>
      <c r="FN466" s="4"/>
      <c r="FO466" s="4"/>
      <c r="FP466" s="4"/>
      <c r="FQ466" s="4"/>
      <c r="FR466" s="4"/>
      <c r="FS466" s="4"/>
      <c r="FT466" s="4"/>
      <c r="FU466" s="4"/>
      <c r="FV466" s="4"/>
      <c r="FW466" s="4"/>
      <c r="FX466" s="4"/>
      <c r="FY466" s="4"/>
      <c r="FZ466" s="4"/>
      <c r="GA466" s="4"/>
      <c r="GB466" s="4"/>
      <c r="GC466" s="4"/>
      <c r="GD466" s="4"/>
      <c r="GE466" s="4"/>
      <c r="GF466" s="4"/>
      <c r="GG466" s="4"/>
      <c r="GH466" s="4"/>
      <c r="GI466" s="4"/>
      <c r="GJ466" s="4"/>
      <c r="GK466" s="4"/>
      <c r="GL466" s="4"/>
      <c r="GM466" s="4"/>
      <c r="GN466" s="4"/>
      <c r="GO466" s="4"/>
      <c r="GP466" s="4"/>
      <c r="GQ466" s="4"/>
      <c r="GR466" s="4"/>
      <c r="GS466" s="4"/>
      <c r="GT466" s="4"/>
      <c r="GU466" s="4"/>
      <c r="GV466" s="4"/>
      <c r="GW466" s="4"/>
      <c r="GX466" s="4"/>
      <c r="GY466" s="4"/>
      <c r="GZ466" s="4"/>
      <c r="HA466" s="4"/>
      <c r="HB466" s="4"/>
      <c r="HC466" s="4"/>
      <c r="HD466" s="4"/>
      <c r="HE466" s="4"/>
      <c r="HF466" s="4"/>
      <c r="HG466" s="4"/>
      <c r="HH466" s="4"/>
      <c r="HI466" s="4"/>
      <c r="HJ466" s="4"/>
    </row>
    <row r="467" spans="1:218" hidden="1">
      <c r="A467" t="s">
        <v>2147</v>
      </c>
      <c r="B467" t="s">
        <v>2148</v>
      </c>
      <c r="C467" t="s">
        <v>2149</v>
      </c>
      <c r="D467" t="s">
        <v>2150</v>
      </c>
      <c r="E467" t="s">
        <v>2151</v>
      </c>
      <c r="F467" s="3">
        <v>1</v>
      </c>
      <c r="G467" s="12">
        <f t="shared" si="14"/>
        <v>4.43</v>
      </c>
      <c r="H467" s="12" t="e">
        <f t="shared" si="15"/>
        <v>#NUM!</v>
      </c>
      <c r="I467" s="3">
        <v>4.4280200000000001</v>
      </c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  <c r="DQ467" s="4"/>
      <c r="DR467" s="4"/>
      <c r="DS467" s="4"/>
      <c r="DT467" s="4"/>
      <c r="DU467" s="4"/>
      <c r="DV467" s="4"/>
      <c r="DW467" s="4"/>
      <c r="DX467" s="4"/>
      <c r="DY467" s="4"/>
      <c r="DZ467" s="4"/>
      <c r="EA467" s="4"/>
      <c r="EB467" s="4"/>
      <c r="EC467" s="4"/>
      <c r="ED467" s="4"/>
      <c r="EE467" s="4"/>
      <c r="EF467" s="4"/>
      <c r="EG467" s="4"/>
      <c r="EH467" s="4"/>
      <c r="EI467" s="4"/>
      <c r="EJ467" s="4"/>
      <c r="EK467" s="4"/>
      <c r="EL467" s="4"/>
      <c r="EM467" s="4"/>
      <c r="EN467" s="4"/>
      <c r="EO467" s="4"/>
      <c r="EP467" s="4"/>
      <c r="EQ467" s="4"/>
      <c r="ER467" s="4"/>
      <c r="ES467" s="4"/>
      <c r="ET467" s="4"/>
      <c r="EU467" s="4"/>
      <c r="EV467" s="4"/>
      <c r="EW467" s="4"/>
      <c r="EX467" s="4"/>
      <c r="EY467" s="4"/>
      <c r="EZ467" s="4"/>
      <c r="FA467" s="4"/>
      <c r="FB467" s="4"/>
      <c r="FC467" s="4"/>
      <c r="FD467" s="4"/>
      <c r="FE467" s="4"/>
      <c r="FF467" s="4"/>
      <c r="FG467" s="4"/>
      <c r="FH467" s="4"/>
      <c r="FI467" s="4"/>
      <c r="FJ467" s="4"/>
      <c r="FK467" s="4"/>
      <c r="FL467" s="4"/>
      <c r="FM467" s="4"/>
      <c r="FN467" s="4"/>
      <c r="FO467" s="4"/>
      <c r="FP467" s="4"/>
      <c r="FQ467" s="4"/>
      <c r="FR467" s="4"/>
      <c r="FS467" s="4"/>
      <c r="FT467" s="4"/>
      <c r="FU467" s="4">
        <v>4.43</v>
      </c>
      <c r="FV467" s="4"/>
      <c r="FW467" s="4"/>
      <c r="FX467" s="4"/>
      <c r="FY467" s="4"/>
      <c r="FZ467" s="4"/>
      <c r="GA467" s="4"/>
      <c r="GB467" s="4"/>
      <c r="GC467" s="4"/>
      <c r="GD467" s="4"/>
      <c r="GE467" s="4"/>
      <c r="GF467" s="4"/>
      <c r="GG467" s="4"/>
      <c r="GH467" s="4"/>
      <c r="GI467" s="4"/>
      <c r="GJ467" s="4"/>
      <c r="GK467" s="4"/>
      <c r="GL467" s="4"/>
      <c r="GM467" s="4"/>
      <c r="GN467" s="4"/>
      <c r="GO467" s="4"/>
      <c r="GP467" s="4"/>
      <c r="GQ467" s="4"/>
      <c r="GR467" s="4"/>
      <c r="GS467" s="4"/>
      <c r="GT467" s="4"/>
      <c r="GU467" s="4"/>
      <c r="GV467" s="4"/>
      <c r="GW467" s="4"/>
      <c r="GX467" s="4"/>
      <c r="GY467" s="4"/>
      <c r="GZ467" s="4"/>
      <c r="HA467" s="4"/>
      <c r="HB467" s="4"/>
      <c r="HC467" s="4"/>
      <c r="HD467" s="4"/>
      <c r="HE467" s="4"/>
      <c r="HF467" s="4"/>
      <c r="HG467" s="4"/>
      <c r="HH467" s="4"/>
      <c r="HI467" s="4"/>
      <c r="HJ467" s="4"/>
    </row>
    <row r="468" spans="1:218" hidden="1">
      <c r="A468" t="s">
        <v>1875</v>
      </c>
      <c r="B468" t="s">
        <v>1876</v>
      </c>
      <c r="C468" t="s">
        <v>505</v>
      </c>
      <c r="D468" t="s">
        <v>1877</v>
      </c>
      <c r="E468" t="s">
        <v>1878</v>
      </c>
      <c r="F468" s="3">
        <v>1</v>
      </c>
      <c r="G468" s="12">
        <f t="shared" si="14"/>
        <v>5.53</v>
      </c>
      <c r="H468" s="12" t="e">
        <f t="shared" si="15"/>
        <v>#NUM!</v>
      </c>
      <c r="I468" s="3">
        <v>5.5322398000000002</v>
      </c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  <c r="DQ468" s="4"/>
      <c r="DR468" s="4"/>
      <c r="DS468" s="4"/>
      <c r="DT468" s="4"/>
      <c r="DU468" s="4"/>
      <c r="DV468" s="4"/>
      <c r="DW468" s="4"/>
      <c r="DX468" s="4"/>
      <c r="DY468" s="4"/>
      <c r="DZ468" s="4"/>
      <c r="EA468" s="4"/>
      <c r="EB468" s="4"/>
      <c r="EC468" s="4"/>
      <c r="ED468" s="4"/>
      <c r="EE468" s="4"/>
      <c r="EF468" s="4"/>
      <c r="EG468" s="4"/>
      <c r="EH468" s="4"/>
      <c r="EI468" s="4"/>
      <c r="EJ468" s="4"/>
      <c r="EK468" s="4"/>
      <c r="EL468" s="4"/>
      <c r="EM468" s="4"/>
      <c r="EN468" s="4"/>
      <c r="EO468" s="4"/>
      <c r="EP468" s="4"/>
      <c r="EQ468" s="4"/>
      <c r="ER468" s="4"/>
      <c r="ES468" s="4"/>
      <c r="ET468" s="4"/>
      <c r="EU468" s="4"/>
      <c r="EV468" s="4"/>
      <c r="EW468" s="4"/>
      <c r="EX468" s="4"/>
      <c r="EY468" s="4"/>
      <c r="EZ468" s="4"/>
      <c r="FA468" s="4"/>
      <c r="FB468" s="4"/>
      <c r="FC468" s="4"/>
      <c r="FD468" s="4"/>
      <c r="FE468" s="4"/>
      <c r="FF468" s="4"/>
      <c r="FG468" s="4"/>
      <c r="FH468" s="4"/>
      <c r="FI468" s="4">
        <v>5.53</v>
      </c>
      <c r="FJ468" s="4"/>
      <c r="FK468" s="4"/>
      <c r="FL468" s="4"/>
      <c r="FM468" s="4"/>
      <c r="FN468" s="4"/>
      <c r="FO468" s="4"/>
      <c r="FP468" s="4"/>
      <c r="FQ468" s="4"/>
      <c r="FR468" s="4"/>
      <c r="FS468" s="4"/>
      <c r="FT468" s="4"/>
      <c r="FU468" s="4"/>
      <c r="FV468" s="4"/>
      <c r="FW468" s="4"/>
      <c r="FX468" s="4"/>
      <c r="FY468" s="4"/>
      <c r="FZ468" s="4"/>
      <c r="GA468" s="4"/>
      <c r="GB468" s="4"/>
      <c r="GC468" s="4"/>
      <c r="GD468" s="4"/>
      <c r="GE468" s="4"/>
      <c r="GF468" s="4"/>
      <c r="GG468" s="4"/>
      <c r="GH468" s="4"/>
      <c r="GI468" s="4"/>
      <c r="GJ468" s="4"/>
      <c r="GK468" s="4"/>
      <c r="GL468" s="4"/>
      <c r="GM468" s="4"/>
      <c r="GN468" s="4"/>
      <c r="GO468" s="4"/>
      <c r="GP468" s="4"/>
      <c r="GQ468" s="4"/>
      <c r="GR468" s="4"/>
      <c r="GS468" s="4"/>
      <c r="GT468" s="4"/>
      <c r="GU468" s="4"/>
      <c r="GV468" s="4"/>
      <c r="GW468" s="4"/>
      <c r="GX468" s="4"/>
      <c r="GY468" s="4"/>
      <c r="GZ468" s="4"/>
      <c r="HA468" s="4"/>
      <c r="HB468" s="4"/>
      <c r="HC468" s="4"/>
      <c r="HD468" s="4"/>
      <c r="HE468" s="4"/>
      <c r="HF468" s="4"/>
      <c r="HG468" s="4"/>
      <c r="HH468" s="4"/>
      <c r="HI468" s="4"/>
      <c r="HJ468" s="4"/>
    </row>
    <row r="469" spans="1:218" hidden="1">
      <c r="A469" t="s">
        <v>2649</v>
      </c>
      <c r="B469" t="s">
        <v>2650</v>
      </c>
      <c r="C469" t="s">
        <v>845</v>
      </c>
      <c r="D469" t="s">
        <v>2651</v>
      </c>
      <c r="E469" t="s">
        <v>2652</v>
      </c>
      <c r="F469" s="3">
        <v>1</v>
      </c>
      <c r="G469" s="12">
        <f t="shared" si="14"/>
        <v>3.26</v>
      </c>
      <c r="H469" s="12" t="e">
        <f t="shared" si="15"/>
        <v>#NUM!</v>
      </c>
      <c r="I469" s="3">
        <v>3.2568899999999998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>
        <v>3.26</v>
      </c>
      <c r="DP469" s="4"/>
      <c r="DQ469" s="4"/>
      <c r="DR469" s="4"/>
      <c r="DS469" s="4"/>
      <c r="DT469" s="4"/>
      <c r="DU469" s="4"/>
      <c r="DV469" s="4"/>
      <c r="DW469" s="4"/>
      <c r="DX469" s="4"/>
      <c r="DY469" s="4"/>
      <c r="DZ469" s="4"/>
      <c r="EA469" s="4"/>
      <c r="EB469" s="4"/>
      <c r="EC469" s="4"/>
      <c r="ED469" s="4"/>
      <c r="EE469" s="4"/>
      <c r="EF469" s="4"/>
      <c r="EG469" s="4"/>
      <c r="EH469" s="4"/>
      <c r="EI469" s="4"/>
      <c r="EJ469" s="4"/>
      <c r="EK469" s="4"/>
      <c r="EL469" s="4"/>
      <c r="EM469" s="4"/>
      <c r="EN469" s="4"/>
      <c r="EO469" s="4"/>
      <c r="EP469" s="4"/>
      <c r="EQ469" s="4"/>
      <c r="ER469" s="4"/>
      <c r="ES469" s="4"/>
      <c r="ET469" s="4"/>
      <c r="EU469" s="4"/>
      <c r="EV469" s="4"/>
      <c r="EW469" s="4"/>
      <c r="EX469" s="4"/>
      <c r="EY469" s="4"/>
      <c r="EZ469" s="4"/>
      <c r="FA469" s="4"/>
      <c r="FB469" s="4"/>
      <c r="FC469" s="4"/>
      <c r="FD469" s="4"/>
      <c r="FE469" s="4"/>
      <c r="FF469" s="4"/>
      <c r="FG469" s="4"/>
      <c r="FH469" s="4"/>
      <c r="FI469" s="4"/>
      <c r="FJ469" s="4"/>
      <c r="FK469" s="4"/>
      <c r="FL469" s="4"/>
      <c r="FM469" s="4"/>
      <c r="FN469" s="4"/>
      <c r="FO469" s="4"/>
      <c r="FP469" s="4"/>
      <c r="FQ469" s="4"/>
      <c r="FR469" s="4"/>
      <c r="FS469" s="4"/>
      <c r="FT469" s="4"/>
      <c r="FU469" s="4"/>
      <c r="FV469" s="4"/>
      <c r="FW469" s="4"/>
      <c r="FX469" s="4"/>
      <c r="FY469" s="4"/>
      <c r="FZ469" s="4"/>
      <c r="GA469" s="4"/>
      <c r="GB469" s="4"/>
      <c r="GC469" s="4"/>
      <c r="GD469" s="4"/>
      <c r="GE469" s="4"/>
      <c r="GF469" s="4"/>
      <c r="GG469" s="4"/>
      <c r="GH469" s="4"/>
      <c r="GI469" s="4"/>
      <c r="GJ469" s="4"/>
      <c r="GK469" s="4"/>
      <c r="GL469" s="4"/>
      <c r="GM469" s="4"/>
      <c r="GN469" s="4"/>
      <c r="GO469" s="4"/>
      <c r="GP469" s="4"/>
      <c r="GQ469" s="4"/>
      <c r="GR469" s="4"/>
      <c r="GS469" s="4"/>
      <c r="GT469" s="4"/>
      <c r="GU469" s="4"/>
      <c r="GV469" s="4"/>
      <c r="GW469" s="4"/>
      <c r="GX469" s="4"/>
      <c r="GY469" s="4"/>
      <c r="GZ469" s="4"/>
      <c r="HA469" s="4"/>
      <c r="HB469" s="4"/>
      <c r="HC469" s="4"/>
      <c r="HD469" s="4"/>
      <c r="HE469" s="4"/>
      <c r="HF469" s="4"/>
      <c r="HG469" s="4"/>
      <c r="HH469" s="4"/>
      <c r="HI469" s="4"/>
      <c r="HJ469" s="4"/>
    </row>
    <row r="470" spans="1:218" hidden="1">
      <c r="A470" t="s">
        <v>2278</v>
      </c>
      <c r="B470" t="s">
        <v>2279</v>
      </c>
      <c r="C470" t="s">
        <v>443</v>
      </c>
      <c r="D470" t="s">
        <v>2280</v>
      </c>
      <c r="E470" t="s">
        <v>2281</v>
      </c>
      <c r="F470" s="3">
        <v>1</v>
      </c>
      <c r="G470" s="12">
        <f t="shared" si="14"/>
        <v>4.18</v>
      </c>
      <c r="H470" s="12" t="e">
        <f t="shared" si="15"/>
        <v>#NUM!</v>
      </c>
      <c r="I470" s="3">
        <v>4.1785700000000006</v>
      </c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>
        <v>4.18</v>
      </c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  <c r="DQ470" s="4"/>
      <c r="DR470" s="4"/>
      <c r="DS470" s="4"/>
      <c r="DT470" s="4"/>
      <c r="DU470" s="4"/>
      <c r="DV470" s="4"/>
      <c r="DW470" s="4"/>
      <c r="DX470" s="4"/>
      <c r="DY470" s="4"/>
      <c r="DZ470" s="4"/>
      <c r="EA470" s="4"/>
      <c r="EB470" s="4"/>
      <c r="EC470" s="4"/>
      <c r="ED470" s="4"/>
      <c r="EE470" s="4"/>
      <c r="EF470" s="4"/>
      <c r="EG470" s="4"/>
      <c r="EH470" s="4"/>
      <c r="EI470" s="4"/>
      <c r="EJ470" s="4"/>
      <c r="EK470" s="4"/>
      <c r="EL470" s="4"/>
      <c r="EM470" s="4"/>
      <c r="EN470" s="4"/>
      <c r="EO470" s="4"/>
      <c r="EP470" s="4"/>
      <c r="EQ470" s="4"/>
      <c r="ER470" s="4"/>
      <c r="ES470" s="4"/>
      <c r="ET470" s="4"/>
      <c r="EU470" s="4"/>
      <c r="EV470" s="4"/>
      <c r="EW470" s="4"/>
      <c r="EX470" s="4"/>
      <c r="EY470" s="4"/>
      <c r="EZ470" s="4"/>
      <c r="FA470" s="4"/>
      <c r="FB470" s="4"/>
      <c r="FC470" s="4"/>
      <c r="FD470" s="4"/>
      <c r="FE470" s="4"/>
      <c r="FF470" s="4"/>
      <c r="FG470" s="4"/>
      <c r="FH470" s="4"/>
      <c r="FI470" s="4"/>
      <c r="FJ470" s="4"/>
      <c r="FK470" s="4"/>
      <c r="FL470" s="4"/>
      <c r="FM470" s="4"/>
      <c r="FN470" s="4"/>
      <c r="FO470" s="4"/>
      <c r="FP470" s="4"/>
      <c r="FQ470" s="4"/>
      <c r="FR470" s="4"/>
      <c r="FS470" s="4"/>
      <c r="FT470" s="4"/>
      <c r="FU470" s="4"/>
      <c r="FV470" s="4"/>
      <c r="FW470" s="4"/>
      <c r="FX470" s="4"/>
      <c r="FY470" s="4"/>
      <c r="FZ470" s="4"/>
      <c r="GA470" s="4"/>
      <c r="GB470" s="4"/>
      <c r="GC470" s="4"/>
      <c r="GD470" s="4"/>
      <c r="GE470" s="4"/>
      <c r="GF470" s="4"/>
      <c r="GG470" s="4"/>
      <c r="GH470" s="4"/>
      <c r="GI470" s="4"/>
      <c r="GJ470" s="4"/>
      <c r="GK470" s="4"/>
      <c r="GL470" s="4"/>
      <c r="GM470" s="4"/>
      <c r="GN470" s="4"/>
      <c r="GO470" s="4"/>
      <c r="GP470" s="4"/>
      <c r="GQ470" s="4"/>
      <c r="GR470" s="4"/>
      <c r="GS470" s="4"/>
      <c r="GT470" s="4"/>
      <c r="GU470" s="4"/>
      <c r="GV470" s="4"/>
      <c r="GW470" s="4"/>
      <c r="GX470" s="4"/>
      <c r="GY470" s="4"/>
      <c r="GZ470" s="4"/>
      <c r="HA470" s="4"/>
      <c r="HB470" s="4"/>
      <c r="HC470" s="4"/>
      <c r="HD470" s="4"/>
      <c r="HE470" s="4"/>
      <c r="HF470" s="4"/>
      <c r="HG470" s="4"/>
      <c r="HH470" s="4"/>
      <c r="HI470" s="4"/>
      <c r="HJ470" s="4"/>
    </row>
    <row r="471" spans="1:218" hidden="1">
      <c r="A471" t="s">
        <v>2127</v>
      </c>
      <c r="B471" t="s">
        <v>2128</v>
      </c>
      <c r="C471" t="s">
        <v>443</v>
      </c>
      <c r="D471" t="s">
        <v>2129</v>
      </c>
      <c r="E471" t="s">
        <v>2130</v>
      </c>
      <c r="F471" s="3">
        <v>1</v>
      </c>
      <c r="G471" s="12">
        <f t="shared" si="14"/>
        <v>4.46</v>
      </c>
      <c r="H471" s="12" t="e">
        <f t="shared" si="15"/>
        <v>#NUM!</v>
      </c>
      <c r="I471" s="3">
        <v>4.4643100000000002</v>
      </c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>
        <v>4.46</v>
      </c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  <c r="DQ471" s="4"/>
      <c r="DR471" s="4"/>
      <c r="DS471" s="4"/>
      <c r="DT471" s="4"/>
      <c r="DU471" s="4"/>
      <c r="DV471" s="4"/>
      <c r="DW471" s="4"/>
      <c r="DX471" s="4"/>
      <c r="DY471" s="4"/>
      <c r="DZ471" s="4"/>
      <c r="EA471" s="4"/>
      <c r="EB471" s="4"/>
      <c r="EC471" s="4"/>
      <c r="ED471" s="4"/>
      <c r="EE471" s="4"/>
      <c r="EF471" s="4"/>
      <c r="EG471" s="4"/>
      <c r="EH471" s="4"/>
      <c r="EI471" s="4"/>
      <c r="EJ471" s="4"/>
      <c r="EK471" s="4"/>
      <c r="EL471" s="4"/>
      <c r="EM471" s="4"/>
      <c r="EN471" s="4"/>
      <c r="EO471" s="4"/>
      <c r="EP471" s="4"/>
      <c r="EQ471" s="4"/>
      <c r="ER471" s="4"/>
      <c r="ES471" s="4"/>
      <c r="ET471" s="4"/>
      <c r="EU471" s="4"/>
      <c r="EV471" s="4"/>
      <c r="EW471" s="4"/>
      <c r="EX471" s="4"/>
      <c r="EY471" s="4"/>
      <c r="EZ471" s="4"/>
      <c r="FA471" s="4"/>
      <c r="FB471" s="4"/>
      <c r="FC471" s="4"/>
      <c r="FD471" s="4"/>
      <c r="FE471" s="4"/>
      <c r="FF471" s="4"/>
      <c r="FG471" s="4"/>
      <c r="FH471" s="4"/>
      <c r="FI471" s="4"/>
      <c r="FJ471" s="4"/>
      <c r="FK471" s="4"/>
      <c r="FL471" s="4"/>
      <c r="FM471" s="4"/>
      <c r="FN471" s="4"/>
      <c r="FO471" s="4"/>
      <c r="FP471" s="4"/>
      <c r="FQ471" s="4"/>
      <c r="FR471" s="4"/>
      <c r="FS471" s="4"/>
      <c r="FT471" s="4"/>
      <c r="FU471" s="4"/>
      <c r="FV471" s="4"/>
      <c r="FW471" s="4"/>
      <c r="FX471" s="4"/>
      <c r="FY471" s="4"/>
      <c r="FZ471" s="4"/>
      <c r="GA471" s="4"/>
      <c r="GB471" s="4"/>
      <c r="GC471" s="4"/>
      <c r="GD471" s="4"/>
      <c r="GE471" s="4"/>
      <c r="GF471" s="4"/>
      <c r="GG471" s="4"/>
      <c r="GH471" s="4"/>
      <c r="GI471" s="4"/>
      <c r="GJ471" s="4"/>
      <c r="GK471" s="4"/>
      <c r="GL471" s="4"/>
      <c r="GM471" s="4"/>
      <c r="GN471" s="4"/>
      <c r="GO471" s="4"/>
      <c r="GP471" s="4"/>
      <c r="GQ471" s="4"/>
      <c r="GR471" s="4"/>
      <c r="GS471" s="4"/>
      <c r="GT471" s="4"/>
      <c r="GU471" s="4"/>
      <c r="GV471" s="4"/>
      <c r="GW471" s="4"/>
      <c r="GX471" s="4"/>
      <c r="GY471" s="4"/>
      <c r="GZ471" s="4"/>
      <c r="HA471" s="4"/>
      <c r="HB471" s="4"/>
      <c r="HC471" s="4"/>
      <c r="HD471" s="4"/>
      <c r="HE471" s="4"/>
      <c r="HF471" s="4"/>
      <c r="HG471" s="4"/>
      <c r="HH471" s="4"/>
      <c r="HI471" s="4"/>
      <c r="HJ471" s="4"/>
    </row>
    <row r="472" spans="1:218" hidden="1">
      <c r="A472" t="s">
        <v>2262</v>
      </c>
      <c r="B472" t="s">
        <v>2263</v>
      </c>
      <c r="C472" t="s">
        <v>505</v>
      </c>
      <c r="D472" t="s">
        <v>2264</v>
      </c>
      <c r="E472" t="s">
        <v>2265</v>
      </c>
      <c r="F472" s="3">
        <v>1</v>
      </c>
      <c r="G472" s="12">
        <f t="shared" si="14"/>
        <v>4.2</v>
      </c>
      <c r="H472" s="12" t="e">
        <f t="shared" si="15"/>
        <v>#NUM!</v>
      </c>
      <c r="I472" s="3">
        <v>4.1992799999999999</v>
      </c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>
        <v>4.2</v>
      </c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  <c r="DQ472" s="4"/>
      <c r="DR472" s="4"/>
      <c r="DS472" s="4"/>
      <c r="DT472" s="4"/>
      <c r="DU472" s="4"/>
      <c r="DV472" s="4"/>
      <c r="DW472" s="4"/>
      <c r="DX472" s="4"/>
      <c r="DY472" s="4"/>
      <c r="DZ472" s="4"/>
      <c r="EA472" s="4"/>
      <c r="EB472" s="4"/>
      <c r="EC472" s="4"/>
      <c r="ED472" s="4"/>
      <c r="EE472" s="4"/>
      <c r="EF472" s="4"/>
      <c r="EG472" s="4"/>
      <c r="EH472" s="4"/>
      <c r="EI472" s="4"/>
      <c r="EJ472" s="4"/>
      <c r="EK472" s="4"/>
      <c r="EL472" s="4"/>
      <c r="EM472" s="4"/>
      <c r="EN472" s="4"/>
      <c r="EO472" s="4"/>
      <c r="EP472" s="4"/>
      <c r="EQ472" s="4"/>
      <c r="ER472" s="4"/>
      <c r="ES472" s="4"/>
      <c r="ET472" s="4"/>
      <c r="EU472" s="4"/>
      <c r="EV472" s="4"/>
      <c r="EW472" s="4"/>
      <c r="EX472" s="4"/>
      <c r="EY472" s="4"/>
      <c r="EZ472" s="4"/>
      <c r="FA472" s="4"/>
      <c r="FB472" s="4"/>
      <c r="FC472" s="4"/>
      <c r="FD472" s="4"/>
      <c r="FE472" s="4"/>
      <c r="FF472" s="4"/>
      <c r="FG472" s="4"/>
      <c r="FH472" s="4"/>
      <c r="FI472" s="4"/>
      <c r="FJ472" s="4"/>
      <c r="FK472" s="4"/>
      <c r="FL472" s="4"/>
      <c r="FM472" s="4"/>
      <c r="FN472" s="4"/>
      <c r="FO472" s="4"/>
      <c r="FP472" s="4"/>
      <c r="FQ472" s="4"/>
      <c r="FR472" s="4"/>
      <c r="FS472" s="4"/>
      <c r="FT472" s="4"/>
      <c r="FU472" s="4"/>
      <c r="FV472" s="4"/>
      <c r="FW472" s="4"/>
      <c r="FX472" s="4"/>
      <c r="FY472" s="4"/>
      <c r="FZ472" s="4"/>
      <c r="GA472" s="4"/>
      <c r="GB472" s="4"/>
      <c r="GC472" s="4"/>
      <c r="GD472" s="4"/>
      <c r="GE472" s="4"/>
      <c r="GF472" s="4"/>
      <c r="GG472" s="4"/>
      <c r="GH472" s="4"/>
      <c r="GI472" s="4"/>
      <c r="GJ472" s="4"/>
      <c r="GK472" s="4"/>
      <c r="GL472" s="4"/>
      <c r="GM472" s="4"/>
      <c r="GN472" s="4"/>
      <c r="GO472" s="4"/>
      <c r="GP472" s="4"/>
      <c r="GQ472" s="4"/>
      <c r="GR472" s="4"/>
      <c r="GS472" s="4"/>
      <c r="GT472" s="4"/>
      <c r="GU472" s="4"/>
      <c r="GV472" s="4"/>
      <c r="GW472" s="4"/>
      <c r="GX472" s="4"/>
      <c r="GY472" s="4"/>
      <c r="GZ472" s="4"/>
      <c r="HA472" s="4"/>
      <c r="HB472" s="4"/>
      <c r="HC472" s="4"/>
      <c r="HD472" s="4"/>
      <c r="HE472" s="4"/>
      <c r="HF472" s="4"/>
      <c r="HG472" s="4"/>
      <c r="HH472" s="4"/>
      <c r="HI472" s="4"/>
      <c r="HJ472" s="4"/>
    </row>
    <row r="473" spans="1:218" hidden="1">
      <c r="A473" t="s">
        <v>2931</v>
      </c>
      <c r="B473" t="s">
        <v>2932</v>
      </c>
      <c r="C473" t="s">
        <v>2933</v>
      </c>
      <c r="D473" t="s">
        <v>2934</v>
      </c>
      <c r="E473" t="s">
        <v>2935</v>
      </c>
      <c r="F473" s="3">
        <v>1</v>
      </c>
      <c r="G473" s="12">
        <f t="shared" si="14"/>
        <v>2.3199999999999998</v>
      </c>
      <c r="H473" s="12" t="e">
        <f t="shared" si="15"/>
        <v>#NUM!</v>
      </c>
      <c r="I473" s="3">
        <v>2.3151899999999999</v>
      </c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  <c r="DQ473" s="4"/>
      <c r="DR473" s="4"/>
      <c r="DS473" s="4"/>
      <c r="DT473" s="4"/>
      <c r="DU473" s="4"/>
      <c r="DV473" s="4"/>
      <c r="DW473" s="4"/>
      <c r="DX473" s="4"/>
      <c r="DY473" s="4"/>
      <c r="DZ473" s="4"/>
      <c r="EA473" s="4">
        <v>2.3199999999999998</v>
      </c>
      <c r="EB473" s="4"/>
      <c r="EC473" s="4"/>
      <c r="ED473" s="4"/>
      <c r="EE473" s="4"/>
      <c r="EF473" s="4"/>
      <c r="EG473" s="4"/>
      <c r="EH473" s="4"/>
      <c r="EI473" s="4"/>
      <c r="EJ473" s="4"/>
      <c r="EK473" s="4"/>
      <c r="EL473" s="4"/>
      <c r="EM473" s="4"/>
      <c r="EN473" s="4"/>
      <c r="EO473" s="4"/>
      <c r="EP473" s="4"/>
      <c r="EQ473" s="4"/>
      <c r="ER473" s="4"/>
      <c r="ES473" s="4"/>
      <c r="ET473" s="4"/>
      <c r="EU473" s="4"/>
      <c r="EV473" s="4"/>
      <c r="EW473" s="4"/>
      <c r="EX473" s="4"/>
      <c r="EY473" s="4"/>
      <c r="EZ473" s="4"/>
      <c r="FA473" s="4"/>
      <c r="FB473" s="4"/>
      <c r="FC473" s="4"/>
      <c r="FD473" s="4"/>
      <c r="FE473" s="4"/>
      <c r="FF473" s="4"/>
      <c r="FG473" s="4"/>
      <c r="FH473" s="4"/>
      <c r="FI473" s="4"/>
      <c r="FJ473" s="4"/>
      <c r="FK473" s="4"/>
      <c r="FL473" s="4"/>
      <c r="FM473" s="4"/>
      <c r="FN473" s="4"/>
      <c r="FO473" s="4"/>
      <c r="FP473" s="4"/>
      <c r="FQ473" s="4"/>
      <c r="FR473" s="4"/>
      <c r="FS473" s="4"/>
      <c r="FT473" s="4"/>
      <c r="FU473" s="4"/>
      <c r="FV473" s="4"/>
      <c r="FW473" s="4"/>
      <c r="FX473" s="4"/>
      <c r="FY473" s="4"/>
      <c r="FZ473" s="4"/>
      <c r="GA473" s="4"/>
      <c r="GB473" s="4"/>
      <c r="GC473" s="4"/>
      <c r="GD473" s="4"/>
      <c r="GE473" s="4"/>
      <c r="GF473" s="4"/>
      <c r="GG473" s="4"/>
      <c r="GH473" s="4"/>
      <c r="GI473" s="4"/>
      <c r="GJ473" s="4"/>
      <c r="GK473" s="4"/>
      <c r="GL473" s="4"/>
      <c r="GM473" s="4"/>
      <c r="GN473" s="4"/>
      <c r="GO473" s="4"/>
      <c r="GP473" s="4"/>
      <c r="GQ473" s="4"/>
      <c r="GR473" s="4"/>
      <c r="GS473" s="4"/>
      <c r="GT473" s="4"/>
      <c r="GU473" s="4"/>
      <c r="GV473" s="4"/>
      <c r="GW473" s="4"/>
      <c r="GX473" s="4"/>
      <c r="GY473" s="4"/>
      <c r="GZ473" s="4"/>
      <c r="HA473" s="4"/>
      <c r="HB473" s="4"/>
      <c r="HC473" s="4"/>
      <c r="HD473" s="4"/>
      <c r="HE473" s="4"/>
      <c r="HF473" s="4"/>
      <c r="HG473" s="4"/>
      <c r="HH473" s="4"/>
      <c r="HI473" s="4"/>
      <c r="HJ473" s="4"/>
    </row>
    <row r="474" spans="1:218" hidden="1">
      <c r="A474" t="s">
        <v>3063</v>
      </c>
      <c r="B474" t="s">
        <v>3064</v>
      </c>
      <c r="C474" t="s">
        <v>505</v>
      </c>
      <c r="D474" t="s">
        <v>3065</v>
      </c>
      <c r="E474" t="s">
        <v>3066</v>
      </c>
      <c r="F474" s="3">
        <v>1</v>
      </c>
      <c r="G474" s="12">
        <f t="shared" si="14"/>
        <v>1.88</v>
      </c>
      <c r="H474" s="12" t="e">
        <f t="shared" si="15"/>
        <v>#NUM!</v>
      </c>
      <c r="I474" s="3">
        <v>1.88032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>
        <v>1.88</v>
      </c>
      <c r="DH474" s="4"/>
      <c r="DI474" s="4"/>
      <c r="DJ474" s="4"/>
      <c r="DK474" s="4"/>
      <c r="DL474" s="4"/>
      <c r="DM474" s="4"/>
      <c r="DN474" s="4"/>
      <c r="DO474" s="4"/>
      <c r="DP474" s="4"/>
      <c r="DQ474" s="4"/>
      <c r="DR474" s="4"/>
      <c r="DS474" s="4"/>
      <c r="DT474" s="4"/>
      <c r="DU474" s="4"/>
      <c r="DV474" s="4"/>
      <c r="DW474" s="4"/>
      <c r="DX474" s="4"/>
      <c r="DY474" s="4"/>
      <c r="DZ474" s="4"/>
      <c r="EA474" s="4"/>
      <c r="EB474" s="4"/>
      <c r="EC474" s="4"/>
      <c r="ED474" s="4"/>
      <c r="EE474" s="4"/>
      <c r="EF474" s="4"/>
      <c r="EG474" s="4"/>
      <c r="EH474" s="4"/>
      <c r="EI474" s="4"/>
      <c r="EJ474" s="4"/>
      <c r="EK474" s="4"/>
      <c r="EL474" s="4"/>
      <c r="EM474" s="4"/>
      <c r="EN474" s="4"/>
      <c r="EO474" s="4"/>
      <c r="EP474" s="4"/>
      <c r="EQ474" s="4"/>
      <c r="ER474" s="4"/>
      <c r="ES474" s="4"/>
      <c r="ET474" s="4"/>
      <c r="EU474" s="4"/>
      <c r="EV474" s="4"/>
      <c r="EW474" s="4"/>
      <c r="EX474" s="4"/>
      <c r="EY474" s="4"/>
      <c r="EZ474" s="4"/>
      <c r="FA474" s="4"/>
      <c r="FB474" s="4"/>
      <c r="FC474" s="4"/>
      <c r="FD474" s="4"/>
      <c r="FE474" s="4"/>
      <c r="FF474" s="4"/>
      <c r="FG474" s="4"/>
      <c r="FH474" s="4"/>
      <c r="FI474" s="4"/>
      <c r="FJ474" s="4"/>
      <c r="FK474" s="4"/>
      <c r="FL474" s="4"/>
      <c r="FM474" s="4"/>
      <c r="FN474" s="4"/>
      <c r="FO474" s="4"/>
      <c r="FP474" s="4"/>
      <c r="FQ474" s="4"/>
      <c r="FR474" s="4"/>
      <c r="FS474" s="4"/>
      <c r="FT474" s="4"/>
      <c r="FU474" s="4"/>
      <c r="FV474" s="4"/>
      <c r="FW474" s="4"/>
      <c r="FX474" s="4"/>
      <c r="FY474" s="4"/>
      <c r="FZ474" s="4"/>
      <c r="GA474" s="4"/>
      <c r="GB474" s="4"/>
      <c r="GC474" s="4"/>
      <c r="GD474" s="4"/>
      <c r="GE474" s="4"/>
      <c r="GF474" s="4"/>
      <c r="GG474" s="4"/>
      <c r="GH474" s="4"/>
      <c r="GI474" s="4"/>
      <c r="GJ474" s="4"/>
      <c r="GK474" s="4"/>
      <c r="GL474" s="4"/>
      <c r="GM474" s="4"/>
      <c r="GN474" s="4"/>
      <c r="GO474" s="4"/>
      <c r="GP474" s="4"/>
      <c r="GQ474" s="4"/>
      <c r="GR474" s="4"/>
      <c r="GS474" s="4"/>
      <c r="GT474" s="4"/>
      <c r="GU474" s="4"/>
      <c r="GV474" s="4"/>
      <c r="GW474" s="4"/>
      <c r="GX474" s="4"/>
      <c r="GY474" s="4"/>
      <c r="GZ474" s="4"/>
      <c r="HA474" s="4"/>
      <c r="HB474" s="4"/>
      <c r="HC474" s="4"/>
      <c r="HD474" s="4"/>
      <c r="HE474" s="4"/>
      <c r="HF474" s="4"/>
      <c r="HG474" s="4"/>
      <c r="HH474" s="4"/>
      <c r="HI474" s="4"/>
      <c r="HJ474" s="4"/>
    </row>
    <row r="475" spans="1:218" hidden="1">
      <c r="A475" t="s">
        <v>2864</v>
      </c>
      <c r="B475" t="s">
        <v>2865</v>
      </c>
      <c r="C475" t="s">
        <v>585</v>
      </c>
      <c r="D475" t="s">
        <v>2866</v>
      </c>
      <c r="E475" t="s">
        <v>2867</v>
      </c>
      <c r="F475" s="3">
        <v>1</v>
      </c>
      <c r="G475" s="12">
        <f t="shared" si="14"/>
        <v>2.57</v>
      </c>
      <c r="H475" s="12" t="e">
        <f t="shared" si="15"/>
        <v>#NUM!</v>
      </c>
      <c r="I475" s="3">
        <v>2.5740199000000001</v>
      </c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  <c r="DQ475" s="4"/>
      <c r="DR475" s="4"/>
      <c r="DS475" s="4"/>
      <c r="DT475" s="4"/>
      <c r="DU475" s="4"/>
      <c r="DV475" s="4"/>
      <c r="DW475" s="4"/>
      <c r="DX475" s="4"/>
      <c r="DY475" s="4"/>
      <c r="DZ475" s="4"/>
      <c r="EA475" s="4"/>
      <c r="EB475" s="4"/>
      <c r="EC475" s="4"/>
      <c r="ED475" s="4"/>
      <c r="EE475" s="4"/>
      <c r="EF475" s="4"/>
      <c r="EG475" s="4"/>
      <c r="EH475" s="4"/>
      <c r="EI475" s="4"/>
      <c r="EJ475" s="4"/>
      <c r="EK475" s="4"/>
      <c r="EL475" s="4"/>
      <c r="EM475" s="4"/>
      <c r="EN475" s="4"/>
      <c r="EO475" s="4"/>
      <c r="EP475" s="4"/>
      <c r="EQ475" s="4"/>
      <c r="ER475" s="4"/>
      <c r="ES475" s="4"/>
      <c r="ET475" s="4"/>
      <c r="EU475" s="4"/>
      <c r="EV475" s="4"/>
      <c r="EW475" s="4"/>
      <c r="EX475" s="4"/>
      <c r="EY475" s="4"/>
      <c r="EZ475" s="4"/>
      <c r="FA475" s="4"/>
      <c r="FB475" s="4"/>
      <c r="FC475" s="4"/>
      <c r="FD475" s="4"/>
      <c r="FE475" s="4"/>
      <c r="FF475" s="4"/>
      <c r="FG475" s="4"/>
      <c r="FH475" s="4"/>
      <c r="FI475" s="4"/>
      <c r="FJ475" s="4"/>
      <c r="FK475" s="4"/>
      <c r="FL475" s="4"/>
      <c r="FM475" s="4"/>
      <c r="FN475" s="4"/>
      <c r="FO475" s="4"/>
      <c r="FP475" s="4"/>
      <c r="FQ475" s="4"/>
      <c r="FR475" s="4"/>
      <c r="FS475" s="4"/>
      <c r="FT475" s="4"/>
      <c r="FU475" s="4"/>
      <c r="FV475" s="4"/>
      <c r="FW475" s="4"/>
      <c r="FX475" s="4"/>
      <c r="FY475" s="4"/>
      <c r="FZ475" s="4"/>
      <c r="GA475" s="4"/>
      <c r="GB475" s="4"/>
      <c r="GC475" s="4"/>
      <c r="GD475" s="4">
        <v>2.57</v>
      </c>
      <c r="GE475" s="4"/>
      <c r="GF475" s="4"/>
      <c r="GG475" s="4"/>
      <c r="GH475" s="4"/>
      <c r="GI475" s="4"/>
      <c r="GJ475" s="4"/>
      <c r="GK475" s="4"/>
      <c r="GL475" s="4"/>
      <c r="GM475" s="4"/>
      <c r="GN475" s="4"/>
      <c r="GO475" s="4"/>
      <c r="GP475" s="4"/>
      <c r="GQ475" s="4"/>
      <c r="GR475" s="4"/>
      <c r="GS475" s="4"/>
      <c r="GT475" s="4"/>
      <c r="GU475" s="4"/>
      <c r="GV475" s="4"/>
      <c r="GW475" s="4"/>
      <c r="GX475" s="4"/>
      <c r="GY475" s="4"/>
      <c r="GZ475" s="4"/>
      <c r="HA475" s="4"/>
      <c r="HB475" s="4"/>
      <c r="HC475" s="4"/>
      <c r="HD475" s="4"/>
      <c r="HE475" s="4"/>
      <c r="HF475" s="4"/>
      <c r="HG475" s="4"/>
      <c r="HH475" s="4"/>
      <c r="HI475" s="4"/>
      <c r="HJ475" s="4"/>
    </row>
    <row r="476" spans="1:218" hidden="1">
      <c r="A476" t="s">
        <v>3143</v>
      </c>
      <c r="B476" t="s">
        <v>130</v>
      </c>
      <c r="C476" t="s">
        <v>1659</v>
      </c>
      <c r="D476" t="s">
        <v>490</v>
      </c>
      <c r="E476" t="s">
        <v>3144</v>
      </c>
      <c r="F476" s="3">
        <v>1</v>
      </c>
      <c r="G476" s="12">
        <f t="shared" si="14"/>
        <v>1.01</v>
      </c>
      <c r="H476" s="12" t="e">
        <f t="shared" si="15"/>
        <v>#NUM!</v>
      </c>
      <c r="I476" s="3">
        <v>1.0052319999999999</v>
      </c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  <c r="DQ476" s="4"/>
      <c r="DR476" s="4"/>
      <c r="DS476" s="4"/>
      <c r="DT476" s="4"/>
      <c r="DU476" s="4"/>
      <c r="DV476" s="4"/>
      <c r="DW476" s="4"/>
      <c r="DX476" s="4"/>
      <c r="DY476" s="4">
        <v>1.01</v>
      </c>
      <c r="DZ476" s="4"/>
      <c r="EA476" s="4"/>
      <c r="EB476" s="4"/>
      <c r="EC476" s="4"/>
      <c r="ED476" s="4"/>
      <c r="EE476" s="4"/>
      <c r="EF476" s="4"/>
      <c r="EG476" s="4"/>
      <c r="EH476" s="4"/>
      <c r="EI476" s="4"/>
      <c r="EJ476" s="4"/>
      <c r="EK476" s="4"/>
      <c r="EL476" s="4"/>
      <c r="EM476" s="4"/>
      <c r="EN476" s="4"/>
      <c r="EO476" s="4"/>
      <c r="EP476" s="4"/>
      <c r="EQ476" s="4"/>
      <c r="ER476" s="4"/>
      <c r="ES476" s="4"/>
      <c r="ET476" s="4"/>
      <c r="EU476" s="4"/>
      <c r="EV476" s="4"/>
      <c r="EW476" s="4"/>
      <c r="EX476" s="4"/>
      <c r="EY476" s="4"/>
      <c r="EZ476" s="4"/>
      <c r="FA476" s="4"/>
      <c r="FB476" s="4"/>
      <c r="FC476" s="4"/>
      <c r="FD476" s="4"/>
      <c r="FE476" s="4"/>
      <c r="FF476" s="4"/>
      <c r="FG476" s="4"/>
      <c r="FH476" s="4"/>
      <c r="FI476" s="4"/>
      <c r="FJ476" s="4"/>
      <c r="FK476" s="4"/>
      <c r="FL476" s="4"/>
      <c r="FM476" s="4"/>
      <c r="FN476" s="4"/>
      <c r="FO476" s="4"/>
      <c r="FP476" s="4"/>
      <c r="FQ476" s="4"/>
      <c r="FR476" s="4"/>
      <c r="FS476" s="4"/>
      <c r="FT476" s="4"/>
      <c r="FU476" s="4"/>
      <c r="FV476" s="4"/>
      <c r="FW476" s="4"/>
      <c r="FX476" s="4"/>
      <c r="FY476" s="4"/>
      <c r="FZ476" s="4"/>
      <c r="GA476" s="4"/>
      <c r="GB476" s="4"/>
      <c r="GC476" s="4"/>
      <c r="GD476" s="4"/>
      <c r="GE476" s="4"/>
      <c r="GF476" s="4"/>
      <c r="GG476" s="4"/>
      <c r="GH476" s="4"/>
      <c r="GI476" s="4"/>
      <c r="GJ476" s="4"/>
      <c r="GK476" s="4"/>
      <c r="GL476" s="4"/>
      <c r="GM476" s="4"/>
      <c r="GN476" s="4"/>
      <c r="GO476" s="4"/>
      <c r="GP476" s="4"/>
      <c r="GQ476" s="4"/>
      <c r="GR476" s="4"/>
      <c r="GS476" s="4"/>
      <c r="GT476" s="4"/>
      <c r="GU476" s="4"/>
      <c r="GV476" s="4"/>
      <c r="GW476" s="4"/>
      <c r="GX476" s="4"/>
      <c r="GY476" s="4"/>
      <c r="GZ476" s="4"/>
      <c r="HA476" s="4"/>
      <c r="HB476" s="4"/>
      <c r="HC476" s="4"/>
      <c r="HD476" s="4"/>
      <c r="HE476" s="4"/>
      <c r="HF476" s="4"/>
      <c r="HG476" s="4"/>
      <c r="HH476" s="4"/>
      <c r="HI476" s="4"/>
      <c r="HJ476" s="4"/>
    </row>
    <row r="477" spans="1:218" hidden="1">
      <c r="A477" t="s">
        <v>2634</v>
      </c>
      <c r="B477" t="s">
        <v>2635</v>
      </c>
      <c r="C477" t="s">
        <v>2636</v>
      </c>
      <c r="D477" t="s">
        <v>2637</v>
      </c>
      <c r="E477" t="s">
        <v>2638</v>
      </c>
      <c r="F477" s="3">
        <v>1</v>
      </c>
      <c r="G477" s="12">
        <f t="shared" si="14"/>
        <v>3.28</v>
      </c>
      <c r="H477" s="12" t="e">
        <f t="shared" si="15"/>
        <v>#NUM!</v>
      </c>
      <c r="I477" s="3">
        <v>3.27989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  <c r="DQ477" s="4"/>
      <c r="DR477" s="4"/>
      <c r="DS477" s="4">
        <v>3.28</v>
      </c>
      <c r="DT477" s="4"/>
      <c r="DU477" s="4"/>
      <c r="DV477" s="4"/>
      <c r="DW477" s="4"/>
      <c r="DX477" s="4"/>
      <c r="DY477" s="4"/>
      <c r="DZ477" s="4"/>
      <c r="EA477" s="4"/>
      <c r="EB477" s="4"/>
      <c r="EC477" s="4"/>
      <c r="ED477" s="4"/>
      <c r="EE477" s="4"/>
      <c r="EF477" s="4"/>
      <c r="EG477" s="4"/>
      <c r="EH477" s="4"/>
      <c r="EI477" s="4"/>
      <c r="EJ477" s="4"/>
      <c r="EK477" s="4"/>
      <c r="EL477" s="4"/>
      <c r="EM477" s="4"/>
      <c r="EN477" s="4"/>
      <c r="EO477" s="4"/>
      <c r="EP477" s="4"/>
      <c r="EQ477" s="4"/>
      <c r="ER477" s="4"/>
      <c r="ES477" s="4"/>
      <c r="ET477" s="4"/>
      <c r="EU477" s="4"/>
      <c r="EV477" s="4"/>
      <c r="EW477" s="4"/>
      <c r="EX477" s="4"/>
      <c r="EY477" s="4"/>
      <c r="EZ477" s="4"/>
      <c r="FA477" s="4"/>
      <c r="FB477" s="4"/>
      <c r="FC477" s="4"/>
      <c r="FD477" s="4"/>
      <c r="FE477" s="4"/>
      <c r="FF477" s="4"/>
      <c r="FG477" s="4"/>
      <c r="FH477" s="4"/>
      <c r="FI477" s="4"/>
      <c r="FJ477" s="4"/>
      <c r="FK477" s="4"/>
      <c r="FL477" s="4"/>
      <c r="FM477" s="4"/>
      <c r="FN477" s="4"/>
      <c r="FO477" s="4"/>
      <c r="FP477" s="4"/>
      <c r="FQ477" s="4"/>
      <c r="FR477" s="4"/>
      <c r="FS477" s="4"/>
      <c r="FT477" s="4"/>
      <c r="FU477" s="4"/>
      <c r="FV477" s="4"/>
      <c r="FW477" s="4"/>
      <c r="FX477" s="4"/>
      <c r="FY477" s="4"/>
      <c r="FZ477" s="4"/>
      <c r="GA477" s="4"/>
      <c r="GB477" s="4"/>
      <c r="GC477" s="4"/>
      <c r="GD477" s="4"/>
      <c r="GE477" s="4"/>
      <c r="GF477" s="4"/>
      <c r="GG477" s="4"/>
      <c r="GH477" s="4"/>
      <c r="GI477" s="4"/>
      <c r="GJ477" s="4"/>
      <c r="GK477" s="4"/>
      <c r="GL477" s="4"/>
      <c r="GM477" s="4"/>
      <c r="GN477" s="4"/>
      <c r="GO477" s="4"/>
      <c r="GP477" s="4"/>
      <c r="GQ477" s="4"/>
      <c r="GR477" s="4"/>
      <c r="GS477" s="4"/>
      <c r="GT477" s="4"/>
      <c r="GU477" s="4"/>
      <c r="GV477" s="4"/>
      <c r="GW477" s="4"/>
      <c r="GX477" s="4"/>
      <c r="GY477" s="4"/>
      <c r="GZ477" s="4"/>
      <c r="HA477" s="4"/>
      <c r="HB477" s="4"/>
      <c r="HC477" s="4"/>
      <c r="HD477" s="4"/>
      <c r="HE477" s="4"/>
      <c r="HF477" s="4"/>
      <c r="HG477" s="4"/>
      <c r="HH477" s="4"/>
      <c r="HI477" s="4"/>
      <c r="HJ477" s="4"/>
    </row>
    <row r="478" spans="1:218" hidden="1">
      <c r="A478" t="s">
        <v>1947</v>
      </c>
      <c r="B478" t="s">
        <v>1948</v>
      </c>
      <c r="C478" t="s">
        <v>1949</v>
      </c>
      <c r="D478" t="s">
        <v>1950</v>
      </c>
      <c r="E478" t="s">
        <v>1951</v>
      </c>
      <c r="F478" s="3">
        <v>1</v>
      </c>
      <c r="G478" s="12">
        <f t="shared" si="14"/>
        <v>4.97</v>
      </c>
      <c r="H478" s="12" t="e">
        <f t="shared" si="15"/>
        <v>#NUM!</v>
      </c>
      <c r="I478" s="3">
        <v>4.9677800000000003</v>
      </c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  <c r="DQ478" s="4"/>
      <c r="DR478" s="4"/>
      <c r="DS478" s="4"/>
      <c r="DT478" s="4"/>
      <c r="DU478" s="4"/>
      <c r="DV478" s="4"/>
      <c r="DW478" s="4"/>
      <c r="DX478" s="4"/>
      <c r="DY478" s="4"/>
      <c r="DZ478" s="4"/>
      <c r="EA478" s="4"/>
      <c r="EB478" s="4"/>
      <c r="EC478" s="4"/>
      <c r="ED478" s="4"/>
      <c r="EE478" s="4"/>
      <c r="EF478" s="4"/>
      <c r="EG478" s="4"/>
      <c r="EH478" s="4"/>
      <c r="EI478" s="4"/>
      <c r="EJ478" s="4"/>
      <c r="EK478" s="4"/>
      <c r="EL478" s="4"/>
      <c r="EM478" s="4"/>
      <c r="EN478" s="4"/>
      <c r="EO478" s="4"/>
      <c r="EP478" s="4"/>
      <c r="EQ478" s="4"/>
      <c r="ER478" s="4"/>
      <c r="ES478" s="4"/>
      <c r="ET478" s="4"/>
      <c r="EU478" s="4"/>
      <c r="EV478" s="4"/>
      <c r="EW478" s="4"/>
      <c r="EX478" s="4"/>
      <c r="EY478" s="4"/>
      <c r="EZ478" s="4"/>
      <c r="FA478" s="4"/>
      <c r="FB478" s="4"/>
      <c r="FC478" s="4"/>
      <c r="FD478" s="4"/>
      <c r="FE478" s="4"/>
      <c r="FF478" s="4"/>
      <c r="FG478" s="4"/>
      <c r="FH478" s="4"/>
      <c r="FI478" s="4"/>
      <c r="FJ478" s="4"/>
      <c r="FK478" s="4"/>
      <c r="FL478" s="4"/>
      <c r="FM478" s="4"/>
      <c r="FN478" s="4"/>
      <c r="FO478" s="4"/>
      <c r="FP478" s="4"/>
      <c r="FQ478" s="4"/>
      <c r="FR478" s="4"/>
      <c r="FS478" s="4"/>
      <c r="FT478" s="4"/>
      <c r="FU478" s="4"/>
      <c r="FV478" s="4"/>
      <c r="FW478" s="4"/>
      <c r="FX478" s="4"/>
      <c r="FY478" s="4"/>
      <c r="FZ478" s="4"/>
      <c r="GA478" s="4"/>
      <c r="GB478" s="4"/>
      <c r="GC478" s="4"/>
      <c r="GD478" s="4"/>
      <c r="GE478" s="4"/>
      <c r="GF478" s="4"/>
      <c r="GG478" s="4"/>
      <c r="GH478" s="4"/>
      <c r="GI478" s="4"/>
      <c r="GJ478" s="4"/>
      <c r="GK478" s="4"/>
      <c r="GL478" s="4"/>
      <c r="GM478" s="4"/>
      <c r="GN478" s="4"/>
      <c r="GO478" s="4"/>
      <c r="GP478" s="4"/>
      <c r="GQ478" s="4"/>
      <c r="GR478" s="4"/>
      <c r="GS478" s="4"/>
      <c r="GT478" s="4"/>
      <c r="GU478" s="4"/>
      <c r="GV478" s="4"/>
      <c r="GW478" s="4"/>
      <c r="GX478" s="4"/>
      <c r="GY478" s="4"/>
      <c r="GZ478" s="4">
        <v>4.97</v>
      </c>
      <c r="HA478" s="4"/>
      <c r="HB478" s="4"/>
      <c r="HC478" s="4"/>
      <c r="HD478" s="4"/>
      <c r="HE478" s="4"/>
      <c r="HF478" s="4"/>
      <c r="HG478" s="4"/>
      <c r="HH478" s="4"/>
      <c r="HI478" s="4"/>
      <c r="HJ478" s="4"/>
    </row>
    <row r="479" spans="1:218" hidden="1">
      <c r="A479" t="s">
        <v>2376</v>
      </c>
      <c r="B479" t="s">
        <v>2377</v>
      </c>
      <c r="C479" t="s">
        <v>2378</v>
      </c>
      <c r="D479" t="s">
        <v>2379</v>
      </c>
      <c r="E479" t="s">
        <v>1509</v>
      </c>
      <c r="F479" s="3">
        <v>1</v>
      </c>
      <c r="G479" s="12">
        <f t="shared" si="14"/>
        <v>3.97</v>
      </c>
      <c r="H479" s="12" t="e">
        <f t="shared" si="15"/>
        <v>#NUM!</v>
      </c>
      <c r="I479" s="3">
        <v>3.9659499999999999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>
        <v>3.97</v>
      </c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  <c r="DQ479" s="4"/>
      <c r="DR479" s="4"/>
      <c r="DS479" s="4"/>
      <c r="DT479" s="4"/>
      <c r="DU479" s="4"/>
      <c r="DV479" s="4"/>
      <c r="DW479" s="4"/>
      <c r="DX479" s="4"/>
      <c r="DY479" s="4"/>
      <c r="DZ479" s="4"/>
      <c r="EA479" s="4"/>
      <c r="EB479" s="4"/>
      <c r="EC479" s="4"/>
      <c r="ED479" s="4"/>
      <c r="EE479" s="4"/>
      <c r="EF479" s="4"/>
      <c r="EG479" s="4"/>
      <c r="EH479" s="4"/>
      <c r="EI479" s="4"/>
      <c r="EJ479" s="4"/>
      <c r="EK479" s="4"/>
      <c r="EL479" s="4"/>
      <c r="EM479" s="4"/>
      <c r="EN479" s="4"/>
      <c r="EO479" s="4"/>
      <c r="EP479" s="4"/>
      <c r="EQ479" s="4"/>
      <c r="ER479" s="4"/>
      <c r="ES479" s="4"/>
      <c r="ET479" s="4"/>
      <c r="EU479" s="4"/>
      <c r="EV479" s="4"/>
      <c r="EW479" s="4"/>
      <c r="EX479" s="4"/>
      <c r="EY479" s="4"/>
      <c r="EZ479" s="4"/>
      <c r="FA479" s="4"/>
      <c r="FB479" s="4"/>
      <c r="FC479" s="4"/>
      <c r="FD479" s="4"/>
      <c r="FE479" s="4"/>
      <c r="FF479" s="4"/>
      <c r="FG479" s="4"/>
      <c r="FH479" s="4"/>
      <c r="FI479" s="4"/>
      <c r="FJ479" s="4"/>
      <c r="FK479" s="4"/>
      <c r="FL479" s="4"/>
      <c r="FM479" s="4"/>
      <c r="FN479" s="4"/>
      <c r="FO479" s="4"/>
      <c r="FP479" s="4"/>
      <c r="FQ479" s="4"/>
      <c r="FR479" s="4"/>
      <c r="FS479" s="4"/>
      <c r="FT479" s="4"/>
      <c r="FU479" s="4"/>
      <c r="FV479" s="4"/>
      <c r="FW479" s="4"/>
      <c r="FX479" s="4"/>
      <c r="FY479" s="4"/>
      <c r="FZ479" s="4"/>
      <c r="GA479" s="4"/>
      <c r="GB479" s="4"/>
      <c r="GC479" s="4"/>
      <c r="GD479" s="4"/>
      <c r="GE479" s="4"/>
      <c r="GF479" s="4"/>
      <c r="GG479" s="4"/>
      <c r="GH479" s="4"/>
      <c r="GI479" s="4"/>
      <c r="GJ479" s="4"/>
      <c r="GK479" s="4"/>
      <c r="GL479" s="4"/>
      <c r="GM479" s="4"/>
      <c r="GN479" s="4"/>
      <c r="GO479" s="4"/>
      <c r="GP479" s="4"/>
      <c r="GQ479" s="4"/>
      <c r="GR479" s="4"/>
      <c r="GS479" s="4"/>
      <c r="GT479" s="4"/>
      <c r="GU479" s="4"/>
      <c r="GV479" s="4"/>
      <c r="GW479" s="4"/>
      <c r="GX479" s="4"/>
      <c r="GY479" s="4"/>
      <c r="GZ479" s="4"/>
      <c r="HA479" s="4"/>
      <c r="HB479" s="4"/>
      <c r="HC479" s="4"/>
      <c r="HD479" s="4"/>
      <c r="HE479" s="4"/>
      <c r="HF479" s="4"/>
      <c r="HG479" s="4"/>
      <c r="HH479" s="4"/>
      <c r="HI479" s="4"/>
      <c r="HJ479" s="4"/>
    </row>
    <row r="480" spans="1:218" hidden="1">
      <c r="A480" t="s">
        <v>2902</v>
      </c>
      <c r="B480" t="s">
        <v>2903</v>
      </c>
      <c r="C480" t="s">
        <v>443</v>
      </c>
      <c r="D480" t="s">
        <v>2904</v>
      </c>
      <c r="E480" t="s">
        <v>2905</v>
      </c>
      <c r="F480" s="3">
        <v>1</v>
      </c>
      <c r="G480" s="12">
        <f t="shared" si="14"/>
        <v>2.39</v>
      </c>
      <c r="H480" s="12" t="e">
        <f t="shared" si="15"/>
        <v>#NUM!</v>
      </c>
      <c r="I480" s="3">
        <v>2.3887401000000001</v>
      </c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>
        <v>2.39</v>
      </c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  <c r="DQ480" s="4"/>
      <c r="DR480" s="4"/>
      <c r="DS480" s="4"/>
      <c r="DT480" s="4"/>
      <c r="DU480" s="4"/>
      <c r="DV480" s="4"/>
      <c r="DW480" s="4"/>
      <c r="DX480" s="4"/>
      <c r="DY480" s="4"/>
      <c r="DZ480" s="4"/>
      <c r="EA480" s="4"/>
      <c r="EB480" s="4"/>
      <c r="EC480" s="4"/>
      <c r="ED480" s="4"/>
      <c r="EE480" s="4"/>
      <c r="EF480" s="4"/>
      <c r="EG480" s="4"/>
      <c r="EH480" s="4"/>
      <c r="EI480" s="4"/>
      <c r="EJ480" s="4"/>
      <c r="EK480" s="4"/>
      <c r="EL480" s="4"/>
      <c r="EM480" s="4"/>
      <c r="EN480" s="4"/>
      <c r="EO480" s="4"/>
      <c r="EP480" s="4"/>
      <c r="EQ480" s="4"/>
      <c r="ER480" s="4"/>
      <c r="ES480" s="4"/>
      <c r="ET480" s="4"/>
      <c r="EU480" s="4"/>
      <c r="EV480" s="4"/>
      <c r="EW480" s="4"/>
      <c r="EX480" s="4"/>
      <c r="EY480" s="4"/>
      <c r="EZ480" s="4"/>
      <c r="FA480" s="4"/>
      <c r="FB480" s="4"/>
      <c r="FC480" s="4"/>
      <c r="FD480" s="4"/>
      <c r="FE480" s="4"/>
      <c r="FF480" s="4"/>
      <c r="FG480" s="4"/>
      <c r="FH480" s="4"/>
      <c r="FI480" s="4"/>
      <c r="FJ480" s="4"/>
      <c r="FK480" s="4"/>
      <c r="FL480" s="4"/>
      <c r="FM480" s="4"/>
      <c r="FN480" s="4"/>
      <c r="FO480" s="4"/>
      <c r="FP480" s="4"/>
      <c r="FQ480" s="4"/>
      <c r="FR480" s="4"/>
      <c r="FS480" s="4"/>
      <c r="FT480" s="4"/>
      <c r="FU480" s="4"/>
      <c r="FV480" s="4"/>
      <c r="FW480" s="4"/>
      <c r="FX480" s="4"/>
      <c r="FY480" s="4"/>
      <c r="FZ480" s="4"/>
      <c r="GA480" s="4"/>
      <c r="GB480" s="4"/>
      <c r="GC480" s="4"/>
      <c r="GD480" s="4"/>
      <c r="GE480" s="4"/>
      <c r="GF480" s="4"/>
      <c r="GG480" s="4"/>
      <c r="GH480" s="4"/>
      <c r="GI480" s="4"/>
      <c r="GJ480" s="4"/>
      <c r="GK480" s="4"/>
      <c r="GL480" s="4"/>
      <c r="GM480" s="4"/>
      <c r="GN480" s="4"/>
      <c r="GO480" s="4"/>
      <c r="GP480" s="4"/>
      <c r="GQ480" s="4"/>
      <c r="GR480" s="4"/>
      <c r="GS480" s="4"/>
      <c r="GT480" s="4"/>
      <c r="GU480" s="4"/>
      <c r="GV480" s="4"/>
      <c r="GW480" s="4"/>
      <c r="GX480" s="4"/>
      <c r="GY480" s="4"/>
      <c r="GZ480" s="4"/>
      <c r="HA480" s="4"/>
      <c r="HB480" s="4"/>
      <c r="HC480" s="4"/>
      <c r="HD480" s="4"/>
      <c r="HE480" s="4"/>
      <c r="HF480" s="4"/>
      <c r="HG480" s="4"/>
      <c r="HH480" s="4"/>
      <c r="HI480" s="4"/>
      <c r="HJ480" s="4"/>
    </row>
    <row r="481" spans="1:218" hidden="1">
      <c r="A481" t="s">
        <v>3129</v>
      </c>
      <c r="B481" t="s">
        <v>3130</v>
      </c>
      <c r="C481" t="s">
        <v>505</v>
      </c>
      <c r="D481" t="s">
        <v>3131</v>
      </c>
      <c r="E481" t="s">
        <v>3132</v>
      </c>
      <c r="F481" s="3">
        <v>1</v>
      </c>
      <c r="G481" s="12">
        <f t="shared" si="14"/>
        <v>1.22</v>
      </c>
      <c r="H481" s="12" t="e">
        <f t="shared" si="15"/>
        <v>#NUM!</v>
      </c>
      <c r="I481" s="3">
        <v>1.2211501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>
        <v>1.22</v>
      </c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  <c r="DQ481" s="4"/>
      <c r="DR481" s="4"/>
      <c r="DS481" s="4"/>
      <c r="DT481" s="4"/>
      <c r="DU481" s="4"/>
      <c r="DV481" s="4"/>
      <c r="DW481" s="4"/>
      <c r="DX481" s="4"/>
      <c r="DY481" s="4"/>
      <c r="DZ481" s="4"/>
      <c r="EA481" s="4"/>
      <c r="EB481" s="4"/>
      <c r="EC481" s="4"/>
      <c r="ED481" s="4"/>
      <c r="EE481" s="4"/>
      <c r="EF481" s="4"/>
      <c r="EG481" s="4"/>
      <c r="EH481" s="4"/>
      <c r="EI481" s="4"/>
      <c r="EJ481" s="4"/>
      <c r="EK481" s="4"/>
      <c r="EL481" s="4"/>
      <c r="EM481" s="4"/>
      <c r="EN481" s="4"/>
      <c r="EO481" s="4"/>
      <c r="EP481" s="4"/>
      <c r="EQ481" s="4"/>
      <c r="ER481" s="4"/>
      <c r="ES481" s="4"/>
      <c r="ET481" s="4"/>
      <c r="EU481" s="4"/>
      <c r="EV481" s="4"/>
      <c r="EW481" s="4"/>
      <c r="EX481" s="4"/>
      <c r="EY481" s="4"/>
      <c r="EZ481" s="4"/>
      <c r="FA481" s="4"/>
      <c r="FB481" s="4"/>
      <c r="FC481" s="4"/>
      <c r="FD481" s="4"/>
      <c r="FE481" s="4"/>
      <c r="FF481" s="4"/>
      <c r="FG481" s="4"/>
      <c r="FH481" s="4"/>
      <c r="FI481" s="4"/>
      <c r="FJ481" s="4"/>
      <c r="FK481" s="4"/>
      <c r="FL481" s="4"/>
      <c r="FM481" s="4"/>
      <c r="FN481" s="4"/>
      <c r="FO481" s="4"/>
      <c r="FP481" s="4"/>
      <c r="FQ481" s="4"/>
      <c r="FR481" s="4"/>
      <c r="FS481" s="4"/>
      <c r="FT481" s="4"/>
      <c r="FU481" s="4"/>
      <c r="FV481" s="4"/>
      <c r="FW481" s="4"/>
      <c r="FX481" s="4"/>
      <c r="FY481" s="4"/>
      <c r="FZ481" s="4"/>
      <c r="GA481" s="4"/>
      <c r="GB481" s="4"/>
      <c r="GC481" s="4"/>
      <c r="GD481" s="4"/>
      <c r="GE481" s="4"/>
      <c r="GF481" s="4"/>
      <c r="GG481" s="4"/>
      <c r="GH481" s="4"/>
      <c r="GI481" s="4"/>
      <c r="GJ481" s="4"/>
      <c r="GK481" s="4"/>
      <c r="GL481" s="4"/>
      <c r="GM481" s="4"/>
      <c r="GN481" s="4"/>
      <c r="GO481" s="4"/>
      <c r="GP481" s="4"/>
      <c r="GQ481" s="4"/>
      <c r="GR481" s="4"/>
      <c r="GS481" s="4"/>
      <c r="GT481" s="4"/>
      <c r="GU481" s="4"/>
      <c r="GV481" s="4"/>
      <c r="GW481" s="4"/>
      <c r="GX481" s="4"/>
      <c r="GY481" s="4"/>
      <c r="GZ481" s="4"/>
      <c r="HA481" s="4"/>
      <c r="HB481" s="4"/>
      <c r="HC481" s="4"/>
      <c r="HD481" s="4"/>
      <c r="HE481" s="4"/>
      <c r="HF481" s="4"/>
      <c r="HG481" s="4"/>
      <c r="HH481" s="4"/>
      <c r="HI481" s="4"/>
      <c r="HJ481" s="4"/>
    </row>
    <row r="482" spans="1:218" hidden="1">
      <c r="A482" t="s">
        <v>2481</v>
      </c>
      <c r="B482" t="s">
        <v>2482</v>
      </c>
      <c r="C482" t="s">
        <v>2483</v>
      </c>
      <c r="D482" t="s">
        <v>2484</v>
      </c>
      <c r="E482" t="s">
        <v>2485</v>
      </c>
      <c r="F482" s="3">
        <v>1</v>
      </c>
      <c r="G482" s="12">
        <f t="shared" si="14"/>
        <v>3.72</v>
      </c>
      <c r="H482" s="12" t="e">
        <f t="shared" si="15"/>
        <v>#NUM!</v>
      </c>
      <c r="I482" s="3">
        <v>3.7248899999999998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>
        <v>3.72</v>
      </c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  <c r="DQ482" s="4"/>
      <c r="DR482" s="4"/>
      <c r="DS482" s="4"/>
      <c r="DT482" s="4"/>
      <c r="DU482" s="4"/>
      <c r="DV482" s="4"/>
      <c r="DW482" s="4"/>
      <c r="DX482" s="4"/>
      <c r="DY482" s="4"/>
      <c r="DZ482" s="4"/>
      <c r="EA482" s="4"/>
      <c r="EB482" s="4"/>
      <c r="EC482" s="4"/>
      <c r="ED482" s="4"/>
      <c r="EE482" s="4"/>
      <c r="EF482" s="4"/>
      <c r="EG482" s="4"/>
      <c r="EH482" s="4"/>
      <c r="EI482" s="4"/>
      <c r="EJ482" s="4"/>
      <c r="EK482" s="4"/>
      <c r="EL482" s="4"/>
      <c r="EM482" s="4"/>
      <c r="EN482" s="4"/>
      <c r="EO482" s="4"/>
      <c r="EP482" s="4"/>
      <c r="EQ482" s="4"/>
      <c r="ER482" s="4"/>
      <c r="ES482" s="4"/>
      <c r="ET482" s="4"/>
      <c r="EU482" s="4"/>
      <c r="EV482" s="4"/>
      <c r="EW482" s="4"/>
      <c r="EX482" s="4"/>
      <c r="EY482" s="4"/>
      <c r="EZ482" s="4"/>
      <c r="FA482" s="4"/>
      <c r="FB482" s="4"/>
      <c r="FC482" s="4"/>
      <c r="FD482" s="4"/>
      <c r="FE482" s="4"/>
      <c r="FF482" s="4"/>
      <c r="FG482" s="4"/>
      <c r="FH482" s="4"/>
      <c r="FI482" s="4"/>
      <c r="FJ482" s="4"/>
      <c r="FK482" s="4"/>
      <c r="FL482" s="4"/>
      <c r="FM482" s="4"/>
      <c r="FN482" s="4"/>
      <c r="FO482" s="4"/>
      <c r="FP482" s="4"/>
      <c r="FQ482" s="4"/>
      <c r="FR482" s="4"/>
      <c r="FS482" s="4"/>
      <c r="FT482" s="4"/>
      <c r="FU482" s="4"/>
      <c r="FV482" s="4"/>
      <c r="FW482" s="4"/>
      <c r="FX482" s="4"/>
      <c r="FY482" s="4"/>
      <c r="FZ482" s="4"/>
      <c r="GA482" s="4"/>
      <c r="GB482" s="4"/>
      <c r="GC482" s="4"/>
      <c r="GD482" s="4"/>
      <c r="GE482" s="4"/>
      <c r="GF482" s="4"/>
      <c r="GG482" s="4"/>
      <c r="GH482" s="4"/>
      <c r="GI482" s="4"/>
      <c r="GJ482" s="4"/>
      <c r="GK482" s="4"/>
      <c r="GL482" s="4"/>
      <c r="GM482" s="4"/>
      <c r="GN482" s="4"/>
      <c r="GO482" s="4"/>
      <c r="GP482" s="4"/>
      <c r="GQ482" s="4"/>
      <c r="GR482" s="4"/>
      <c r="GS482" s="4"/>
      <c r="GT482" s="4"/>
      <c r="GU482" s="4"/>
      <c r="GV482" s="4"/>
      <c r="GW482" s="4"/>
      <c r="GX482" s="4"/>
      <c r="GY482" s="4"/>
      <c r="GZ482" s="4"/>
      <c r="HA482" s="4"/>
      <c r="HB482" s="4"/>
      <c r="HC482" s="4"/>
      <c r="HD482" s="4"/>
      <c r="HE482" s="4"/>
      <c r="HF482" s="4"/>
      <c r="HG482" s="4"/>
      <c r="HH482" s="4"/>
      <c r="HI482" s="4"/>
      <c r="HJ482" s="4"/>
    </row>
    <row r="483" spans="1:218" hidden="1">
      <c r="A483" t="s">
        <v>1867</v>
      </c>
      <c r="B483" t="s">
        <v>1868</v>
      </c>
      <c r="C483" t="s">
        <v>992</v>
      </c>
      <c r="D483" t="s">
        <v>1869</v>
      </c>
      <c r="E483" t="s">
        <v>1870</v>
      </c>
      <c r="F483" s="3">
        <v>1</v>
      </c>
      <c r="G483" s="12">
        <f t="shared" si="14"/>
        <v>5.62</v>
      </c>
      <c r="H483" s="12" t="e">
        <f t="shared" si="15"/>
        <v>#NUM!</v>
      </c>
      <c r="I483" s="3">
        <v>5.6239400000000002</v>
      </c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>
        <v>5.62</v>
      </c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  <c r="DQ483" s="4"/>
      <c r="DR483" s="4"/>
      <c r="DS483" s="4"/>
      <c r="DT483" s="4"/>
      <c r="DU483" s="4"/>
      <c r="DV483" s="4"/>
      <c r="DW483" s="4"/>
      <c r="DX483" s="4"/>
      <c r="DY483" s="4"/>
      <c r="DZ483" s="4"/>
      <c r="EA483" s="4"/>
      <c r="EB483" s="4"/>
      <c r="EC483" s="4"/>
      <c r="ED483" s="4"/>
      <c r="EE483" s="4"/>
      <c r="EF483" s="4"/>
      <c r="EG483" s="4"/>
      <c r="EH483" s="4"/>
      <c r="EI483" s="4"/>
      <c r="EJ483" s="4"/>
      <c r="EK483" s="4"/>
      <c r="EL483" s="4"/>
      <c r="EM483" s="4"/>
      <c r="EN483" s="4"/>
      <c r="EO483" s="4"/>
      <c r="EP483" s="4"/>
      <c r="EQ483" s="4"/>
      <c r="ER483" s="4"/>
      <c r="ES483" s="4"/>
      <c r="ET483" s="4"/>
      <c r="EU483" s="4"/>
      <c r="EV483" s="4"/>
      <c r="EW483" s="4"/>
      <c r="EX483" s="4"/>
      <c r="EY483" s="4"/>
      <c r="EZ483" s="4"/>
      <c r="FA483" s="4"/>
      <c r="FB483" s="4"/>
      <c r="FC483" s="4"/>
      <c r="FD483" s="4"/>
      <c r="FE483" s="4"/>
      <c r="FF483" s="4"/>
      <c r="FG483" s="4"/>
      <c r="FH483" s="4"/>
      <c r="FI483" s="4"/>
      <c r="FJ483" s="4"/>
      <c r="FK483" s="4"/>
      <c r="FL483" s="4"/>
      <c r="FM483" s="4"/>
      <c r="FN483" s="4"/>
      <c r="FO483" s="4"/>
      <c r="FP483" s="4"/>
      <c r="FQ483" s="4"/>
      <c r="FR483" s="4"/>
      <c r="FS483" s="4"/>
      <c r="FT483" s="4"/>
      <c r="FU483" s="4"/>
      <c r="FV483" s="4"/>
      <c r="FW483" s="4"/>
      <c r="FX483" s="4"/>
      <c r="FY483" s="4"/>
      <c r="FZ483" s="4"/>
      <c r="GA483" s="4"/>
      <c r="GB483" s="4"/>
      <c r="GC483" s="4"/>
      <c r="GD483" s="4"/>
      <c r="GE483" s="4"/>
      <c r="GF483" s="4"/>
      <c r="GG483" s="4"/>
      <c r="GH483" s="4"/>
      <c r="GI483" s="4"/>
      <c r="GJ483" s="4"/>
      <c r="GK483" s="4"/>
      <c r="GL483" s="4"/>
      <c r="GM483" s="4"/>
      <c r="GN483" s="4"/>
      <c r="GO483" s="4"/>
      <c r="GP483" s="4"/>
      <c r="GQ483" s="4"/>
      <c r="GR483" s="4"/>
      <c r="GS483" s="4"/>
      <c r="GT483" s="4"/>
      <c r="GU483" s="4"/>
      <c r="GV483" s="4"/>
      <c r="GW483" s="4"/>
      <c r="GX483" s="4"/>
      <c r="GY483" s="4"/>
      <c r="GZ483" s="4"/>
      <c r="HA483" s="4"/>
      <c r="HB483" s="4"/>
      <c r="HC483" s="4"/>
      <c r="HD483" s="4"/>
      <c r="HE483" s="4"/>
      <c r="HF483" s="4"/>
      <c r="HG483" s="4"/>
      <c r="HH483" s="4"/>
      <c r="HI483" s="4"/>
      <c r="HJ483" s="4"/>
    </row>
    <row r="484" spans="1:218" hidden="1">
      <c r="A484" t="s">
        <v>2172</v>
      </c>
      <c r="B484" t="s">
        <v>2173</v>
      </c>
      <c r="C484" t="s">
        <v>2174</v>
      </c>
      <c r="D484" t="s">
        <v>2175</v>
      </c>
      <c r="E484" t="s">
        <v>2176</v>
      </c>
      <c r="F484" s="3">
        <v>1</v>
      </c>
      <c r="G484" s="12">
        <f t="shared" si="14"/>
        <v>4.4000000000000004</v>
      </c>
      <c r="H484" s="12" t="e">
        <f t="shared" si="15"/>
        <v>#NUM!</v>
      </c>
      <c r="I484" s="3">
        <v>4.3954401999999986</v>
      </c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>
        <v>4.4000000000000004</v>
      </c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  <c r="DQ484" s="4"/>
      <c r="DR484" s="4"/>
      <c r="DS484" s="4"/>
      <c r="DT484" s="4"/>
      <c r="DU484" s="4"/>
      <c r="DV484" s="4"/>
      <c r="DW484" s="4"/>
      <c r="DX484" s="4"/>
      <c r="DY484" s="4"/>
      <c r="DZ484" s="4"/>
      <c r="EA484" s="4"/>
      <c r="EB484" s="4"/>
      <c r="EC484" s="4"/>
      <c r="ED484" s="4"/>
      <c r="EE484" s="4"/>
      <c r="EF484" s="4"/>
      <c r="EG484" s="4"/>
      <c r="EH484" s="4"/>
      <c r="EI484" s="4"/>
      <c r="EJ484" s="4"/>
      <c r="EK484" s="4"/>
      <c r="EL484" s="4"/>
      <c r="EM484" s="4"/>
      <c r="EN484" s="4"/>
      <c r="EO484" s="4"/>
      <c r="EP484" s="4"/>
      <c r="EQ484" s="4"/>
      <c r="ER484" s="4"/>
      <c r="ES484" s="4"/>
      <c r="ET484" s="4"/>
      <c r="EU484" s="4"/>
      <c r="EV484" s="4"/>
      <c r="EW484" s="4"/>
      <c r="EX484" s="4"/>
      <c r="EY484" s="4"/>
      <c r="EZ484" s="4"/>
      <c r="FA484" s="4"/>
      <c r="FB484" s="4"/>
      <c r="FC484" s="4"/>
      <c r="FD484" s="4"/>
      <c r="FE484" s="4"/>
      <c r="FF484" s="4"/>
      <c r="FG484" s="4"/>
      <c r="FH484" s="4"/>
      <c r="FI484" s="4"/>
      <c r="FJ484" s="4"/>
      <c r="FK484" s="4"/>
      <c r="FL484" s="4"/>
      <c r="FM484" s="4"/>
      <c r="FN484" s="4"/>
      <c r="FO484" s="4"/>
      <c r="FP484" s="4"/>
      <c r="FQ484" s="4"/>
      <c r="FR484" s="4"/>
      <c r="FS484" s="4"/>
      <c r="FT484" s="4"/>
      <c r="FU484" s="4"/>
      <c r="FV484" s="4"/>
      <c r="FW484" s="4"/>
      <c r="FX484" s="4"/>
      <c r="FY484" s="4"/>
      <c r="FZ484" s="4"/>
      <c r="GA484" s="4"/>
      <c r="GB484" s="4"/>
      <c r="GC484" s="4"/>
      <c r="GD484" s="4"/>
      <c r="GE484" s="4"/>
      <c r="GF484" s="4"/>
      <c r="GG484" s="4"/>
      <c r="GH484" s="4"/>
      <c r="GI484" s="4"/>
      <c r="GJ484" s="4"/>
      <c r="GK484" s="4"/>
      <c r="GL484" s="4"/>
      <c r="GM484" s="4"/>
      <c r="GN484" s="4"/>
      <c r="GO484" s="4"/>
      <c r="GP484" s="4"/>
      <c r="GQ484" s="4"/>
      <c r="GR484" s="4"/>
      <c r="GS484" s="4"/>
      <c r="GT484" s="4"/>
      <c r="GU484" s="4"/>
      <c r="GV484" s="4"/>
      <c r="GW484" s="4"/>
      <c r="GX484" s="4"/>
      <c r="GY484" s="4"/>
      <c r="GZ484" s="4"/>
      <c r="HA484" s="4"/>
      <c r="HB484" s="4"/>
      <c r="HC484" s="4"/>
      <c r="HD484" s="4"/>
      <c r="HE484" s="4"/>
      <c r="HF484" s="4"/>
      <c r="HG484" s="4"/>
      <c r="HH484" s="4"/>
      <c r="HI484" s="4"/>
      <c r="HJ484" s="4"/>
    </row>
    <row r="485" spans="1:218" hidden="1">
      <c r="A485" t="s">
        <v>2793</v>
      </c>
      <c r="B485" t="s">
        <v>2794</v>
      </c>
      <c r="C485" t="s">
        <v>443</v>
      </c>
      <c r="D485" t="s">
        <v>2795</v>
      </c>
      <c r="E485" t="s">
        <v>2796</v>
      </c>
      <c r="F485" s="3">
        <v>1</v>
      </c>
      <c r="G485" s="12">
        <f t="shared" si="14"/>
        <v>2.83</v>
      </c>
      <c r="H485" s="12" t="e">
        <f t="shared" si="15"/>
        <v>#NUM!</v>
      </c>
      <c r="I485" s="3">
        <v>2.83365</v>
      </c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>
        <v>2.83</v>
      </c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  <c r="DQ485" s="4"/>
      <c r="DR485" s="4"/>
      <c r="DS485" s="4"/>
      <c r="DT485" s="4"/>
      <c r="DU485" s="4"/>
      <c r="DV485" s="4"/>
      <c r="DW485" s="4"/>
      <c r="DX485" s="4"/>
      <c r="DY485" s="4"/>
      <c r="DZ485" s="4"/>
      <c r="EA485" s="4"/>
      <c r="EB485" s="4"/>
      <c r="EC485" s="4"/>
      <c r="ED485" s="4"/>
      <c r="EE485" s="4"/>
      <c r="EF485" s="4"/>
      <c r="EG485" s="4"/>
      <c r="EH485" s="4"/>
      <c r="EI485" s="4"/>
      <c r="EJ485" s="4"/>
      <c r="EK485" s="4"/>
      <c r="EL485" s="4"/>
      <c r="EM485" s="4"/>
      <c r="EN485" s="4"/>
      <c r="EO485" s="4"/>
      <c r="EP485" s="4"/>
      <c r="EQ485" s="4"/>
      <c r="ER485" s="4"/>
      <c r="ES485" s="4"/>
      <c r="ET485" s="4"/>
      <c r="EU485" s="4"/>
      <c r="EV485" s="4"/>
      <c r="EW485" s="4"/>
      <c r="EX485" s="4"/>
      <c r="EY485" s="4"/>
      <c r="EZ485" s="4"/>
      <c r="FA485" s="4"/>
      <c r="FB485" s="4"/>
      <c r="FC485" s="4"/>
      <c r="FD485" s="4"/>
      <c r="FE485" s="4"/>
      <c r="FF485" s="4"/>
      <c r="FG485" s="4"/>
      <c r="FH485" s="4"/>
      <c r="FI485" s="4"/>
      <c r="FJ485" s="4"/>
      <c r="FK485" s="4"/>
      <c r="FL485" s="4"/>
      <c r="FM485" s="4"/>
      <c r="FN485" s="4"/>
      <c r="FO485" s="4"/>
      <c r="FP485" s="4"/>
      <c r="FQ485" s="4"/>
      <c r="FR485" s="4"/>
      <c r="FS485" s="4"/>
      <c r="FT485" s="4"/>
      <c r="FU485" s="4"/>
      <c r="FV485" s="4"/>
      <c r="FW485" s="4"/>
      <c r="FX485" s="4"/>
      <c r="FY485" s="4"/>
      <c r="FZ485" s="4"/>
      <c r="GA485" s="4"/>
      <c r="GB485" s="4"/>
      <c r="GC485" s="4"/>
      <c r="GD485" s="4"/>
      <c r="GE485" s="4"/>
      <c r="GF485" s="4"/>
      <c r="GG485" s="4"/>
      <c r="GH485" s="4"/>
      <c r="GI485" s="4"/>
      <c r="GJ485" s="4"/>
      <c r="GK485" s="4"/>
      <c r="GL485" s="4"/>
      <c r="GM485" s="4"/>
      <c r="GN485" s="4"/>
      <c r="GO485" s="4"/>
      <c r="GP485" s="4"/>
      <c r="GQ485" s="4"/>
      <c r="GR485" s="4"/>
      <c r="GS485" s="4"/>
      <c r="GT485" s="4"/>
      <c r="GU485" s="4"/>
      <c r="GV485" s="4"/>
      <c r="GW485" s="4"/>
      <c r="GX485" s="4"/>
      <c r="GY485" s="4"/>
      <c r="GZ485" s="4"/>
      <c r="HA485" s="4"/>
      <c r="HB485" s="4"/>
      <c r="HC485" s="4"/>
      <c r="HD485" s="4"/>
      <c r="HE485" s="4"/>
      <c r="HF485" s="4"/>
      <c r="HG485" s="4"/>
      <c r="HH485" s="4"/>
      <c r="HI485" s="4"/>
      <c r="HJ485" s="4"/>
    </row>
    <row r="486" spans="1:218" hidden="1">
      <c r="A486" t="s">
        <v>2086</v>
      </c>
      <c r="B486" t="s">
        <v>2087</v>
      </c>
      <c r="C486" t="s">
        <v>505</v>
      </c>
      <c r="D486" t="s">
        <v>2088</v>
      </c>
      <c r="E486" t="s">
        <v>2089</v>
      </c>
      <c r="F486" s="3">
        <v>1</v>
      </c>
      <c r="G486" s="12">
        <f t="shared" si="14"/>
        <v>4.57</v>
      </c>
      <c r="H486" s="12" t="e">
        <f t="shared" si="15"/>
        <v>#NUM!</v>
      </c>
      <c r="I486" s="3">
        <v>4.5701098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  <c r="DQ486" s="4"/>
      <c r="DR486" s="4"/>
      <c r="DS486" s="4"/>
      <c r="DT486" s="4"/>
      <c r="DU486" s="4"/>
      <c r="DV486" s="4"/>
      <c r="DW486" s="4"/>
      <c r="DX486" s="4"/>
      <c r="DY486" s="4"/>
      <c r="DZ486" s="4"/>
      <c r="EA486" s="4"/>
      <c r="EB486" s="4"/>
      <c r="EC486" s="4"/>
      <c r="ED486" s="4"/>
      <c r="EE486" s="4"/>
      <c r="EF486" s="4"/>
      <c r="EG486" s="4"/>
      <c r="EH486" s="4"/>
      <c r="EI486" s="4"/>
      <c r="EJ486" s="4"/>
      <c r="EK486" s="4"/>
      <c r="EL486" s="4"/>
      <c r="EM486" s="4"/>
      <c r="EN486" s="4"/>
      <c r="EO486" s="4"/>
      <c r="EP486" s="4"/>
      <c r="EQ486" s="4"/>
      <c r="ER486" s="4"/>
      <c r="ES486" s="4"/>
      <c r="ET486" s="4">
        <v>4.57</v>
      </c>
      <c r="EU486" s="4"/>
      <c r="EV486" s="4"/>
      <c r="EW486" s="4"/>
      <c r="EX486" s="4"/>
      <c r="EY486" s="4"/>
      <c r="EZ486" s="4"/>
      <c r="FA486" s="4"/>
      <c r="FB486" s="4"/>
      <c r="FC486" s="4"/>
      <c r="FD486" s="4"/>
      <c r="FE486" s="4"/>
      <c r="FF486" s="4"/>
      <c r="FG486" s="4"/>
      <c r="FH486" s="4"/>
      <c r="FI486" s="4"/>
      <c r="FJ486" s="4"/>
      <c r="FK486" s="4"/>
      <c r="FL486" s="4"/>
      <c r="FM486" s="4"/>
      <c r="FN486" s="4"/>
      <c r="FO486" s="4"/>
      <c r="FP486" s="4"/>
      <c r="FQ486" s="4"/>
      <c r="FR486" s="4"/>
      <c r="FS486" s="4"/>
      <c r="FT486" s="4"/>
      <c r="FU486" s="4"/>
      <c r="FV486" s="4"/>
      <c r="FW486" s="4"/>
      <c r="FX486" s="4"/>
      <c r="FY486" s="4"/>
      <c r="FZ486" s="4"/>
      <c r="GA486" s="4"/>
      <c r="GB486" s="4"/>
      <c r="GC486" s="4"/>
      <c r="GD486" s="4"/>
      <c r="GE486" s="4"/>
      <c r="GF486" s="4"/>
      <c r="GG486" s="4"/>
      <c r="GH486" s="4"/>
      <c r="GI486" s="4"/>
      <c r="GJ486" s="4"/>
      <c r="GK486" s="4"/>
      <c r="GL486" s="4"/>
      <c r="GM486" s="4"/>
      <c r="GN486" s="4"/>
      <c r="GO486" s="4"/>
      <c r="GP486" s="4"/>
      <c r="GQ486" s="4"/>
      <c r="GR486" s="4"/>
      <c r="GS486" s="4"/>
      <c r="GT486" s="4"/>
      <c r="GU486" s="4"/>
      <c r="GV486" s="4"/>
      <c r="GW486" s="4"/>
      <c r="GX486" s="4"/>
      <c r="GY486" s="4"/>
      <c r="GZ486" s="4"/>
      <c r="HA486" s="4"/>
      <c r="HB486" s="4"/>
      <c r="HC486" s="4"/>
      <c r="HD486" s="4"/>
      <c r="HE486" s="4"/>
      <c r="HF486" s="4"/>
      <c r="HG486" s="4"/>
      <c r="HH486" s="4"/>
      <c r="HI486" s="4"/>
      <c r="HJ486" s="4"/>
    </row>
    <row r="487" spans="1:218" hidden="1">
      <c r="A487" t="s">
        <v>2583</v>
      </c>
      <c r="B487" t="s">
        <v>2584</v>
      </c>
      <c r="C487" t="s">
        <v>505</v>
      </c>
      <c r="D487" t="s">
        <v>2585</v>
      </c>
      <c r="E487" t="s">
        <v>2586</v>
      </c>
      <c r="F487" s="3">
        <v>1</v>
      </c>
      <c r="G487" s="12">
        <f t="shared" si="14"/>
        <v>3.46</v>
      </c>
      <c r="H487" s="12" t="e">
        <f t="shared" si="15"/>
        <v>#NUM!</v>
      </c>
      <c r="I487" s="3">
        <v>3.4605399999999999</v>
      </c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  <c r="DQ487" s="4"/>
      <c r="DR487" s="4"/>
      <c r="DS487" s="4"/>
      <c r="DT487" s="4"/>
      <c r="DU487" s="4"/>
      <c r="DV487" s="4"/>
      <c r="DW487" s="4"/>
      <c r="DX487" s="4"/>
      <c r="DY487" s="4"/>
      <c r="DZ487" s="4"/>
      <c r="EA487" s="4"/>
      <c r="EB487" s="4"/>
      <c r="EC487" s="4"/>
      <c r="ED487" s="4"/>
      <c r="EE487" s="4"/>
      <c r="EF487" s="4"/>
      <c r="EG487" s="4"/>
      <c r="EH487" s="4"/>
      <c r="EI487" s="4"/>
      <c r="EJ487" s="4"/>
      <c r="EK487" s="4"/>
      <c r="EL487" s="4"/>
      <c r="EM487" s="4"/>
      <c r="EN487" s="4"/>
      <c r="EO487" s="4"/>
      <c r="EP487" s="4"/>
      <c r="EQ487" s="4"/>
      <c r="ER487" s="4"/>
      <c r="ES487" s="4"/>
      <c r="ET487" s="4"/>
      <c r="EU487" s="4"/>
      <c r="EV487" s="4"/>
      <c r="EW487" s="4"/>
      <c r="EX487" s="4"/>
      <c r="EY487" s="4"/>
      <c r="EZ487" s="4"/>
      <c r="FA487" s="4"/>
      <c r="FB487" s="4"/>
      <c r="FC487" s="4"/>
      <c r="FD487" s="4"/>
      <c r="FE487" s="4"/>
      <c r="FF487" s="4"/>
      <c r="FG487" s="4"/>
      <c r="FH487" s="4"/>
      <c r="FI487" s="4"/>
      <c r="FJ487" s="4"/>
      <c r="FK487" s="4"/>
      <c r="FL487" s="4"/>
      <c r="FM487" s="4"/>
      <c r="FN487" s="4"/>
      <c r="FO487" s="4"/>
      <c r="FP487" s="4"/>
      <c r="FQ487" s="4"/>
      <c r="FR487" s="4"/>
      <c r="FS487" s="4"/>
      <c r="FT487" s="4"/>
      <c r="FU487" s="4"/>
      <c r="FV487" s="4"/>
      <c r="FW487" s="4"/>
      <c r="FX487" s="4"/>
      <c r="FY487" s="4"/>
      <c r="FZ487" s="4"/>
      <c r="GA487" s="4">
        <v>3.46</v>
      </c>
      <c r="GB487" s="4"/>
      <c r="GC487" s="4"/>
      <c r="GD487" s="4"/>
      <c r="GE487" s="4"/>
      <c r="GF487" s="4"/>
      <c r="GG487" s="4"/>
      <c r="GH487" s="4"/>
      <c r="GI487" s="4"/>
      <c r="GJ487" s="4"/>
      <c r="GK487" s="4"/>
      <c r="GL487" s="4"/>
      <c r="GM487" s="4"/>
      <c r="GN487" s="4"/>
      <c r="GO487" s="4"/>
      <c r="GP487" s="4"/>
      <c r="GQ487" s="4"/>
      <c r="GR487" s="4"/>
      <c r="GS487" s="4"/>
      <c r="GT487" s="4"/>
      <c r="GU487" s="4"/>
      <c r="GV487" s="4"/>
      <c r="GW487" s="4"/>
      <c r="GX487" s="4"/>
      <c r="GY487" s="4"/>
      <c r="GZ487" s="4"/>
      <c r="HA487" s="4"/>
      <c r="HB487" s="4"/>
      <c r="HC487" s="4"/>
      <c r="HD487" s="4"/>
      <c r="HE487" s="4"/>
      <c r="HF487" s="4"/>
      <c r="HG487" s="4"/>
      <c r="HH487" s="4"/>
      <c r="HI487" s="4"/>
      <c r="HJ487" s="4"/>
    </row>
    <row r="488" spans="1:218" hidden="1">
      <c r="A488" t="s">
        <v>1972</v>
      </c>
      <c r="B488" t="s">
        <v>1973</v>
      </c>
      <c r="C488" t="s">
        <v>505</v>
      </c>
      <c r="D488" t="s">
        <v>1974</v>
      </c>
      <c r="E488" t="s">
        <v>1975</v>
      </c>
      <c r="F488" s="3">
        <v>1</v>
      </c>
      <c r="G488" s="12">
        <f t="shared" si="14"/>
        <v>4.8600000000000003</v>
      </c>
      <c r="H488" s="12" t="e">
        <f t="shared" si="15"/>
        <v>#NUM!</v>
      </c>
      <c r="I488" s="3">
        <v>4.8573700000000004</v>
      </c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  <c r="DQ488" s="4"/>
      <c r="DR488" s="4"/>
      <c r="DS488" s="4"/>
      <c r="DT488" s="4"/>
      <c r="DU488" s="4"/>
      <c r="DV488" s="4"/>
      <c r="DW488" s="4"/>
      <c r="DX488" s="4"/>
      <c r="DY488" s="4"/>
      <c r="DZ488" s="4"/>
      <c r="EA488" s="4"/>
      <c r="EB488" s="4"/>
      <c r="EC488" s="4"/>
      <c r="ED488" s="4"/>
      <c r="EE488" s="4"/>
      <c r="EF488" s="4"/>
      <c r="EG488" s="4"/>
      <c r="EH488" s="4"/>
      <c r="EI488" s="4"/>
      <c r="EJ488" s="4"/>
      <c r="EK488" s="4"/>
      <c r="EL488" s="4"/>
      <c r="EM488" s="4"/>
      <c r="EN488" s="4"/>
      <c r="EO488" s="4"/>
      <c r="EP488" s="4"/>
      <c r="EQ488" s="4"/>
      <c r="ER488" s="4"/>
      <c r="ES488" s="4"/>
      <c r="ET488" s="4"/>
      <c r="EU488" s="4"/>
      <c r="EV488" s="4"/>
      <c r="EW488" s="4"/>
      <c r="EX488" s="4"/>
      <c r="EY488" s="4"/>
      <c r="EZ488" s="4"/>
      <c r="FA488" s="4"/>
      <c r="FB488" s="4"/>
      <c r="FC488" s="4"/>
      <c r="FD488" s="4"/>
      <c r="FE488" s="4"/>
      <c r="FF488" s="4"/>
      <c r="FG488" s="4"/>
      <c r="FH488" s="4"/>
      <c r="FI488" s="4"/>
      <c r="FJ488" s="4">
        <v>4.8600000000000003</v>
      </c>
      <c r="FK488" s="4"/>
      <c r="FL488" s="4"/>
      <c r="FM488" s="4"/>
      <c r="FN488" s="4"/>
      <c r="FO488" s="4"/>
      <c r="FP488" s="4"/>
      <c r="FQ488" s="4"/>
      <c r="FR488" s="4"/>
      <c r="FS488" s="4"/>
      <c r="FT488" s="4"/>
      <c r="FU488" s="4"/>
      <c r="FV488" s="4"/>
      <c r="FW488" s="4"/>
      <c r="FX488" s="4"/>
      <c r="FY488" s="4"/>
      <c r="FZ488" s="4"/>
      <c r="GA488" s="4"/>
      <c r="GB488" s="4"/>
      <c r="GC488" s="4"/>
      <c r="GD488" s="4"/>
      <c r="GE488" s="4"/>
      <c r="GF488" s="4"/>
      <c r="GG488" s="4"/>
      <c r="GH488" s="4"/>
      <c r="GI488" s="4"/>
      <c r="GJ488" s="4"/>
      <c r="GK488" s="4"/>
      <c r="GL488" s="4"/>
      <c r="GM488" s="4"/>
      <c r="GN488" s="4"/>
      <c r="GO488" s="4"/>
      <c r="GP488" s="4"/>
      <c r="GQ488" s="4"/>
      <c r="GR488" s="4"/>
      <c r="GS488" s="4"/>
      <c r="GT488" s="4"/>
      <c r="GU488" s="4"/>
      <c r="GV488" s="4"/>
      <c r="GW488" s="4"/>
      <c r="GX488" s="4"/>
      <c r="GY488" s="4"/>
      <c r="GZ488" s="4"/>
      <c r="HA488" s="4"/>
      <c r="HB488" s="4"/>
      <c r="HC488" s="4"/>
      <c r="HD488" s="4"/>
      <c r="HE488" s="4"/>
      <c r="HF488" s="4"/>
      <c r="HG488" s="4"/>
      <c r="HH488" s="4"/>
      <c r="HI488" s="4"/>
      <c r="HJ488" s="4"/>
    </row>
    <row r="489" spans="1:218" hidden="1">
      <c r="A489" t="s">
        <v>2663</v>
      </c>
      <c r="B489" t="s">
        <v>2664</v>
      </c>
      <c r="C489" t="s">
        <v>484</v>
      </c>
      <c r="D489" t="s">
        <v>2665</v>
      </c>
      <c r="E489" t="s">
        <v>2666</v>
      </c>
      <c r="F489" s="3">
        <v>1</v>
      </c>
      <c r="G489" s="12">
        <f t="shared" si="14"/>
        <v>3.18</v>
      </c>
      <c r="H489" s="12" t="e">
        <f t="shared" si="15"/>
        <v>#NUM!</v>
      </c>
      <c r="I489" s="3">
        <v>3.18418</v>
      </c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>
        <v>3.18</v>
      </c>
      <c r="DQ489" s="4"/>
      <c r="DR489" s="4"/>
      <c r="DS489" s="4"/>
      <c r="DT489" s="4"/>
      <c r="DU489" s="4"/>
      <c r="DV489" s="4"/>
      <c r="DW489" s="4"/>
      <c r="DX489" s="4"/>
      <c r="DY489" s="4"/>
      <c r="DZ489" s="4"/>
      <c r="EA489" s="4"/>
      <c r="EB489" s="4"/>
      <c r="EC489" s="4"/>
      <c r="ED489" s="4"/>
      <c r="EE489" s="4"/>
      <c r="EF489" s="4"/>
      <c r="EG489" s="4"/>
      <c r="EH489" s="4"/>
      <c r="EI489" s="4"/>
      <c r="EJ489" s="4"/>
      <c r="EK489" s="4"/>
      <c r="EL489" s="4"/>
      <c r="EM489" s="4"/>
      <c r="EN489" s="4"/>
      <c r="EO489" s="4"/>
      <c r="EP489" s="4"/>
      <c r="EQ489" s="4"/>
      <c r="ER489" s="4"/>
      <c r="ES489" s="4"/>
      <c r="ET489" s="4"/>
      <c r="EU489" s="4"/>
      <c r="EV489" s="4"/>
      <c r="EW489" s="4"/>
      <c r="EX489" s="4"/>
      <c r="EY489" s="4"/>
      <c r="EZ489" s="4"/>
      <c r="FA489" s="4"/>
      <c r="FB489" s="4"/>
      <c r="FC489" s="4"/>
      <c r="FD489" s="4"/>
      <c r="FE489" s="4"/>
      <c r="FF489" s="4"/>
      <c r="FG489" s="4"/>
      <c r="FH489" s="4"/>
      <c r="FI489" s="4"/>
      <c r="FJ489" s="4"/>
      <c r="FK489" s="4"/>
      <c r="FL489" s="4"/>
      <c r="FM489" s="4"/>
      <c r="FN489" s="4"/>
      <c r="FO489" s="4"/>
      <c r="FP489" s="4"/>
      <c r="FQ489" s="4"/>
      <c r="FR489" s="4"/>
      <c r="FS489" s="4"/>
      <c r="FT489" s="4"/>
      <c r="FU489" s="4"/>
      <c r="FV489" s="4"/>
      <c r="FW489" s="4"/>
      <c r="FX489" s="4"/>
      <c r="FY489" s="4"/>
      <c r="FZ489" s="4"/>
      <c r="GA489" s="4"/>
      <c r="GB489" s="4"/>
      <c r="GC489" s="4"/>
      <c r="GD489" s="4"/>
      <c r="GE489" s="4"/>
      <c r="GF489" s="4"/>
      <c r="GG489" s="4"/>
      <c r="GH489" s="4"/>
      <c r="GI489" s="4"/>
      <c r="GJ489" s="4"/>
      <c r="GK489" s="4"/>
      <c r="GL489" s="4"/>
      <c r="GM489" s="4"/>
      <c r="GN489" s="4"/>
      <c r="GO489" s="4"/>
      <c r="GP489" s="4"/>
      <c r="GQ489" s="4"/>
      <c r="GR489" s="4"/>
      <c r="GS489" s="4"/>
      <c r="GT489" s="4"/>
      <c r="GU489" s="4"/>
      <c r="GV489" s="4"/>
      <c r="GW489" s="4"/>
      <c r="GX489" s="4"/>
      <c r="GY489" s="4"/>
      <c r="GZ489" s="4"/>
      <c r="HA489" s="4"/>
      <c r="HB489" s="4"/>
      <c r="HC489" s="4"/>
      <c r="HD489" s="4"/>
      <c r="HE489" s="4"/>
      <c r="HF489" s="4"/>
      <c r="HG489" s="4"/>
      <c r="HH489" s="4"/>
      <c r="HI489" s="4"/>
      <c r="HJ489" s="4"/>
    </row>
    <row r="490" spans="1:218" hidden="1">
      <c r="A490" t="s">
        <v>3157</v>
      </c>
      <c r="B490" t="s">
        <v>3158</v>
      </c>
      <c r="C490" t="s">
        <v>3159</v>
      </c>
      <c r="D490" t="s">
        <v>3160</v>
      </c>
      <c r="E490" t="s">
        <v>3161</v>
      </c>
      <c r="F490" s="3">
        <v>1</v>
      </c>
      <c r="G490" s="12">
        <f t="shared" si="14"/>
        <v>0.9</v>
      </c>
      <c r="H490" s="12" t="e">
        <f t="shared" si="15"/>
        <v>#NUM!</v>
      </c>
      <c r="I490" s="3">
        <v>0.90125</v>
      </c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  <c r="DQ490" s="4">
        <v>0.9</v>
      </c>
      <c r="DR490" s="4"/>
      <c r="DS490" s="4"/>
      <c r="DT490" s="4"/>
      <c r="DU490" s="4"/>
      <c r="DV490" s="4"/>
      <c r="DW490" s="4"/>
      <c r="DX490" s="4"/>
      <c r="DY490" s="4"/>
      <c r="DZ490" s="4"/>
      <c r="EA490" s="4"/>
      <c r="EB490" s="4"/>
      <c r="EC490" s="4"/>
      <c r="ED490" s="4"/>
      <c r="EE490" s="4"/>
      <c r="EF490" s="4"/>
      <c r="EG490" s="4"/>
      <c r="EH490" s="4"/>
      <c r="EI490" s="4"/>
      <c r="EJ490" s="4"/>
      <c r="EK490" s="4"/>
      <c r="EL490" s="4"/>
      <c r="EM490" s="4"/>
      <c r="EN490" s="4"/>
      <c r="EO490" s="4"/>
      <c r="EP490" s="4"/>
      <c r="EQ490" s="4"/>
      <c r="ER490" s="4"/>
      <c r="ES490" s="4"/>
      <c r="ET490" s="4"/>
      <c r="EU490" s="4"/>
      <c r="EV490" s="4"/>
      <c r="EW490" s="4"/>
      <c r="EX490" s="4"/>
      <c r="EY490" s="4"/>
      <c r="EZ490" s="4"/>
      <c r="FA490" s="4"/>
      <c r="FB490" s="4"/>
      <c r="FC490" s="4"/>
      <c r="FD490" s="4"/>
      <c r="FE490" s="4"/>
      <c r="FF490" s="4"/>
      <c r="FG490" s="4"/>
      <c r="FH490" s="4"/>
      <c r="FI490" s="4"/>
      <c r="FJ490" s="4"/>
      <c r="FK490" s="4"/>
      <c r="FL490" s="4"/>
      <c r="FM490" s="4"/>
      <c r="FN490" s="4"/>
      <c r="FO490" s="4"/>
      <c r="FP490" s="4"/>
      <c r="FQ490" s="4"/>
      <c r="FR490" s="4"/>
      <c r="FS490" s="4"/>
      <c r="FT490" s="4"/>
      <c r="FU490" s="4"/>
      <c r="FV490" s="4"/>
      <c r="FW490" s="4"/>
      <c r="FX490" s="4"/>
      <c r="FY490" s="4"/>
      <c r="FZ490" s="4"/>
      <c r="GA490" s="4"/>
      <c r="GB490" s="4"/>
      <c r="GC490" s="4"/>
      <c r="GD490" s="4"/>
      <c r="GE490" s="4"/>
      <c r="GF490" s="4"/>
      <c r="GG490" s="4"/>
      <c r="GH490" s="4"/>
      <c r="GI490" s="4"/>
      <c r="GJ490" s="4"/>
      <c r="GK490" s="4"/>
      <c r="GL490" s="4"/>
      <c r="GM490" s="4"/>
      <c r="GN490" s="4"/>
      <c r="GO490" s="4"/>
      <c r="GP490" s="4"/>
      <c r="GQ490" s="4"/>
      <c r="GR490" s="4"/>
      <c r="GS490" s="4"/>
      <c r="GT490" s="4"/>
      <c r="GU490" s="4"/>
      <c r="GV490" s="4"/>
      <c r="GW490" s="4"/>
      <c r="GX490" s="4"/>
      <c r="GY490" s="4"/>
      <c r="GZ490" s="4"/>
      <c r="HA490" s="4"/>
      <c r="HB490" s="4"/>
      <c r="HC490" s="4"/>
      <c r="HD490" s="4"/>
      <c r="HE490" s="4"/>
      <c r="HF490" s="4"/>
      <c r="HG490" s="4"/>
      <c r="HH490" s="4"/>
      <c r="HI490" s="4"/>
      <c r="HJ490" s="4"/>
    </row>
    <row r="491" spans="1:218" hidden="1">
      <c r="A491" t="s">
        <v>2405</v>
      </c>
      <c r="B491" t="s">
        <v>2406</v>
      </c>
      <c r="C491" t="s">
        <v>505</v>
      </c>
      <c r="D491" t="s">
        <v>2407</v>
      </c>
      <c r="E491" t="s">
        <v>2408</v>
      </c>
      <c r="F491" s="3">
        <v>1</v>
      </c>
      <c r="G491" s="12">
        <f t="shared" si="14"/>
        <v>3.9</v>
      </c>
      <c r="H491" s="12" t="e">
        <f t="shared" si="15"/>
        <v>#NUM!</v>
      </c>
      <c r="I491" s="3">
        <v>3.9027500000000002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>
        <v>3.9</v>
      </c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  <c r="DQ491" s="4"/>
      <c r="DR491" s="4"/>
      <c r="DS491" s="4"/>
      <c r="DT491" s="4"/>
      <c r="DU491" s="4"/>
      <c r="DV491" s="4"/>
      <c r="DW491" s="4"/>
      <c r="DX491" s="4"/>
      <c r="DY491" s="4"/>
      <c r="DZ491" s="4"/>
      <c r="EA491" s="4"/>
      <c r="EB491" s="4"/>
      <c r="EC491" s="4"/>
      <c r="ED491" s="4"/>
      <c r="EE491" s="4"/>
      <c r="EF491" s="4"/>
      <c r="EG491" s="4"/>
      <c r="EH491" s="4"/>
      <c r="EI491" s="4"/>
      <c r="EJ491" s="4"/>
      <c r="EK491" s="4"/>
      <c r="EL491" s="4"/>
      <c r="EM491" s="4"/>
      <c r="EN491" s="4"/>
      <c r="EO491" s="4"/>
      <c r="EP491" s="4"/>
      <c r="EQ491" s="4"/>
      <c r="ER491" s="4"/>
      <c r="ES491" s="4"/>
      <c r="ET491" s="4"/>
      <c r="EU491" s="4"/>
      <c r="EV491" s="4"/>
      <c r="EW491" s="4"/>
      <c r="EX491" s="4"/>
      <c r="EY491" s="4"/>
      <c r="EZ491" s="4"/>
      <c r="FA491" s="4"/>
      <c r="FB491" s="4"/>
      <c r="FC491" s="4"/>
      <c r="FD491" s="4"/>
      <c r="FE491" s="4"/>
      <c r="FF491" s="4"/>
      <c r="FG491" s="4"/>
      <c r="FH491" s="4"/>
      <c r="FI491" s="4"/>
      <c r="FJ491" s="4"/>
      <c r="FK491" s="4"/>
      <c r="FL491" s="4"/>
      <c r="FM491" s="4"/>
      <c r="FN491" s="4"/>
      <c r="FO491" s="4"/>
      <c r="FP491" s="4"/>
      <c r="FQ491" s="4"/>
      <c r="FR491" s="4"/>
      <c r="FS491" s="4"/>
      <c r="FT491" s="4"/>
      <c r="FU491" s="4"/>
      <c r="FV491" s="4"/>
      <c r="FW491" s="4"/>
      <c r="FX491" s="4"/>
      <c r="FY491" s="4"/>
      <c r="FZ491" s="4"/>
      <c r="GA491" s="4"/>
      <c r="GB491" s="4"/>
      <c r="GC491" s="4"/>
      <c r="GD491" s="4"/>
      <c r="GE491" s="4"/>
      <c r="GF491" s="4"/>
      <c r="GG491" s="4"/>
      <c r="GH491" s="4"/>
      <c r="GI491" s="4"/>
      <c r="GJ491" s="4"/>
      <c r="GK491" s="4"/>
      <c r="GL491" s="4"/>
      <c r="GM491" s="4"/>
      <c r="GN491" s="4"/>
      <c r="GO491" s="4"/>
      <c r="GP491" s="4"/>
      <c r="GQ491" s="4"/>
      <c r="GR491" s="4"/>
      <c r="GS491" s="4"/>
      <c r="GT491" s="4"/>
      <c r="GU491" s="4"/>
      <c r="GV491" s="4"/>
      <c r="GW491" s="4"/>
      <c r="GX491" s="4"/>
      <c r="GY491" s="4"/>
      <c r="GZ491" s="4"/>
      <c r="HA491" s="4"/>
      <c r="HB491" s="4"/>
      <c r="HC491" s="4"/>
      <c r="HD491" s="4"/>
      <c r="HE491" s="4"/>
      <c r="HF491" s="4"/>
      <c r="HG491" s="4"/>
      <c r="HH491" s="4"/>
      <c r="HI491" s="4"/>
      <c r="HJ491" s="4"/>
    </row>
    <row r="492" spans="1:218" hidden="1">
      <c r="A492" t="s">
        <v>1749</v>
      </c>
      <c r="B492" t="s">
        <v>1750</v>
      </c>
      <c r="C492" t="s">
        <v>1269</v>
      </c>
      <c r="D492" t="s">
        <v>1751</v>
      </c>
      <c r="E492" t="s">
        <v>1752</v>
      </c>
      <c r="F492" s="3">
        <v>1</v>
      </c>
      <c r="G492" s="12">
        <f t="shared" si="14"/>
        <v>6.99</v>
      </c>
      <c r="H492" s="12" t="e">
        <f t="shared" si="15"/>
        <v>#NUM!</v>
      </c>
      <c r="I492" s="3">
        <v>6.9886900000000001</v>
      </c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  <c r="DQ492" s="4"/>
      <c r="DR492" s="4"/>
      <c r="DS492" s="4"/>
      <c r="DT492" s="4"/>
      <c r="DU492" s="4"/>
      <c r="DV492" s="4"/>
      <c r="DW492" s="4"/>
      <c r="DX492" s="4"/>
      <c r="DY492" s="4"/>
      <c r="DZ492" s="4"/>
      <c r="EA492" s="4"/>
      <c r="EB492" s="4"/>
      <c r="EC492" s="4"/>
      <c r="ED492" s="4"/>
      <c r="EE492" s="4"/>
      <c r="EF492" s="4"/>
      <c r="EG492" s="4"/>
      <c r="EH492" s="4"/>
      <c r="EI492" s="4"/>
      <c r="EJ492" s="4"/>
      <c r="EK492" s="4"/>
      <c r="EL492" s="4"/>
      <c r="EM492" s="4"/>
      <c r="EN492" s="4"/>
      <c r="EO492" s="4"/>
      <c r="EP492" s="4"/>
      <c r="EQ492" s="4"/>
      <c r="ER492" s="4"/>
      <c r="ES492" s="4"/>
      <c r="ET492" s="4"/>
      <c r="EU492" s="4"/>
      <c r="EV492" s="4"/>
      <c r="EW492" s="4"/>
      <c r="EX492" s="4"/>
      <c r="EY492" s="4"/>
      <c r="EZ492" s="4"/>
      <c r="FA492" s="4"/>
      <c r="FB492" s="4"/>
      <c r="FC492" s="4"/>
      <c r="FD492" s="4"/>
      <c r="FE492" s="4"/>
      <c r="FF492" s="4"/>
      <c r="FG492" s="4"/>
      <c r="FH492" s="4"/>
      <c r="FI492" s="4"/>
      <c r="FJ492" s="4"/>
      <c r="FK492" s="4"/>
      <c r="FL492" s="4"/>
      <c r="FM492" s="4"/>
      <c r="FN492" s="4"/>
      <c r="FO492" s="4"/>
      <c r="FP492" s="4"/>
      <c r="FQ492" s="4"/>
      <c r="FR492" s="4"/>
      <c r="FS492" s="4"/>
      <c r="FT492" s="4"/>
      <c r="FU492" s="4"/>
      <c r="FV492" s="4"/>
      <c r="FW492" s="4"/>
      <c r="FX492" s="4"/>
      <c r="FY492" s="4"/>
      <c r="FZ492" s="4"/>
      <c r="GA492" s="4"/>
      <c r="GB492" s="4"/>
      <c r="GC492" s="4"/>
      <c r="GD492" s="4"/>
      <c r="GE492" s="4"/>
      <c r="GF492" s="4"/>
      <c r="GG492" s="4"/>
      <c r="GH492" s="4"/>
      <c r="GI492" s="4"/>
      <c r="GJ492" s="4"/>
      <c r="GK492" s="4"/>
      <c r="GL492" s="4"/>
      <c r="GM492" s="4"/>
      <c r="GN492" s="4"/>
      <c r="GO492" s="4"/>
      <c r="GP492" s="4"/>
      <c r="GQ492" s="4"/>
      <c r="GR492" s="4"/>
      <c r="GS492" s="4"/>
      <c r="GT492" s="4"/>
      <c r="GU492" s="4"/>
      <c r="GV492" s="4"/>
      <c r="GW492" s="4"/>
      <c r="GX492" s="4">
        <v>6.99</v>
      </c>
      <c r="GY492" s="4"/>
      <c r="GZ492" s="4"/>
      <c r="HA492" s="4"/>
      <c r="HB492" s="4"/>
      <c r="HC492" s="4"/>
      <c r="HD492" s="4"/>
      <c r="HE492" s="4"/>
      <c r="HF492" s="4"/>
      <c r="HG492" s="4"/>
      <c r="HH492" s="4"/>
      <c r="HI492" s="4"/>
      <c r="HJ492" s="4"/>
    </row>
    <row r="493" spans="1:218" hidden="1">
      <c r="A493" t="s">
        <v>2011</v>
      </c>
      <c r="B493" t="s">
        <v>2012</v>
      </c>
      <c r="C493" t="s">
        <v>1055</v>
      </c>
      <c r="D493" t="s">
        <v>2013</v>
      </c>
      <c r="E493" t="s">
        <v>2014</v>
      </c>
      <c r="F493" s="3">
        <v>1</v>
      </c>
      <c r="G493" s="12">
        <f t="shared" si="14"/>
        <v>4.76</v>
      </c>
      <c r="H493" s="12" t="e">
        <f t="shared" si="15"/>
        <v>#NUM!</v>
      </c>
      <c r="I493" s="3">
        <v>4.7605199999999996</v>
      </c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  <c r="DQ493" s="4"/>
      <c r="DR493" s="4"/>
      <c r="DS493" s="4"/>
      <c r="DT493" s="4"/>
      <c r="DU493" s="4"/>
      <c r="DV493" s="4"/>
      <c r="DW493" s="4"/>
      <c r="DX493" s="4"/>
      <c r="DY493" s="4"/>
      <c r="DZ493" s="4"/>
      <c r="EA493" s="4"/>
      <c r="EB493" s="4"/>
      <c r="EC493" s="4"/>
      <c r="ED493" s="4"/>
      <c r="EE493" s="4"/>
      <c r="EF493" s="4"/>
      <c r="EG493" s="4"/>
      <c r="EH493" s="4"/>
      <c r="EI493" s="4"/>
      <c r="EJ493" s="4"/>
      <c r="EK493" s="4"/>
      <c r="EL493" s="4"/>
      <c r="EM493" s="4"/>
      <c r="EN493" s="4"/>
      <c r="EO493" s="4"/>
      <c r="EP493" s="4"/>
      <c r="EQ493" s="4"/>
      <c r="ER493" s="4"/>
      <c r="ES493" s="4"/>
      <c r="ET493" s="4"/>
      <c r="EU493" s="4"/>
      <c r="EV493" s="4"/>
      <c r="EW493" s="4"/>
      <c r="EX493" s="4"/>
      <c r="EY493" s="4"/>
      <c r="EZ493" s="4"/>
      <c r="FA493" s="4"/>
      <c r="FB493" s="4"/>
      <c r="FC493" s="4"/>
      <c r="FD493" s="4">
        <v>4.76</v>
      </c>
      <c r="FE493" s="4"/>
      <c r="FF493" s="4"/>
      <c r="FG493" s="4"/>
      <c r="FH493" s="4"/>
      <c r="FI493" s="4"/>
      <c r="FJ493" s="4"/>
      <c r="FK493" s="4"/>
      <c r="FL493" s="4"/>
      <c r="FM493" s="4"/>
      <c r="FN493" s="4"/>
      <c r="FO493" s="4"/>
      <c r="FP493" s="4"/>
      <c r="FQ493" s="4"/>
      <c r="FR493" s="4"/>
      <c r="FS493" s="4"/>
      <c r="FT493" s="4"/>
      <c r="FU493" s="4"/>
      <c r="FV493" s="4"/>
      <c r="FW493" s="4"/>
      <c r="FX493" s="4"/>
      <c r="FY493" s="4"/>
      <c r="FZ493" s="4"/>
      <c r="GA493" s="4"/>
      <c r="GB493" s="4"/>
      <c r="GC493" s="4"/>
      <c r="GD493" s="4"/>
      <c r="GE493" s="4"/>
      <c r="GF493" s="4"/>
      <c r="GG493" s="4"/>
      <c r="GH493" s="4"/>
      <c r="GI493" s="4"/>
      <c r="GJ493" s="4"/>
      <c r="GK493" s="4"/>
      <c r="GL493" s="4"/>
      <c r="GM493" s="4"/>
      <c r="GN493" s="4"/>
      <c r="GO493" s="4"/>
      <c r="GP493" s="4"/>
      <c r="GQ493" s="4"/>
      <c r="GR493" s="4"/>
      <c r="GS493" s="4"/>
      <c r="GT493" s="4"/>
      <c r="GU493" s="4"/>
      <c r="GV493" s="4"/>
      <c r="GW493" s="4"/>
      <c r="GX493" s="4"/>
      <c r="GY493" s="4"/>
      <c r="GZ493" s="4"/>
      <c r="HA493" s="4"/>
      <c r="HB493" s="4"/>
      <c r="HC493" s="4"/>
      <c r="HD493" s="4"/>
      <c r="HE493" s="4"/>
      <c r="HF493" s="4"/>
      <c r="HG493" s="4"/>
      <c r="HH493" s="4"/>
      <c r="HI493" s="4"/>
      <c r="HJ493" s="4"/>
    </row>
    <row r="494" spans="1:218" hidden="1">
      <c r="A494" t="s">
        <v>3153</v>
      </c>
      <c r="B494" t="s">
        <v>3154</v>
      </c>
      <c r="C494" t="s">
        <v>585</v>
      </c>
      <c r="D494" t="s">
        <v>3155</v>
      </c>
      <c r="E494" t="s">
        <v>3156</v>
      </c>
      <c r="F494" s="3">
        <v>1</v>
      </c>
      <c r="G494" s="12">
        <f t="shared" si="14"/>
        <v>0.97</v>
      </c>
      <c r="H494" s="12" t="e">
        <f t="shared" si="15"/>
        <v>#NUM!</v>
      </c>
      <c r="I494" s="3">
        <v>0.97336</v>
      </c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>
        <v>0.97</v>
      </c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  <c r="DQ494" s="4"/>
      <c r="DR494" s="4"/>
      <c r="DS494" s="4"/>
      <c r="DT494" s="4"/>
      <c r="DU494" s="4"/>
      <c r="DV494" s="4"/>
      <c r="DW494" s="4"/>
      <c r="DX494" s="4"/>
      <c r="DY494" s="4"/>
      <c r="DZ494" s="4"/>
      <c r="EA494" s="4"/>
      <c r="EB494" s="4"/>
      <c r="EC494" s="4"/>
      <c r="ED494" s="4"/>
      <c r="EE494" s="4"/>
      <c r="EF494" s="4"/>
      <c r="EG494" s="4"/>
      <c r="EH494" s="4"/>
      <c r="EI494" s="4"/>
      <c r="EJ494" s="4"/>
      <c r="EK494" s="4"/>
      <c r="EL494" s="4"/>
      <c r="EM494" s="4"/>
      <c r="EN494" s="4"/>
      <c r="EO494" s="4"/>
      <c r="EP494" s="4"/>
      <c r="EQ494" s="4"/>
      <c r="ER494" s="4"/>
      <c r="ES494" s="4"/>
      <c r="ET494" s="4"/>
      <c r="EU494" s="4"/>
      <c r="EV494" s="4"/>
      <c r="EW494" s="4"/>
      <c r="EX494" s="4"/>
      <c r="EY494" s="4"/>
      <c r="EZ494" s="4"/>
      <c r="FA494" s="4"/>
      <c r="FB494" s="4"/>
      <c r="FC494" s="4"/>
      <c r="FD494" s="4"/>
      <c r="FE494" s="4"/>
      <c r="FF494" s="4"/>
      <c r="FG494" s="4"/>
      <c r="FH494" s="4"/>
      <c r="FI494" s="4"/>
      <c r="FJ494" s="4"/>
      <c r="FK494" s="4"/>
      <c r="FL494" s="4"/>
      <c r="FM494" s="4"/>
      <c r="FN494" s="4"/>
      <c r="FO494" s="4"/>
      <c r="FP494" s="4"/>
      <c r="FQ494" s="4"/>
      <c r="FR494" s="4"/>
      <c r="FS494" s="4"/>
      <c r="FT494" s="4"/>
      <c r="FU494" s="4"/>
      <c r="FV494" s="4"/>
      <c r="FW494" s="4"/>
      <c r="FX494" s="4"/>
      <c r="FY494" s="4"/>
      <c r="FZ494" s="4"/>
      <c r="GA494" s="4"/>
      <c r="GB494" s="4"/>
      <c r="GC494" s="4"/>
      <c r="GD494" s="4"/>
      <c r="GE494" s="4"/>
      <c r="GF494" s="4"/>
      <c r="GG494" s="4"/>
      <c r="GH494" s="4"/>
      <c r="GI494" s="4"/>
      <c r="GJ494" s="4"/>
      <c r="GK494" s="4"/>
      <c r="GL494" s="4"/>
      <c r="GM494" s="4"/>
      <c r="GN494" s="4"/>
      <c r="GO494" s="4"/>
      <c r="GP494" s="4"/>
      <c r="GQ494" s="4"/>
      <c r="GR494" s="4"/>
      <c r="GS494" s="4"/>
      <c r="GT494" s="4"/>
      <c r="GU494" s="4"/>
      <c r="GV494" s="4"/>
      <c r="GW494" s="4"/>
      <c r="GX494" s="4"/>
      <c r="GY494" s="4"/>
      <c r="GZ494" s="4"/>
      <c r="HA494" s="4"/>
      <c r="HB494" s="4"/>
      <c r="HC494" s="4"/>
      <c r="HD494" s="4"/>
      <c r="HE494" s="4"/>
      <c r="HF494" s="4"/>
      <c r="HG494" s="4"/>
      <c r="HH494" s="4"/>
      <c r="HI494" s="4"/>
      <c r="HJ494" s="4"/>
    </row>
    <row r="495" spans="1:218" hidden="1">
      <c r="A495" t="s">
        <v>2502</v>
      </c>
      <c r="B495" t="s">
        <v>2503</v>
      </c>
      <c r="C495" t="s">
        <v>489</v>
      </c>
      <c r="D495" t="s">
        <v>490</v>
      </c>
      <c r="E495" t="s">
        <v>490</v>
      </c>
      <c r="F495" s="3">
        <v>1</v>
      </c>
      <c r="G495" s="12">
        <f t="shared" si="14"/>
        <v>3.65</v>
      </c>
      <c r="H495" s="12" t="e">
        <f t="shared" si="15"/>
        <v>#NUM!</v>
      </c>
      <c r="I495" s="3">
        <v>3.6515802000000002</v>
      </c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  <c r="DQ495" s="4"/>
      <c r="DR495" s="4"/>
      <c r="DS495" s="4"/>
      <c r="DT495" s="4"/>
      <c r="DU495" s="4"/>
      <c r="DV495" s="4"/>
      <c r="DW495" s="4"/>
      <c r="DX495" s="4"/>
      <c r="DY495" s="4"/>
      <c r="DZ495" s="4"/>
      <c r="EA495" s="4"/>
      <c r="EB495" s="4"/>
      <c r="EC495" s="4"/>
      <c r="ED495" s="4"/>
      <c r="EE495" s="4"/>
      <c r="EF495" s="4"/>
      <c r="EG495" s="4"/>
      <c r="EH495" s="4"/>
      <c r="EI495" s="4">
        <v>3.65</v>
      </c>
      <c r="EJ495" s="4"/>
      <c r="EK495" s="4"/>
      <c r="EL495" s="4"/>
      <c r="EM495" s="4"/>
      <c r="EN495" s="4"/>
      <c r="EO495" s="4"/>
      <c r="EP495" s="4"/>
      <c r="EQ495" s="4"/>
      <c r="ER495" s="4"/>
      <c r="ES495" s="4"/>
      <c r="ET495" s="4"/>
      <c r="EU495" s="4"/>
      <c r="EV495" s="4"/>
      <c r="EW495" s="4"/>
      <c r="EX495" s="4"/>
      <c r="EY495" s="4"/>
      <c r="EZ495" s="4"/>
      <c r="FA495" s="4"/>
      <c r="FB495" s="4"/>
      <c r="FC495" s="4"/>
      <c r="FD495" s="4"/>
      <c r="FE495" s="4"/>
      <c r="FF495" s="4"/>
      <c r="FG495" s="4"/>
      <c r="FH495" s="4"/>
      <c r="FI495" s="4"/>
      <c r="FJ495" s="4"/>
      <c r="FK495" s="4"/>
      <c r="FL495" s="4"/>
      <c r="FM495" s="4"/>
      <c r="FN495" s="4"/>
      <c r="FO495" s="4"/>
      <c r="FP495" s="4"/>
      <c r="FQ495" s="4"/>
      <c r="FR495" s="4"/>
      <c r="FS495" s="4"/>
      <c r="FT495" s="4"/>
      <c r="FU495" s="4"/>
      <c r="FV495" s="4"/>
      <c r="FW495" s="4"/>
      <c r="FX495" s="4"/>
      <c r="FY495" s="4"/>
      <c r="FZ495" s="4"/>
      <c r="GA495" s="4"/>
      <c r="GB495" s="4"/>
      <c r="GC495" s="4"/>
      <c r="GD495" s="4"/>
      <c r="GE495" s="4"/>
      <c r="GF495" s="4"/>
      <c r="GG495" s="4"/>
      <c r="GH495" s="4"/>
      <c r="GI495" s="4"/>
      <c r="GJ495" s="4"/>
      <c r="GK495" s="4"/>
      <c r="GL495" s="4"/>
      <c r="GM495" s="4"/>
      <c r="GN495" s="4"/>
      <c r="GO495" s="4"/>
      <c r="GP495" s="4"/>
      <c r="GQ495" s="4"/>
      <c r="GR495" s="4"/>
      <c r="GS495" s="4"/>
      <c r="GT495" s="4"/>
      <c r="GU495" s="4"/>
      <c r="GV495" s="4"/>
      <c r="GW495" s="4"/>
      <c r="GX495" s="4"/>
      <c r="GY495" s="4"/>
      <c r="GZ495" s="4"/>
      <c r="HA495" s="4"/>
      <c r="HB495" s="4"/>
      <c r="HC495" s="4"/>
      <c r="HD495" s="4"/>
      <c r="HE495" s="4"/>
      <c r="HF495" s="4"/>
      <c r="HG495" s="4"/>
      <c r="HH495" s="4"/>
      <c r="HI495" s="4"/>
      <c r="HJ495" s="4"/>
    </row>
    <row r="496" spans="1:218" hidden="1">
      <c r="A496" t="s">
        <v>2944</v>
      </c>
      <c r="B496" t="s">
        <v>2945</v>
      </c>
      <c r="C496" t="s">
        <v>2946</v>
      </c>
      <c r="D496" t="s">
        <v>2947</v>
      </c>
      <c r="E496" t="s">
        <v>2948</v>
      </c>
      <c r="F496" s="3">
        <v>1</v>
      </c>
      <c r="G496" s="12">
        <f t="shared" si="14"/>
        <v>2.31</v>
      </c>
      <c r="H496" s="12" t="e">
        <f t="shared" si="15"/>
        <v>#NUM!</v>
      </c>
      <c r="I496" s="3">
        <v>2.3054700000000001</v>
      </c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>
        <v>2.31</v>
      </c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  <c r="DQ496" s="4"/>
      <c r="DR496" s="4"/>
      <c r="DS496" s="4"/>
      <c r="DT496" s="4"/>
      <c r="DU496" s="4"/>
      <c r="DV496" s="4"/>
      <c r="DW496" s="4"/>
      <c r="DX496" s="4"/>
      <c r="DY496" s="4"/>
      <c r="DZ496" s="4"/>
      <c r="EA496" s="4"/>
      <c r="EB496" s="4"/>
      <c r="EC496" s="4"/>
      <c r="ED496" s="4"/>
      <c r="EE496" s="4"/>
      <c r="EF496" s="4"/>
      <c r="EG496" s="4"/>
      <c r="EH496" s="4"/>
      <c r="EI496" s="4"/>
      <c r="EJ496" s="4"/>
      <c r="EK496" s="4"/>
      <c r="EL496" s="4"/>
      <c r="EM496" s="4"/>
      <c r="EN496" s="4"/>
      <c r="EO496" s="4"/>
      <c r="EP496" s="4"/>
      <c r="EQ496" s="4"/>
      <c r="ER496" s="4"/>
      <c r="ES496" s="4"/>
      <c r="ET496" s="4"/>
      <c r="EU496" s="4"/>
      <c r="EV496" s="4"/>
      <c r="EW496" s="4"/>
      <c r="EX496" s="4"/>
      <c r="EY496" s="4"/>
      <c r="EZ496" s="4"/>
      <c r="FA496" s="4"/>
      <c r="FB496" s="4"/>
      <c r="FC496" s="4"/>
      <c r="FD496" s="4"/>
      <c r="FE496" s="4"/>
      <c r="FF496" s="4"/>
      <c r="FG496" s="4"/>
      <c r="FH496" s="4"/>
      <c r="FI496" s="4"/>
      <c r="FJ496" s="4"/>
      <c r="FK496" s="4"/>
      <c r="FL496" s="4"/>
      <c r="FM496" s="4"/>
      <c r="FN496" s="4"/>
      <c r="FO496" s="4"/>
      <c r="FP496" s="4"/>
      <c r="FQ496" s="4"/>
      <c r="FR496" s="4"/>
      <c r="FS496" s="4"/>
      <c r="FT496" s="4"/>
      <c r="FU496" s="4"/>
      <c r="FV496" s="4"/>
      <c r="FW496" s="4"/>
      <c r="FX496" s="4"/>
      <c r="FY496" s="4"/>
      <c r="FZ496" s="4"/>
      <c r="GA496" s="4"/>
      <c r="GB496" s="4"/>
      <c r="GC496" s="4"/>
      <c r="GD496" s="4"/>
      <c r="GE496" s="4"/>
      <c r="GF496" s="4"/>
      <c r="GG496" s="4"/>
      <c r="GH496" s="4"/>
      <c r="GI496" s="4"/>
      <c r="GJ496" s="4"/>
      <c r="GK496" s="4"/>
      <c r="GL496" s="4"/>
      <c r="GM496" s="4"/>
      <c r="GN496" s="4"/>
      <c r="GO496" s="4"/>
      <c r="GP496" s="4"/>
      <c r="GQ496" s="4"/>
      <c r="GR496" s="4"/>
      <c r="GS496" s="4"/>
      <c r="GT496" s="4"/>
      <c r="GU496" s="4"/>
      <c r="GV496" s="4"/>
      <c r="GW496" s="4"/>
      <c r="GX496" s="4"/>
      <c r="GY496" s="4"/>
      <c r="GZ496" s="4"/>
      <c r="HA496" s="4"/>
      <c r="HB496" s="4"/>
      <c r="HC496" s="4"/>
      <c r="HD496" s="4"/>
      <c r="HE496" s="4"/>
      <c r="HF496" s="4"/>
      <c r="HG496" s="4"/>
      <c r="HH496" s="4"/>
      <c r="HI496" s="4"/>
      <c r="HJ496" s="4"/>
    </row>
    <row r="497" spans="1:218" hidden="1">
      <c r="A497" t="s">
        <v>3091</v>
      </c>
      <c r="B497" t="s">
        <v>3092</v>
      </c>
      <c r="C497" t="s">
        <v>754</v>
      </c>
      <c r="D497" t="s">
        <v>3093</v>
      </c>
      <c r="E497" t="s">
        <v>3094</v>
      </c>
      <c r="F497" s="3">
        <v>1</v>
      </c>
      <c r="G497" s="12">
        <f t="shared" si="14"/>
        <v>1.59</v>
      </c>
      <c r="H497" s="12" t="e">
        <f t="shared" si="15"/>
        <v>#NUM!</v>
      </c>
      <c r="I497" s="3">
        <v>1.59426</v>
      </c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>
        <v>1.59</v>
      </c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  <c r="DQ497" s="4"/>
      <c r="DR497" s="4"/>
      <c r="DS497" s="4"/>
      <c r="DT497" s="4"/>
      <c r="DU497" s="4"/>
      <c r="DV497" s="4"/>
      <c r="DW497" s="4"/>
      <c r="DX497" s="4"/>
      <c r="DY497" s="4"/>
      <c r="DZ497" s="4"/>
      <c r="EA497" s="4"/>
      <c r="EB497" s="4"/>
      <c r="EC497" s="4"/>
      <c r="ED497" s="4"/>
      <c r="EE497" s="4"/>
      <c r="EF497" s="4"/>
      <c r="EG497" s="4"/>
      <c r="EH497" s="4"/>
      <c r="EI497" s="4"/>
      <c r="EJ497" s="4"/>
      <c r="EK497" s="4"/>
      <c r="EL497" s="4"/>
      <c r="EM497" s="4"/>
      <c r="EN497" s="4"/>
      <c r="EO497" s="4"/>
      <c r="EP497" s="4"/>
      <c r="EQ497" s="4"/>
      <c r="ER497" s="4"/>
      <c r="ES497" s="4"/>
      <c r="ET497" s="4"/>
      <c r="EU497" s="4"/>
      <c r="EV497" s="4"/>
      <c r="EW497" s="4"/>
      <c r="EX497" s="4"/>
      <c r="EY497" s="4"/>
      <c r="EZ497" s="4"/>
      <c r="FA497" s="4"/>
      <c r="FB497" s="4"/>
      <c r="FC497" s="4"/>
      <c r="FD497" s="4"/>
      <c r="FE497" s="4"/>
      <c r="FF497" s="4"/>
      <c r="FG497" s="4"/>
      <c r="FH497" s="4"/>
      <c r="FI497" s="4"/>
      <c r="FJ497" s="4"/>
      <c r="FK497" s="4"/>
      <c r="FL497" s="4"/>
      <c r="FM497" s="4"/>
      <c r="FN497" s="4"/>
      <c r="FO497" s="4"/>
      <c r="FP497" s="4"/>
      <c r="FQ497" s="4"/>
      <c r="FR497" s="4"/>
      <c r="FS497" s="4"/>
      <c r="FT497" s="4"/>
      <c r="FU497" s="4"/>
      <c r="FV497" s="4"/>
      <c r="FW497" s="4"/>
      <c r="FX497" s="4"/>
      <c r="FY497" s="4"/>
      <c r="FZ497" s="4"/>
      <c r="GA497" s="4"/>
      <c r="GB497" s="4"/>
      <c r="GC497" s="4"/>
      <c r="GD497" s="4"/>
      <c r="GE497" s="4"/>
      <c r="GF497" s="4"/>
      <c r="GG497" s="4"/>
      <c r="GH497" s="4"/>
      <c r="GI497" s="4"/>
      <c r="GJ497" s="4"/>
      <c r="GK497" s="4"/>
      <c r="GL497" s="4"/>
      <c r="GM497" s="4"/>
      <c r="GN497" s="4"/>
      <c r="GO497" s="4"/>
      <c r="GP497" s="4"/>
      <c r="GQ497" s="4"/>
      <c r="GR497" s="4"/>
      <c r="GS497" s="4"/>
      <c r="GT497" s="4"/>
      <c r="GU497" s="4"/>
      <c r="GV497" s="4"/>
      <c r="GW497" s="4"/>
      <c r="GX497" s="4"/>
      <c r="GY497" s="4"/>
      <c r="GZ497" s="4"/>
      <c r="HA497" s="4"/>
      <c r="HB497" s="4"/>
      <c r="HC497" s="4"/>
      <c r="HD497" s="4"/>
      <c r="HE497" s="4"/>
      <c r="HF497" s="4"/>
      <c r="HG497" s="4"/>
      <c r="HH497" s="4"/>
      <c r="HI497" s="4"/>
      <c r="HJ497" s="4"/>
    </row>
    <row r="498" spans="1:218" hidden="1">
      <c r="A498" t="s">
        <v>2920</v>
      </c>
      <c r="B498" t="s">
        <v>2921</v>
      </c>
      <c r="C498" t="s">
        <v>505</v>
      </c>
      <c r="D498" t="s">
        <v>2922</v>
      </c>
      <c r="E498" t="s">
        <v>2923</v>
      </c>
      <c r="F498" s="3">
        <v>1</v>
      </c>
      <c r="G498" s="12">
        <f t="shared" si="14"/>
        <v>2.34</v>
      </c>
      <c r="H498" s="12" t="e">
        <f t="shared" si="15"/>
        <v>#NUM!</v>
      </c>
      <c r="I498" s="3">
        <v>2.3410799</v>
      </c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>
        <v>2.34</v>
      </c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  <c r="DQ498" s="4"/>
      <c r="DR498" s="4"/>
      <c r="DS498" s="4"/>
      <c r="DT498" s="4"/>
      <c r="DU498" s="4"/>
      <c r="DV498" s="4"/>
      <c r="DW498" s="4"/>
      <c r="DX498" s="4"/>
      <c r="DY498" s="4"/>
      <c r="DZ498" s="4"/>
      <c r="EA498" s="4"/>
      <c r="EB498" s="4"/>
      <c r="EC498" s="4"/>
      <c r="ED498" s="4"/>
      <c r="EE498" s="4"/>
      <c r="EF498" s="4"/>
      <c r="EG498" s="4"/>
      <c r="EH498" s="4"/>
      <c r="EI498" s="4"/>
      <c r="EJ498" s="4"/>
      <c r="EK498" s="4"/>
      <c r="EL498" s="4"/>
      <c r="EM498" s="4"/>
      <c r="EN498" s="4"/>
      <c r="EO498" s="4"/>
      <c r="EP498" s="4"/>
      <c r="EQ498" s="4"/>
      <c r="ER498" s="4"/>
      <c r="ES498" s="4"/>
      <c r="ET498" s="4"/>
      <c r="EU498" s="4"/>
      <c r="EV498" s="4"/>
      <c r="EW498" s="4"/>
      <c r="EX498" s="4"/>
      <c r="EY498" s="4"/>
      <c r="EZ498" s="4"/>
      <c r="FA498" s="4"/>
      <c r="FB498" s="4"/>
      <c r="FC498" s="4"/>
      <c r="FD498" s="4"/>
      <c r="FE498" s="4"/>
      <c r="FF498" s="4"/>
      <c r="FG498" s="4"/>
      <c r="FH498" s="4"/>
      <c r="FI498" s="4"/>
      <c r="FJ498" s="4"/>
      <c r="FK498" s="4"/>
      <c r="FL498" s="4"/>
      <c r="FM498" s="4"/>
      <c r="FN498" s="4"/>
      <c r="FO498" s="4"/>
      <c r="FP498" s="4"/>
      <c r="FQ498" s="4"/>
      <c r="FR498" s="4"/>
      <c r="FS498" s="4"/>
      <c r="FT498" s="4"/>
      <c r="FU498" s="4"/>
      <c r="FV498" s="4"/>
      <c r="FW498" s="4"/>
      <c r="FX498" s="4"/>
      <c r="FY498" s="4"/>
      <c r="FZ498" s="4"/>
      <c r="GA498" s="4"/>
      <c r="GB498" s="4"/>
      <c r="GC498" s="4"/>
      <c r="GD498" s="4"/>
      <c r="GE498" s="4"/>
      <c r="GF498" s="4"/>
      <c r="GG498" s="4"/>
      <c r="GH498" s="4"/>
      <c r="GI498" s="4"/>
      <c r="GJ498" s="4"/>
      <c r="GK498" s="4"/>
      <c r="GL498" s="4"/>
      <c r="GM498" s="4"/>
      <c r="GN498" s="4"/>
      <c r="GO498" s="4"/>
      <c r="GP498" s="4"/>
      <c r="GQ498" s="4"/>
      <c r="GR498" s="4"/>
      <c r="GS498" s="4"/>
      <c r="GT498" s="4"/>
      <c r="GU498" s="4"/>
      <c r="GV498" s="4"/>
      <c r="GW498" s="4"/>
      <c r="GX498" s="4"/>
      <c r="GY498" s="4"/>
      <c r="GZ498" s="4"/>
      <c r="HA498" s="4"/>
      <c r="HB498" s="4"/>
      <c r="HC498" s="4"/>
      <c r="HD498" s="4"/>
      <c r="HE498" s="4"/>
      <c r="HF498" s="4"/>
      <c r="HG498" s="4"/>
      <c r="HH498" s="4"/>
      <c r="HI498" s="4"/>
      <c r="HJ498" s="4"/>
    </row>
    <row r="499" spans="1:218" hidden="1">
      <c r="A499" t="s">
        <v>2940</v>
      </c>
      <c r="B499" t="s">
        <v>2941</v>
      </c>
      <c r="C499" t="s">
        <v>505</v>
      </c>
      <c r="D499" t="s">
        <v>2942</v>
      </c>
      <c r="E499" t="s">
        <v>2943</v>
      </c>
      <c r="F499" s="3">
        <v>1</v>
      </c>
      <c r="G499" s="12">
        <f t="shared" si="14"/>
        <v>2.31</v>
      </c>
      <c r="H499" s="12" t="e">
        <f t="shared" si="15"/>
        <v>#NUM!</v>
      </c>
      <c r="I499" s="3">
        <v>2.3083100000000001</v>
      </c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>
        <v>2.31</v>
      </c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  <c r="DQ499" s="4"/>
      <c r="DR499" s="4"/>
      <c r="DS499" s="4"/>
      <c r="DT499" s="4"/>
      <c r="DU499" s="4"/>
      <c r="DV499" s="4"/>
      <c r="DW499" s="4"/>
      <c r="DX499" s="4"/>
      <c r="DY499" s="4"/>
      <c r="DZ499" s="4"/>
      <c r="EA499" s="4"/>
      <c r="EB499" s="4"/>
      <c r="EC499" s="4"/>
      <c r="ED499" s="4"/>
      <c r="EE499" s="4"/>
      <c r="EF499" s="4"/>
      <c r="EG499" s="4"/>
      <c r="EH499" s="4"/>
      <c r="EI499" s="4"/>
      <c r="EJ499" s="4"/>
      <c r="EK499" s="4"/>
      <c r="EL499" s="4"/>
      <c r="EM499" s="4"/>
      <c r="EN499" s="4"/>
      <c r="EO499" s="4"/>
      <c r="EP499" s="4"/>
      <c r="EQ499" s="4"/>
      <c r="ER499" s="4"/>
      <c r="ES499" s="4"/>
      <c r="ET499" s="4"/>
      <c r="EU499" s="4"/>
      <c r="EV499" s="4"/>
      <c r="EW499" s="4"/>
      <c r="EX499" s="4"/>
      <c r="EY499" s="4"/>
      <c r="EZ499" s="4"/>
      <c r="FA499" s="4"/>
      <c r="FB499" s="4"/>
      <c r="FC499" s="4"/>
      <c r="FD499" s="4"/>
      <c r="FE499" s="4"/>
      <c r="FF499" s="4"/>
      <c r="FG499" s="4"/>
      <c r="FH499" s="4"/>
      <c r="FI499" s="4"/>
      <c r="FJ499" s="4"/>
      <c r="FK499" s="4"/>
      <c r="FL499" s="4"/>
      <c r="FM499" s="4"/>
      <c r="FN499" s="4"/>
      <c r="FO499" s="4"/>
      <c r="FP499" s="4"/>
      <c r="FQ499" s="4"/>
      <c r="FR499" s="4"/>
      <c r="FS499" s="4"/>
      <c r="FT499" s="4"/>
      <c r="FU499" s="4"/>
      <c r="FV499" s="4"/>
      <c r="FW499" s="4"/>
      <c r="FX499" s="4"/>
      <c r="FY499" s="4"/>
      <c r="FZ499" s="4"/>
      <c r="GA499" s="4"/>
      <c r="GB499" s="4"/>
      <c r="GC499" s="4"/>
      <c r="GD499" s="4"/>
      <c r="GE499" s="4"/>
      <c r="GF499" s="4"/>
      <c r="GG499" s="4"/>
      <c r="GH499" s="4"/>
      <c r="GI499" s="4"/>
      <c r="GJ499" s="4"/>
      <c r="GK499" s="4"/>
      <c r="GL499" s="4"/>
      <c r="GM499" s="4"/>
      <c r="GN499" s="4"/>
      <c r="GO499" s="4"/>
      <c r="GP499" s="4"/>
      <c r="GQ499" s="4"/>
      <c r="GR499" s="4"/>
      <c r="GS499" s="4"/>
      <c r="GT499" s="4"/>
      <c r="GU499" s="4"/>
      <c r="GV499" s="4"/>
      <c r="GW499" s="4"/>
      <c r="GX499" s="4"/>
      <c r="GY499" s="4"/>
      <c r="GZ499" s="4"/>
      <c r="HA499" s="4"/>
      <c r="HB499" s="4"/>
      <c r="HC499" s="4"/>
      <c r="HD499" s="4"/>
      <c r="HE499" s="4"/>
      <c r="HF499" s="4"/>
      <c r="HG499" s="4"/>
      <c r="HH499" s="4"/>
      <c r="HI499" s="4"/>
      <c r="HJ499" s="4"/>
    </row>
    <row r="500" spans="1:218" hidden="1">
      <c r="A500" t="s">
        <v>1741</v>
      </c>
      <c r="B500" t="s">
        <v>1742</v>
      </c>
      <c r="C500" t="s">
        <v>1028</v>
      </c>
      <c r="D500" t="s">
        <v>1743</v>
      </c>
      <c r="E500" t="s">
        <v>1744</v>
      </c>
      <c r="F500" s="3">
        <v>1</v>
      </c>
      <c r="G500" s="12">
        <f t="shared" si="14"/>
        <v>7.1</v>
      </c>
      <c r="H500" s="12" t="e">
        <f t="shared" si="15"/>
        <v>#NUM!</v>
      </c>
      <c r="I500" s="3">
        <v>7.1001499999999993</v>
      </c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>
        <v>7.1</v>
      </c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  <c r="DQ500" s="4"/>
      <c r="DR500" s="4"/>
      <c r="DS500" s="4"/>
      <c r="DT500" s="4"/>
      <c r="DU500" s="4"/>
      <c r="DV500" s="4"/>
      <c r="DW500" s="4"/>
      <c r="DX500" s="4"/>
      <c r="DY500" s="4"/>
      <c r="DZ500" s="4"/>
      <c r="EA500" s="4"/>
      <c r="EB500" s="4"/>
      <c r="EC500" s="4"/>
      <c r="ED500" s="4"/>
      <c r="EE500" s="4"/>
      <c r="EF500" s="4"/>
      <c r="EG500" s="4"/>
      <c r="EH500" s="4"/>
      <c r="EI500" s="4"/>
      <c r="EJ500" s="4"/>
      <c r="EK500" s="4"/>
      <c r="EL500" s="4"/>
      <c r="EM500" s="4"/>
      <c r="EN500" s="4"/>
      <c r="EO500" s="4"/>
      <c r="EP500" s="4"/>
      <c r="EQ500" s="4"/>
      <c r="ER500" s="4"/>
      <c r="ES500" s="4"/>
      <c r="ET500" s="4"/>
      <c r="EU500" s="4"/>
      <c r="EV500" s="4"/>
      <c r="EW500" s="4"/>
      <c r="EX500" s="4"/>
      <c r="EY500" s="4"/>
      <c r="EZ500" s="4"/>
      <c r="FA500" s="4"/>
      <c r="FB500" s="4"/>
      <c r="FC500" s="4"/>
      <c r="FD500" s="4"/>
      <c r="FE500" s="4"/>
      <c r="FF500" s="4"/>
      <c r="FG500" s="4"/>
      <c r="FH500" s="4"/>
      <c r="FI500" s="4"/>
      <c r="FJ500" s="4"/>
      <c r="FK500" s="4"/>
      <c r="FL500" s="4"/>
      <c r="FM500" s="4"/>
      <c r="FN500" s="4"/>
      <c r="FO500" s="4"/>
      <c r="FP500" s="4"/>
      <c r="FQ500" s="4"/>
      <c r="FR500" s="4"/>
      <c r="FS500" s="4"/>
      <c r="FT500" s="4"/>
      <c r="FU500" s="4"/>
      <c r="FV500" s="4"/>
      <c r="FW500" s="4"/>
      <c r="FX500" s="4"/>
      <c r="FY500" s="4"/>
      <c r="FZ500" s="4"/>
      <c r="GA500" s="4"/>
      <c r="GB500" s="4"/>
      <c r="GC500" s="4"/>
      <c r="GD500" s="4"/>
      <c r="GE500" s="4"/>
      <c r="GF500" s="4"/>
      <c r="GG500" s="4"/>
      <c r="GH500" s="4"/>
      <c r="GI500" s="4"/>
      <c r="GJ500" s="4"/>
      <c r="GK500" s="4"/>
      <c r="GL500" s="4"/>
      <c r="GM500" s="4"/>
      <c r="GN500" s="4"/>
      <c r="GO500" s="4"/>
      <c r="GP500" s="4"/>
      <c r="GQ500" s="4"/>
      <c r="GR500" s="4"/>
      <c r="GS500" s="4"/>
      <c r="GT500" s="4"/>
      <c r="GU500" s="4"/>
      <c r="GV500" s="4"/>
      <c r="GW500" s="4"/>
      <c r="GX500" s="4"/>
      <c r="GY500" s="4"/>
      <c r="GZ500" s="4"/>
      <c r="HA500" s="4"/>
      <c r="HB500" s="4"/>
      <c r="HC500" s="4"/>
      <c r="HD500" s="4"/>
      <c r="HE500" s="4"/>
      <c r="HF500" s="4"/>
      <c r="HG500" s="4"/>
      <c r="HH500" s="4"/>
      <c r="HI500" s="4"/>
      <c r="HJ500" s="4"/>
    </row>
    <row r="501" spans="1:218" hidden="1">
      <c r="A501" t="s">
        <v>2429</v>
      </c>
      <c r="B501" t="s">
        <v>2430</v>
      </c>
      <c r="C501" t="s">
        <v>2431</v>
      </c>
      <c r="D501" t="s">
        <v>2432</v>
      </c>
      <c r="E501" t="s">
        <v>2433</v>
      </c>
      <c r="F501" s="3">
        <v>1</v>
      </c>
      <c r="G501" s="12">
        <f t="shared" si="14"/>
        <v>3.85</v>
      </c>
      <c r="H501" s="12" t="e">
        <f t="shared" si="15"/>
        <v>#NUM!</v>
      </c>
      <c r="I501" s="3">
        <v>3.8451900000000001</v>
      </c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  <c r="DQ501" s="4"/>
      <c r="DR501" s="4"/>
      <c r="DS501" s="4"/>
      <c r="DT501" s="4"/>
      <c r="DU501" s="4"/>
      <c r="DV501" s="4"/>
      <c r="DW501" s="4"/>
      <c r="DX501" s="4"/>
      <c r="DY501" s="4"/>
      <c r="DZ501" s="4"/>
      <c r="EA501" s="4"/>
      <c r="EB501" s="4"/>
      <c r="EC501" s="4"/>
      <c r="ED501" s="4"/>
      <c r="EE501" s="4"/>
      <c r="EF501" s="4"/>
      <c r="EG501" s="4"/>
      <c r="EH501" s="4"/>
      <c r="EI501" s="4"/>
      <c r="EJ501" s="4"/>
      <c r="EK501" s="4"/>
      <c r="EL501" s="4"/>
      <c r="EM501" s="4"/>
      <c r="EN501" s="4">
        <v>3.85</v>
      </c>
      <c r="EO501" s="4"/>
      <c r="EP501" s="4"/>
      <c r="EQ501" s="4"/>
      <c r="ER501" s="4"/>
      <c r="ES501" s="4"/>
      <c r="ET501" s="4"/>
      <c r="EU501" s="4"/>
      <c r="EV501" s="4"/>
      <c r="EW501" s="4"/>
      <c r="EX501" s="4"/>
      <c r="EY501" s="4"/>
      <c r="EZ501" s="4"/>
      <c r="FA501" s="4"/>
      <c r="FB501" s="4"/>
      <c r="FC501" s="4"/>
      <c r="FD501" s="4"/>
      <c r="FE501" s="4"/>
      <c r="FF501" s="4"/>
      <c r="FG501" s="4"/>
      <c r="FH501" s="4"/>
      <c r="FI501" s="4"/>
      <c r="FJ501" s="4"/>
      <c r="FK501" s="4"/>
      <c r="FL501" s="4"/>
      <c r="FM501" s="4"/>
      <c r="FN501" s="4"/>
      <c r="FO501" s="4"/>
      <c r="FP501" s="4"/>
      <c r="FQ501" s="4"/>
      <c r="FR501" s="4"/>
      <c r="FS501" s="4"/>
      <c r="FT501" s="4"/>
      <c r="FU501" s="4"/>
      <c r="FV501" s="4"/>
      <c r="FW501" s="4"/>
      <c r="FX501" s="4"/>
      <c r="FY501" s="4"/>
      <c r="FZ501" s="4"/>
      <c r="GA501" s="4"/>
      <c r="GB501" s="4"/>
      <c r="GC501" s="4"/>
      <c r="GD501" s="4"/>
      <c r="GE501" s="4"/>
      <c r="GF501" s="4"/>
      <c r="GG501" s="4"/>
      <c r="GH501" s="4"/>
      <c r="GI501" s="4"/>
      <c r="GJ501" s="4"/>
      <c r="GK501" s="4"/>
      <c r="GL501" s="4"/>
      <c r="GM501" s="4"/>
      <c r="GN501" s="4"/>
      <c r="GO501" s="4"/>
      <c r="GP501" s="4"/>
      <c r="GQ501" s="4"/>
      <c r="GR501" s="4"/>
      <c r="GS501" s="4"/>
      <c r="GT501" s="4"/>
      <c r="GU501" s="4"/>
      <c r="GV501" s="4"/>
      <c r="GW501" s="4"/>
      <c r="GX501" s="4"/>
      <c r="GY501" s="4"/>
      <c r="GZ501" s="4"/>
      <c r="HA501" s="4"/>
      <c r="HB501" s="4"/>
      <c r="HC501" s="4"/>
      <c r="HD501" s="4"/>
      <c r="HE501" s="4"/>
      <c r="HF501" s="4"/>
      <c r="HG501" s="4"/>
      <c r="HH501" s="4"/>
      <c r="HI501" s="4"/>
      <c r="HJ501" s="4"/>
    </row>
    <row r="502" spans="1:218" hidden="1">
      <c r="A502" t="s">
        <v>2072</v>
      </c>
      <c r="B502" t="s">
        <v>2073</v>
      </c>
      <c r="C502" t="s">
        <v>1003</v>
      </c>
      <c r="D502" t="s">
        <v>2074</v>
      </c>
      <c r="E502" t="s">
        <v>2075</v>
      </c>
      <c r="F502" s="3">
        <v>1</v>
      </c>
      <c r="G502" s="12">
        <f t="shared" si="14"/>
        <v>4.5999999999999996</v>
      </c>
      <c r="H502" s="12" t="e">
        <f t="shared" si="15"/>
        <v>#NUM!</v>
      </c>
      <c r="I502" s="3">
        <v>4.6001200000000004</v>
      </c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>
        <v>4.5999999999999996</v>
      </c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  <c r="DQ502" s="4"/>
      <c r="DR502" s="4"/>
      <c r="DS502" s="4"/>
      <c r="DT502" s="4"/>
      <c r="DU502" s="4"/>
      <c r="DV502" s="4"/>
      <c r="DW502" s="4"/>
      <c r="DX502" s="4"/>
      <c r="DY502" s="4"/>
      <c r="DZ502" s="4"/>
      <c r="EA502" s="4"/>
      <c r="EB502" s="4"/>
      <c r="EC502" s="4"/>
      <c r="ED502" s="4"/>
      <c r="EE502" s="4"/>
      <c r="EF502" s="4"/>
      <c r="EG502" s="4"/>
      <c r="EH502" s="4"/>
      <c r="EI502" s="4"/>
      <c r="EJ502" s="4"/>
      <c r="EK502" s="4"/>
      <c r="EL502" s="4"/>
      <c r="EM502" s="4"/>
      <c r="EN502" s="4"/>
      <c r="EO502" s="4"/>
      <c r="EP502" s="4"/>
      <c r="EQ502" s="4"/>
      <c r="ER502" s="4"/>
      <c r="ES502" s="4"/>
      <c r="ET502" s="4"/>
      <c r="EU502" s="4"/>
      <c r="EV502" s="4"/>
      <c r="EW502" s="4"/>
      <c r="EX502" s="4"/>
      <c r="EY502" s="4"/>
      <c r="EZ502" s="4"/>
      <c r="FA502" s="4"/>
      <c r="FB502" s="4"/>
      <c r="FC502" s="4"/>
      <c r="FD502" s="4"/>
      <c r="FE502" s="4"/>
      <c r="FF502" s="4"/>
      <c r="FG502" s="4"/>
      <c r="FH502" s="4"/>
      <c r="FI502" s="4"/>
      <c r="FJ502" s="4"/>
      <c r="FK502" s="4"/>
      <c r="FL502" s="4"/>
      <c r="FM502" s="4"/>
      <c r="FN502" s="4"/>
      <c r="FO502" s="4"/>
      <c r="FP502" s="4"/>
      <c r="FQ502" s="4"/>
      <c r="FR502" s="4"/>
      <c r="FS502" s="4"/>
      <c r="FT502" s="4"/>
      <c r="FU502" s="4"/>
      <c r="FV502" s="4"/>
      <c r="FW502" s="4"/>
      <c r="FX502" s="4"/>
      <c r="FY502" s="4"/>
      <c r="FZ502" s="4"/>
      <c r="GA502" s="4"/>
      <c r="GB502" s="4"/>
      <c r="GC502" s="4"/>
      <c r="GD502" s="4"/>
      <c r="GE502" s="4"/>
      <c r="GF502" s="4"/>
      <c r="GG502" s="4"/>
      <c r="GH502" s="4"/>
      <c r="GI502" s="4"/>
      <c r="GJ502" s="4"/>
      <c r="GK502" s="4"/>
      <c r="GL502" s="4"/>
      <c r="GM502" s="4"/>
      <c r="GN502" s="4"/>
      <c r="GO502" s="4"/>
      <c r="GP502" s="4"/>
      <c r="GQ502" s="4"/>
      <c r="GR502" s="4"/>
      <c r="GS502" s="4"/>
      <c r="GT502" s="4"/>
      <c r="GU502" s="4"/>
      <c r="GV502" s="4"/>
      <c r="GW502" s="4"/>
      <c r="GX502" s="4"/>
      <c r="GY502" s="4"/>
      <c r="GZ502" s="4"/>
      <c r="HA502" s="4"/>
      <c r="HB502" s="4"/>
      <c r="HC502" s="4"/>
      <c r="HD502" s="4"/>
      <c r="HE502" s="4"/>
      <c r="HF502" s="4"/>
      <c r="HG502" s="4"/>
      <c r="HH502" s="4"/>
      <c r="HI502" s="4"/>
      <c r="HJ502" s="4"/>
    </row>
    <row r="503" spans="1:218" hidden="1">
      <c r="A503" t="s">
        <v>1956</v>
      </c>
      <c r="B503" t="s">
        <v>1957</v>
      </c>
      <c r="C503" t="s">
        <v>1329</v>
      </c>
      <c r="D503" t="s">
        <v>1958</v>
      </c>
      <c r="E503" t="s">
        <v>1959</v>
      </c>
      <c r="F503" s="3">
        <v>1</v>
      </c>
      <c r="G503" s="12">
        <f t="shared" si="14"/>
        <v>4.95</v>
      </c>
      <c r="H503" s="12" t="e">
        <f t="shared" si="15"/>
        <v>#NUM!</v>
      </c>
      <c r="I503" s="3">
        <v>4.9517296000000002</v>
      </c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>
        <v>4.95</v>
      </c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  <c r="DQ503" s="4"/>
      <c r="DR503" s="4"/>
      <c r="DS503" s="4"/>
      <c r="DT503" s="4"/>
      <c r="DU503" s="4"/>
      <c r="DV503" s="4"/>
      <c r="DW503" s="4"/>
      <c r="DX503" s="4"/>
      <c r="DY503" s="4"/>
      <c r="DZ503" s="4"/>
      <c r="EA503" s="4"/>
      <c r="EB503" s="4"/>
      <c r="EC503" s="4"/>
      <c r="ED503" s="4"/>
      <c r="EE503" s="4"/>
      <c r="EF503" s="4"/>
      <c r="EG503" s="4"/>
      <c r="EH503" s="4"/>
      <c r="EI503" s="4"/>
      <c r="EJ503" s="4"/>
      <c r="EK503" s="4"/>
      <c r="EL503" s="4"/>
      <c r="EM503" s="4"/>
      <c r="EN503" s="4"/>
      <c r="EO503" s="4"/>
      <c r="EP503" s="4"/>
      <c r="EQ503" s="4"/>
      <c r="ER503" s="4"/>
      <c r="ES503" s="4"/>
      <c r="ET503" s="4"/>
      <c r="EU503" s="4"/>
      <c r="EV503" s="4"/>
      <c r="EW503" s="4"/>
      <c r="EX503" s="4"/>
      <c r="EY503" s="4"/>
      <c r="EZ503" s="4"/>
      <c r="FA503" s="4"/>
      <c r="FB503" s="4"/>
      <c r="FC503" s="4"/>
      <c r="FD503" s="4"/>
      <c r="FE503" s="4"/>
      <c r="FF503" s="4"/>
      <c r="FG503" s="4"/>
      <c r="FH503" s="4"/>
      <c r="FI503" s="4"/>
      <c r="FJ503" s="4"/>
      <c r="FK503" s="4"/>
      <c r="FL503" s="4"/>
      <c r="FM503" s="4"/>
      <c r="FN503" s="4"/>
      <c r="FO503" s="4"/>
      <c r="FP503" s="4"/>
      <c r="FQ503" s="4"/>
      <c r="FR503" s="4"/>
      <c r="FS503" s="4"/>
      <c r="FT503" s="4"/>
      <c r="FU503" s="4"/>
      <c r="FV503" s="4"/>
      <c r="FW503" s="4"/>
      <c r="FX503" s="4"/>
      <c r="FY503" s="4"/>
      <c r="FZ503" s="4"/>
      <c r="GA503" s="4"/>
      <c r="GB503" s="4"/>
      <c r="GC503" s="4"/>
      <c r="GD503" s="4"/>
      <c r="GE503" s="4"/>
      <c r="GF503" s="4"/>
      <c r="GG503" s="4"/>
      <c r="GH503" s="4"/>
      <c r="GI503" s="4"/>
      <c r="GJ503" s="4"/>
      <c r="GK503" s="4"/>
      <c r="GL503" s="4"/>
      <c r="GM503" s="4"/>
      <c r="GN503" s="4"/>
      <c r="GO503" s="4"/>
      <c r="GP503" s="4"/>
      <c r="GQ503" s="4"/>
      <c r="GR503" s="4"/>
      <c r="GS503" s="4"/>
      <c r="GT503" s="4"/>
      <c r="GU503" s="4"/>
      <c r="GV503" s="4"/>
      <c r="GW503" s="4"/>
      <c r="GX503" s="4"/>
      <c r="GY503" s="4"/>
      <c r="GZ503" s="4"/>
      <c r="HA503" s="4"/>
      <c r="HB503" s="4"/>
      <c r="HC503" s="4"/>
      <c r="HD503" s="4"/>
      <c r="HE503" s="4"/>
      <c r="HF503" s="4"/>
      <c r="HG503" s="4"/>
      <c r="HH503" s="4"/>
      <c r="HI503" s="4"/>
      <c r="HJ503" s="4"/>
    </row>
    <row r="504" spans="1:218" hidden="1">
      <c r="A504" t="s">
        <v>3121</v>
      </c>
      <c r="B504" t="s">
        <v>3122</v>
      </c>
      <c r="C504" t="s">
        <v>576</v>
      </c>
      <c r="D504" t="s">
        <v>3123</v>
      </c>
      <c r="E504" t="s">
        <v>3124</v>
      </c>
      <c r="F504" s="3">
        <v>1</v>
      </c>
      <c r="G504" s="12">
        <f t="shared" si="14"/>
        <v>1.27</v>
      </c>
      <c r="H504" s="12" t="e">
        <f t="shared" si="15"/>
        <v>#NUM!</v>
      </c>
      <c r="I504" s="3">
        <v>1.2725499</v>
      </c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>
        <v>1.27</v>
      </c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  <c r="DQ504" s="4"/>
      <c r="DR504" s="4"/>
      <c r="DS504" s="4"/>
      <c r="DT504" s="4"/>
      <c r="DU504" s="4"/>
      <c r="DV504" s="4"/>
      <c r="DW504" s="4"/>
      <c r="DX504" s="4"/>
      <c r="DY504" s="4"/>
      <c r="DZ504" s="4"/>
      <c r="EA504" s="4"/>
      <c r="EB504" s="4"/>
      <c r="EC504" s="4"/>
      <c r="ED504" s="4"/>
      <c r="EE504" s="4"/>
      <c r="EF504" s="4"/>
      <c r="EG504" s="4"/>
      <c r="EH504" s="4"/>
      <c r="EI504" s="4"/>
      <c r="EJ504" s="4"/>
      <c r="EK504" s="4"/>
      <c r="EL504" s="4"/>
      <c r="EM504" s="4"/>
      <c r="EN504" s="4"/>
      <c r="EO504" s="4"/>
      <c r="EP504" s="4"/>
      <c r="EQ504" s="4"/>
      <c r="ER504" s="4"/>
      <c r="ES504" s="4"/>
      <c r="ET504" s="4"/>
      <c r="EU504" s="4"/>
      <c r="EV504" s="4"/>
      <c r="EW504" s="4"/>
      <c r="EX504" s="4"/>
      <c r="EY504" s="4"/>
      <c r="EZ504" s="4"/>
      <c r="FA504" s="4"/>
      <c r="FB504" s="4"/>
      <c r="FC504" s="4"/>
      <c r="FD504" s="4"/>
      <c r="FE504" s="4"/>
      <c r="FF504" s="4"/>
      <c r="FG504" s="4"/>
      <c r="FH504" s="4"/>
      <c r="FI504" s="4"/>
      <c r="FJ504" s="4"/>
      <c r="FK504" s="4"/>
      <c r="FL504" s="4"/>
      <c r="FM504" s="4"/>
      <c r="FN504" s="4"/>
      <c r="FO504" s="4"/>
      <c r="FP504" s="4"/>
      <c r="FQ504" s="4"/>
      <c r="FR504" s="4"/>
      <c r="FS504" s="4"/>
      <c r="FT504" s="4"/>
      <c r="FU504" s="4"/>
      <c r="FV504" s="4"/>
      <c r="FW504" s="4"/>
      <c r="FX504" s="4"/>
      <c r="FY504" s="4"/>
      <c r="FZ504" s="4"/>
      <c r="GA504" s="4"/>
      <c r="GB504" s="4"/>
      <c r="GC504" s="4"/>
      <c r="GD504" s="4"/>
      <c r="GE504" s="4"/>
      <c r="GF504" s="4"/>
      <c r="GG504" s="4"/>
      <c r="GH504" s="4"/>
      <c r="GI504" s="4"/>
      <c r="GJ504" s="4"/>
      <c r="GK504" s="4"/>
      <c r="GL504" s="4"/>
      <c r="GM504" s="4"/>
      <c r="GN504" s="4"/>
      <c r="GO504" s="4"/>
      <c r="GP504" s="4"/>
      <c r="GQ504" s="4"/>
      <c r="GR504" s="4"/>
      <c r="GS504" s="4"/>
      <c r="GT504" s="4"/>
      <c r="GU504" s="4"/>
      <c r="GV504" s="4"/>
      <c r="GW504" s="4"/>
      <c r="GX504" s="4"/>
      <c r="GY504" s="4"/>
      <c r="GZ504" s="4"/>
      <c r="HA504" s="4"/>
      <c r="HB504" s="4"/>
      <c r="HC504" s="4"/>
      <c r="HD504" s="4"/>
      <c r="HE504" s="4"/>
      <c r="HF504" s="4"/>
      <c r="HG504" s="4"/>
      <c r="HH504" s="4"/>
      <c r="HI504" s="4"/>
      <c r="HJ504" s="4"/>
    </row>
    <row r="505" spans="1:218" hidden="1">
      <c r="A505" t="s">
        <v>2898</v>
      </c>
      <c r="B505" t="s">
        <v>2899</v>
      </c>
      <c r="C505" t="s">
        <v>443</v>
      </c>
      <c r="D505" t="s">
        <v>2900</v>
      </c>
      <c r="E505" t="s">
        <v>2901</v>
      </c>
      <c r="F505" s="3">
        <v>1</v>
      </c>
      <c r="G505" s="12">
        <f t="shared" si="14"/>
        <v>2.4</v>
      </c>
      <c r="H505" s="12" t="e">
        <f t="shared" si="15"/>
        <v>#NUM!</v>
      </c>
      <c r="I505" s="3">
        <v>2.3974700000000002</v>
      </c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>
        <v>2.4</v>
      </c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  <c r="DQ505" s="4"/>
      <c r="DR505" s="4"/>
      <c r="DS505" s="4"/>
      <c r="DT505" s="4"/>
      <c r="DU505" s="4"/>
      <c r="DV505" s="4"/>
      <c r="DW505" s="4"/>
      <c r="DX505" s="4"/>
      <c r="DY505" s="4"/>
      <c r="DZ505" s="4"/>
      <c r="EA505" s="4"/>
      <c r="EB505" s="4"/>
      <c r="EC505" s="4"/>
      <c r="ED505" s="4"/>
      <c r="EE505" s="4"/>
      <c r="EF505" s="4"/>
      <c r="EG505" s="4"/>
      <c r="EH505" s="4"/>
      <c r="EI505" s="4"/>
      <c r="EJ505" s="4"/>
      <c r="EK505" s="4"/>
      <c r="EL505" s="4"/>
      <c r="EM505" s="4"/>
      <c r="EN505" s="4"/>
      <c r="EO505" s="4"/>
      <c r="EP505" s="4"/>
      <c r="EQ505" s="4"/>
      <c r="ER505" s="4"/>
      <c r="ES505" s="4"/>
      <c r="ET505" s="4"/>
      <c r="EU505" s="4"/>
      <c r="EV505" s="4"/>
      <c r="EW505" s="4"/>
      <c r="EX505" s="4"/>
      <c r="EY505" s="4"/>
      <c r="EZ505" s="4"/>
      <c r="FA505" s="4"/>
      <c r="FB505" s="4"/>
      <c r="FC505" s="4"/>
      <c r="FD505" s="4"/>
      <c r="FE505" s="4"/>
      <c r="FF505" s="4"/>
      <c r="FG505" s="4"/>
      <c r="FH505" s="4"/>
      <c r="FI505" s="4"/>
      <c r="FJ505" s="4"/>
      <c r="FK505" s="4"/>
      <c r="FL505" s="4"/>
      <c r="FM505" s="4"/>
      <c r="FN505" s="4"/>
      <c r="FO505" s="4"/>
      <c r="FP505" s="4"/>
      <c r="FQ505" s="4"/>
      <c r="FR505" s="4"/>
      <c r="FS505" s="4"/>
      <c r="FT505" s="4"/>
      <c r="FU505" s="4"/>
      <c r="FV505" s="4"/>
      <c r="FW505" s="4"/>
      <c r="FX505" s="4"/>
      <c r="FY505" s="4"/>
      <c r="FZ505" s="4"/>
      <c r="GA505" s="4"/>
      <c r="GB505" s="4"/>
      <c r="GC505" s="4"/>
      <c r="GD505" s="4"/>
      <c r="GE505" s="4"/>
      <c r="GF505" s="4"/>
      <c r="GG505" s="4"/>
      <c r="GH505" s="4"/>
      <c r="GI505" s="4"/>
      <c r="GJ505" s="4"/>
      <c r="GK505" s="4"/>
      <c r="GL505" s="4"/>
      <c r="GM505" s="4"/>
      <c r="GN505" s="4"/>
      <c r="GO505" s="4"/>
      <c r="GP505" s="4"/>
      <c r="GQ505" s="4"/>
      <c r="GR505" s="4"/>
      <c r="GS505" s="4"/>
      <c r="GT505" s="4"/>
      <c r="GU505" s="4"/>
      <c r="GV505" s="4"/>
      <c r="GW505" s="4"/>
      <c r="GX505" s="4"/>
      <c r="GY505" s="4"/>
      <c r="GZ505" s="4"/>
      <c r="HA505" s="4"/>
      <c r="HB505" s="4"/>
      <c r="HC505" s="4"/>
      <c r="HD505" s="4"/>
      <c r="HE505" s="4"/>
      <c r="HF505" s="4"/>
      <c r="HG505" s="4"/>
      <c r="HH505" s="4"/>
      <c r="HI505" s="4"/>
      <c r="HJ505" s="4"/>
    </row>
    <row r="506" spans="1:218" hidden="1">
      <c r="A506" t="s">
        <v>2506</v>
      </c>
      <c r="B506" t="s">
        <v>2507</v>
      </c>
      <c r="C506" t="s">
        <v>1470</v>
      </c>
      <c r="D506" t="s">
        <v>2508</v>
      </c>
      <c r="E506" t="s">
        <v>2509</v>
      </c>
      <c r="F506" s="3">
        <v>1</v>
      </c>
      <c r="G506" s="12">
        <f t="shared" si="14"/>
        <v>3.62</v>
      </c>
      <c r="H506" s="12" t="e">
        <f t="shared" si="15"/>
        <v>#NUM!</v>
      </c>
      <c r="I506" s="3">
        <v>3.61659</v>
      </c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>
        <v>3.62</v>
      </c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  <c r="DQ506" s="4"/>
      <c r="DR506" s="4"/>
      <c r="DS506" s="4"/>
      <c r="DT506" s="4"/>
      <c r="DU506" s="4"/>
      <c r="DV506" s="4"/>
      <c r="DW506" s="4"/>
      <c r="DX506" s="4"/>
      <c r="DY506" s="4"/>
      <c r="DZ506" s="4"/>
      <c r="EA506" s="4"/>
      <c r="EB506" s="4"/>
      <c r="EC506" s="4"/>
      <c r="ED506" s="4"/>
      <c r="EE506" s="4"/>
      <c r="EF506" s="4"/>
      <c r="EG506" s="4"/>
      <c r="EH506" s="4"/>
      <c r="EI506" s="4"/>
      <c r="EJ506" s="4"/>
      <c r="EK506" s="4"/>
      <c r="EL506" s="4"/>
      <c r="EM506" s="4"/>
      <c r="EN506" s="4"/>
      <c r="EO506" s="4"/>
      <c r="EP506" s="4"/>
      <c r="EQ506" s="4"/>
      <c r="ER506" s="4"/>
      <c r="ES506" s="4"/>
      <c r="ET506" s="4"/>
      <c r="EU506" s="4"/>
      <c r="EV506" s="4"/>
      <c r="EW506" s="4"/>
      <c r="EX506" s="4"/>
      <c r="EY506" s="4"/>
      <c r="EZ506" s="4"/>
      <c r="FA506" s="4"/>
      <c r="FB506" s="4"/>
      <c r="FC506" s="4"/>
      <c r="FD506" s="4"/>
      <c r="FE506" s="4"/>
      <c r="FF506" s="4"/>
      <c r="FG506" s="4"/>
      <c r="FH506" s="4"/>
      <c r="FI506" s="4"/>
      <c r="FJ506" s="4"/>
      <c r="FK506" s="4"/>
      <c r="FL506" s="4"/>
      <c r="FM506" s="4"/>
      <c r="FN506" s="4"/>
      <c r="FO506" s="4"/>
      <c r="FP506" s="4"/>
      <c r="FQ506" s="4"/>
      <c r="FR506" s="4"/>
      <c r="FS506" s="4"/>
      <c r="FT506" s="4"/>
      <c r="FU506" s="4"/>
      <c r="FV506" s="4"/>
      <c r="FW506" s="4"/>
      <c r="FX506" s="4"/>
      <c r="FY506" s="4"/>
      <c r="FZ506" s="4"/>
      <c r="GA506" s="4"/>
      <c r="GB506" s="4"/>
      <c r="GC506" s="4"/>
      <c r="GD506" s="4"/>
      <c r="GE506" s="4"/>
      <c r="GF506" s="4"/>
      <c r="GG506" s="4"/>
      <c r="GH506" s="4"/>
      <c r="GI506" s="4"/>
      <c r="GJ506" s="4"/>
      <c r="GK506" s="4"/>
      <c r="GL506" s="4"/>
      <c r="GM506" s="4"/>
      <c r="GN506" s="4"/>
      <c r="GO506" s="4"/>
      <c r="GP506" s="4"/>
      <c r="GQ506" s="4"/>
      <c r="GR506" s="4"/>
      <c r="GS506" s="4"/>
      <c r="GT506" s="4"/>
      <c r="GU506" s="4"/>
      <c r="GV506" s="4"/>
      <c r="GW506" s="4"/>
      <c r="GX506" s="4"/>
      <c r="GY506" s="4"/>
      <c r="GZ506" s="4"/>
      <c r="HA506" s="4"/>
      <c r="HB506" s="4"/>
      <c r="HC506" s="4"/>
      <c r="HD506" s="4"/>
      <c r="HE506" s="4"/>
      <c r="HF506" s="4"/>
      <c r="HG506" s="4"/>
      <c r="HH506" s="4"/>
      <c r="HI506" s="4"/>
      <c r="HJ506" s="4"/>
    </row>
    <row r="507" spans="1:218" hidden="1">
      <c r="A507" t="s">
        <v>2068</v>
      </c>
      <c r="B507" t="s">
        <v>2069</v>
      </c>
      <c r="C507" t="s">
        <v>443</v>
      </c>
      <c r="D507" t="s">
        <v>2070</v>
      </c>
      <c r="E507" t="s">
        <v>2071</v>
      </c>
      <c r="F507" s="3">
        <v>1</v>
      </c>
      <c r="G507" s="12">
        <f t="shared" si="14"/>
        <v>4.5999999999999996</v>
      </c>
      <c r="H507" s="12" t="e">
        <f t="shared" si="15"/>
        <v>#NUM!</v>
      </c>
      <c r="I507" s="3">
        <v>4.6012900000000014</v>
      </c>
      <c r="K507" s="4"/>
      <c r="L507" s="4"/>
      <c r="M507" s="4"/>
      <c r="N507" s="4"/>
      <c r="O507" s="4"/>
      <c r="P507" s="4"/>
      <c r="Q507" s="4"/>
      <c r="R507" s="4"/>
      <c r="S507" s="4">
        <v>4.5999999999999996</v>
      </c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  <c r="DQ507" s="4"/>
      <c r="DR507" s="4"/>
      <c r="DS507" s="4"/>
      <c r="DT507" s="4"/>
      <c r="DU507" s="4"/>
      <c r="DV507" s="4"/>
      <c r="DW507" s="4"/>
      <c r="DX507" s="4"/>
      <c r="DY507" s="4"/>
      <c r="DZ507" s="4"/>
      <c r="EA507" s="4"/>
      <c r="EB507" s="4"/>
      <c r="EC507" s="4"/>
      <c r="ED507" s="4"/>
      <c r="EE507" s="4"/>
      <c r="EF507" s="4"/>
      <c r="EG507" s="4"/>
      <c r="EH507" s="4"/>
      <c r="EI507" s="4"/>
      <c r="EJ507" s="4"/>
      <c r="EK507" s="4"/>
      <c r="EL507" s="4"/>
      <c r="EM507" s="4"/>
      <c r="EN507" s="4"/>
      <c r="EO507" s="4"/>
      <c r="EP507" s="4"/>
      <c r="EQ507" s="4"/>
      <c r="ER507" s="4"/>
      <c r="ES507" s="4"/>
      <c r="ET507" s="4"/>
      <c r="EU507" s="4"/>
      <c r="EV507" s="4"/>
      <c r="EW507" s="4"/>
      <c r="EX507" s="4"/>
      <c r="EY507" s="4"/>
      <c r="EZ507" s="4"/>
      <c r="FA507" s="4"/>
      <c r="FB507" s="4"/>
      <c r="FC507" s="4"/>
      <c r="FD507" s="4"/>
      <c r="FE507" s="4"/>
      <c r="FF507" s="4"/>
      <c r="FG507" s="4"/>
      <c r="FH507" s="4"/>
      <c r="FI507" s="4"/>
      <c r="FJ507" s="4"/>
      <c r="FK507" s="4"/>
      <c r="FL507" s="4"/>
      <c r="FM507" s="4"/>
      <c r="FN507" s="4"/>
      <c r="FO507" s="4"/>
      <c r="FP507" s="4"/>
      <c r="FQ507" s="4"/>
      <c r="FR507" s="4"/>
      <c r="FS507" s="4"/>
      <c r="FT507" s="4"/>
      <c r="FU507" s="4"/>
      <c r="FV507" s="4"/>
      <c r="FW507" s="4"/>
      <c r="FX507" s="4"/>
      <c r="FY507" s="4"/>
      <c r="FZ507" s="4"/>
      <c r="GA507" s="4"/>
      <c r="GB507" s="4"/>
      <c r="GC507" s="4"/>
      <c r="GD507" s="4"/>
      <c r="GE507" s="4"/>
      <c r="GF507" s="4"/>
      <c r="GG507" s="4"/>
      <c r="GH507" s="4"/>
      <c r="GI507" s="4"/>
      <c r="GJ507" s="4"/>
      <c r="GK507" s="4"/>
      <c r="GL507" s="4"/>
      <c r="GM507" s="4"/>
      <c r="GN507" s="4"/>
      <c r="GO507" s="4"/>
      <c r="GP507" s="4"/>
      <c r="GQ507" s="4"/>
      <c r="GR507" s="4"/>
      <c r="GS507" s="4"/>
      <c r="GT507" s="4"/>
      <c r="GU507" s="4"/>
      <c r="GV507" s="4"/>
      <c r="GW507" s="4"/>
      <c r="GX507" s="4"/>
      <c r="GY507" s="4"/>
      <c r="GZ507" s="4"/>
      <c r="HA507" s="4"/>
      <c r="HB507" s="4"/>
      <c r="HC507" s="4"/>
      <c r="HD507" s="4"/>
      <c r="HE507" s="4"/>
      <c r="HF507" s="4"/>
      <c r="HG507" s="4"/>
      <c r="HH507" s="4"/>
      <c r="HI507" s="4"/>
      <c r="HJ507" s="4"/>
    </row>
    <row r="508" spans="1:218" hidden="1">
      <c r="A508" t="s">
        <v>2270</v>
      </c>
      <c r="B508" t="s">
        <v>2271</v>
      </c>
      <c r="C508" t="s">
        <v>505</v>
      </c>
      <c r="D508" t="s">
        <v>2272</v>
      </c>
      <c r="E508" t="s">
        <v>2273</v>
      </c>
      <c r="F508" s="3">
        <v>1</v>
      </c>
      <c r="G508" s="12">
        <f t="shared" si="14"/>
        <v>4.1900000000000004</v>
      </c>
      <c r="H508" s="12" t="e">
        <f t="shared" si="15"/>
        <v>#NUM!</v>
      </c>
      <c r="I508" s="3">
        <v>4.1873300000000002</v>
      </c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  <c r="DQ508" s="4"/>
      <c r="DR508" s="4"/>
      <c r="DS508" s="4"/>
      <c r="DT508" s="4"/>
      <c r="DU508" s="4"/>
      <c r="DV508" s="4"/>
      <c r="DW508" s="4"/>
      <c r="DX508" s="4"/>
      <c r="DY508" s="4"/>
      <c r="DZ508" s="4"/>
      <c r="EA508" s="4"/>
      <c r="EB508" s="4"/>
      <c r="EC508" s="4"/>
      <c r="ED508" s="4"/>
      <c r="EE508" s="4"/>
      <c r="EF508" s="4"/>
      <c r="EG508" s="4"/>
      <c r="EH508" s="4"/>
      <c r="EI508" s="4"/>
      <c r="EJ508" s="4"/>
      <c r="EK508" s="4"/>
      <c r="EL508" s="4"/>
      <c r="EM508" s="4"/>
      <c r="EN508" s="4"/>
      <c r="EO508" s="4"/>
      <c r="EP508" s="4"/>
      <c r="EQ508" s="4"/>
      <c r="ER508" s="4"/>
      <c r="ES508" s="4"/>
      <c r="ET508" s="4"/>
      <c r="EU508" s="4"/>
      <c r="EV508" s="4"/>
      <c r="EW508" s="4"/>
      <c r="EX508" s="4"/>
      <c r="EY508" s="4"/>
      <c r="EZ508" s="4"/>
      <c r="FA508" s="4"/>
      <c r="FB508" s="4"/>
      <c r="FC508" s="4"/>
      <c r="FD508" s="4"/>
      <c r="FE508" s="4"/>
      <c r="FF508" s="4"/>
      <c r="FG508" s="4"/>
      <c r="FH508" s="4"/>
      <c r="FI508" s="4"/>
      <c r="FJ508" s="4"/>
      <c r="FK508" s="4">
        <v>4.1900000000000004</v>
      </c>
      <c r="FL508" s="4"/>
      <c r="FM508" s="4"/>
      <c r="FN508" s="4"/>
      <c r="FO508" s="4"/>
      <c r="FP508" s="4"/>
      <c r="FQ508" s="4"/>
      <c r="FR508" s="4"/>
      <c r="FS508" s="4"/>
      <c r="FT508" s="4"/>
      <c r="FU508" s="4"/>
      <c r="FV508" s="4"/>
      <c r="FW508" s="4"/>
      <c r="FX508" s="4"/>
      <c r="FY508" s="4"/>
      <c r="FZ508" s="4"/>
      <c r="GA508" s="4"/>
      <c r="GB508" s="4"/>
      <c r="GC508" s="4"/>
      <c r="GD508" s="4"/>
      <c r="GE508" s="4"/>
      <c r="GF508" s="4"/>
      <c r="GG508" s="4"/>
      <c r="GH508" s="4"/>
      <c r="GI508" s="4"/>
      <c r="GJ508" s="4"/>
      <c r="GK508" s="4"/>
      <c r="GL508" s="4"/>
      <c r="GM508" s="4"/>
      <c r="GN508" s="4"/>
      <c r="GO508" s="4"/>
      <c r="GP508" s="4"/>
      <c r="GQ508" s="4"/>
      <c r="GR508" s="4"/>
      <c r="GS508" s="4"/>
      <c r="GT508" s="4"/>
      <c r="GU508" s="4"/>
      <c r="GV508" s="4"/>
      <c r="GW508" s="4"/>
      <c r="GX508" s="4"/>
      <c r="GY508" s="4"/>
      <c r="GZ508" s="4"/>
      <c r="HA508" s="4"/>
      <c r="HB508" s="4"/>
      <c r="HC508" s="4"/>
      <c r="HD508" s="4"/>
      <c r="HE508" s="4"/>
      <c r="HF508" s="4"/>
      <c r="HG508" s="4"/>
      <c r="HH508" s="4"/>
      <c r="HI508" s="4"/>
      <c r="HJ508" s="4"/>
    </row>
    <row r="509" spans="1:218" hidden="1">
      <c r="A509" t="s">
        <v>1814</v>
      </c>
      <c r="B509" t="s">
        <v>1815</v>
      </c>
      <c r="C509" t="s">
        <v>443</v>
      </c>
      <c r="D509" t="s">
        <v>1816</v>
      </c>
      <c r="E509" t="s">
        <v>1817</v>
      </c>
      <c r="F509" s="3">
        <v>1</v>
      </c>
      <c r="G509" s="12">
        <f t="shared" si="14"/>
        <v>6.13</v>
      </c>
      <c r="H509" s="12" t="e">
        <f t="shared" si="15"/>
        <v>#NUM!</v>
      </c>
      <c r="I509" s="3">
        <v>6.1337400000000004</v>
      </c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>
        <v>6.13</v>
      </c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  <c r="DQ509" s="4"/>
      <c r="DR509" s="4"/>
      <c r="DS509" s="4"/>
      <c r="DT509" s="4"/>
      <c r="DU509" s="4"/>
      <c r="DV509" s="4"/>
      <c r="DW509" s="4"/>
      <c r="DX509" s="4"/>
      <c r="DY509" s="4"/>
      <c r="DZ509" s="4"/>
      <c r="EA509" s="4"/>
      <c r="EB509" s="4"/>
      <c r="EC509" s="4"/>
      <c r="ED509" s="4"/>
      <c r="EE509" s="4"/>
      <c r="EF509" s="4"/>
      <c r="EG509" s="4"/>
      <c r="EH509" s="4"/>
      <c r="EI509" s="4"/>
      <c r="EJ509" s="4"/>
      <c r="EK509" s="4"/>
      <c r="EL509" s="4"/>
      <c r="EM509" s="4"/>
      <c r="EN509" s="4"/>
      <c r="EO509" s="4"/>
      <c r="EP509" s="4"/>
      <c r="EQ509" s="4"/>
      <c r="ER509" s="4"/>
      <c r="ES509" s="4"/>
      <c r="ET509" s="4"/>
      <c r="EU509" s="4"/>
      <c r="EV509" s="4"/>
      <c r="EW509" s="4"/>
      <c r="EX509" s="4"/>
      <c r="EY509" s="4"/>
      <c r="EZ509" s="4"/>
      <c r="FA509" s="4"/>
      <c r="FB509" s="4"/>
      <c r="FC509" s="4"/>
      <c r="FD509" s="4"/>
      <c r="FE509" s="4"/>
      <c r="FF509" s="4"/>
      <c r="FG509" s="4"/>
      <c r="FH509" s="4"/>
      <c r="FI509" s="4"/>
      <c r="FJ509" s="4"/>
      <c r="FK509" s="4"/>
      <c r="FL509" s="4"/>
      <c r="FM509" s="4"/>
      <c r="FN509" s="4"/>
      <c r="FO509" s="4"/>
      <c r="FP509" s="4"/>
      <c r="FQ509" s="4"/>
      <c r="FR509" s="4"/>
      <c r="FS509" s="4"/>
      <c r="FT509" s="4"/>
      <c r="FU509" s="4"/>
      <c r="FV509" s="4"/>
      <c r="FW509" s="4"/>
      <c r="FX509" s="4"/>
      <c r="FY509" s="4"/>
      <c r="FZ509" s="4"/>
      <c r="GA509" s="4"/>
      <c r="GB509" s="4"/>
      <c r="GC509" s="4"/>
      <c r="GD509" s="4"/>
      <c r="GE509" s="4"/>
      <c r="GF509" s="4"/>
      <c r="GG509" s="4"/>
      <c r="GH509" s="4"/>
      <c r="GI509" s="4"/>
      <c r="GJ509" s="4"/>
      <c r="GK509" s="4"/>
      <c r="GL509" s="4"/>
      <c r="GM509" s="4"/>
      <c r="GN509" s="4"/>
      <c r="GO509" s="4"/>
      <c r="GP509" s="4"/>
      <c r="GQ509" s="4"/>
      <c r="GR509" s="4"/>
      <c r="GS509" s="4"/>
      <c r="GT509" s="4"/>
      <c r="GU509" s="4"/>
      <c r="GV509" s="4"/>
      <c r="GW509" s="4"/>
      <c r="GX509" s="4"/>
      <c r="GY509" s="4"/>
      <c r="GZ509" s="4"/>
      <c r="HA509" s="4"/>
      <c r="HB509" s="4"/>
      <c r="HC509" s="4"/>
      <c r="HD509" s="4"/>
      <c r="HE509" s="4"/>
      <c r="HF509" s="4"/>
      <c r="HG509" s="4"/>
      <c r="HH509" s="4"/>
      <c r="HI509" s="4"/>
      <c r="HJ509" s="4"/>
    </row>
    <row r="510" spans="1:218" hidden="1">
      <c r="A510" t="s">
        <v>2017</v>
      </c>
      <c r="B510" t="s">
        <v>2018</v>
      </c>
      <c r="C510" t="s">
        <v>505</v>
      </c>
      <c r="D510" t="s">
        <v>2019</v>
      </c>
      <c r="E510" t="s">
        <v>2020</v>
      </c>
      <c r="F510" s="3">
        <v>1</v>
      </c>
      <c r="G510" s="12">
        <f t="shared" si="14"/>
        <v>4.72</v>
      </c>
      <c r="H510" s="12" t="e">
        <f t="shared" si="15"/>
        <v>#NUM!</v>
      </c>
      <c r="I510" s="3">
        <v>4.7248400000000004</v>
      </c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>
        <v>4.72</v>
      </c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  <c r="DQ510" s="4"/>
      <c r="DR510" s="4"/>
      <c r="DS510" s="4"/>
      <c r="DT510" s="4"/>
      <c r="DU510" s="4"/>
      <c r="DV510" s="4"/>
      <c r="DW510" s="4"/>
      <c r="DX510" s="4"/>
      <c r="DY510" s="4"/>
      <c r="DZ510" s="4"/>
      <c r="EA510" s="4"/>
      <c r="EB510" s="4"/>
      <c r="EC510" s="4"/>
      <c r="ED510" s="4"/>
      <c r="EE510" s="4"/>
      <c r="EF510" s="4"/>
      <c r="EG510" s="4"/>
      <c r="EH510" s="4"/>
      <c r="EI510" s="4"/>
      <c r="EJ510" s="4"/>
      <c r="EK510" s="4"/>
      <c r="EL510" s="4"/>
      <c r="EM510" s="4"/>
      <c r="EN510" s="4"/>
      <c r="EO510" s="4"/>
      <c r="EP510" s="4"/>
      <c r="EQ510" s="4"/>
      <c r="ER510" s="4"/>
      <c r="ES510" s="4"/>
      <c r="ET510" s="4"/>
      <c r="EU510" s="4"/>
      <c r="EV510" s="4"/>
      <c r="EW510" s="4"/>
      <c r="EX510" s="4"/>
      <c r="EY510" s="4"/>
      <c r="EZ510" s="4"/>
      <c r="FA510" s="4"/>
      <c r="FB510" s="4"/>
      <c r="FC510" s="4"/>
      <c r="FD510" s="4"/>
      <c r="FE510" s="4"/>
      <c r="FF510" s="4"/>
      <c r="FG510" s="4"/>
      <c r="FH510" s="4"/>
      <c r="FI510" s="4"/>
      <c r="FJ510" s="4"/>
      <c r="FK510" s="4"/>
      <c r="FL510" s="4"/>
      <c r="FM510" s="4"/>
      <c r="FN510" s="4"/>
      <c r="FO510" s="4"/>
      <c r="FP510" s="4"/>
      <c r="FQ510" s="4"/>
      <c r="FR510" s="4"/>
      <c r="FS510" s="4"/>
      <c r="FT510" s="4"/>
      <c r="FU510" s="4"/>
      <c r="FV510" s="4"/>
      <c r="FW510" s="4"/>
      <c r="FX510" s="4"/>
      <c r="FY510" s="4"/>
      <c r="FZ510" s="4"/>
      <c r="GA510" s="4"/>
      <c r="GB510" s="4"/>
      <c r="GC510" s="4"/>
      <c r="GD510" s="4"/>
      <c r="GE510" s="4"/>
      <c r="GF510" s="4"/>
      <c r="GG510" s="4"/>
      <c r="GH510" s="4"/>
      <c r="GI510" s="4"/>
      <c r="GJ510" s="4"/>
      <c r="GK510" s="4"/>
      <c r="GL510" s="4"/>
      <c r="GM510" s="4"/>
      <c r="GN510" s="4"/>
      <c r="GO510" s="4"/>
      <c r="GP510" s="4"/>
      <c r="GQ510" s="4"/>
      <c r="GR510" s="4"/>
      <c r="GS510" s="4"/>
      <c r="GT510" s="4"/>
      <c r="GU510" s="4"/>
      <c r="GV510" s="4"/>
      <c r="GW510" s="4"/>
      <c r="GX510" s="4"/>
      <c r="GY510" s="4"/>
      <c r="GZ510" s="4"/>
      <c r="HA510" s="4"/>
      <c r="HB510" s="4"/>
      <c r="HC510" s="4"/>
      <c r="HD510" s="4"/>
      <c r="HE510" s="4"/>
      <c r="HF510" s="4"/>
      <c r="HG510" s="4"/>
      <c r="HH510" s="4"/>
      <c r="HI510" s="4"/>
      <c r="HJ510" s="4"/>
    </row>
    <row r="511" spans="1:218" hidden="1">
      <c r="A511" t="s">
        <v>2738</v>
      </c>
      <c r="B511" t="s">
        <v>2739</v>
      </c>
      <c r="C511" t="s">
        <v>2740</v>
      </c>
      <c r="D511" t="s">
        <v>2741</v>
      </c>
      <c r="E511" t="s">
        <v>2742</v>
      </c>
      <c r="F511" s="3">
        <v>1</v>
      </c>
      <c r="G511" s="12">
        <f t="shared" si="14"/>
        <v>3.01</v>
      </c>
      <c r="H511" s="12" t="e">
        <f t="shared" si="15"/>
        <v>#NUM!</v>
      </c>
      <c r="I511" s="3">
        <v>3.0112999999999999</v>
      </c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>
        <v>3.01</v>
      </c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  <c r="DQ511" s="4"/>
      <c r="DR511" s="4"/>
      <c r="DS511" s="4"/>
      <c r="DT511" s="4"/>
      <c r="DU511" s="4"/>
      <c r="DV511" s="4"/>
      <c r="DW511" s="4"/>
      <c r="DX511" s="4"/>
      <c r="DY511" s="4"/>
      <c r="DZ511" s="4"/>
      <c r="EA511" s="4"/>
      <c r="EB511" s="4"/>
      <c r="EC511" s="4"/>
      <c r="ED511" s="4"/>
      <c r="EE511" s="4"/>
      <c r="EF511" s="4"/>
      <c r="EG511" s="4"/>
      <c r="EH511" s="4"/>
      <c r="EI511" s="4"/>
      <c r="EJ511" s="4"/>
      <c r="EK511" s="4"/>
      <c r="EL511" s="4"/>
      <c r="EM511" s="4"/>
      <c r="EN511" s="4"/>
      <c r="EO511" s="4"/>
      <c r="EP511" s="4"/>
      <c r="EQ511" s="4"/>
      <c r="ER511" s="4"/>
      <c r="ES511" s="4"/>
      <c r="ET511" s="4"/>
      <c r="EU511" s="4"/>
      <c r="EV511" s="4"/>
      <c r="EW511" s="4"/>
      <c r="EX511" s="4"/>
      <c r="EY511" s="4"/>
      <c r="EZ511" s="4"/>
      <c r="FA511" s="4"/>
      <c r="FB511" s="4"/>
      <c r="FC511" s="4"/>
      <c r="FD511" s="4"/>
      <c r="FE511" s="4"/>
      <c r="FF511" s="4"/>
      <c r="FG511" s="4"/>
      <c r="FH511" s="4"/>
      <c r="FI511" s="4"/>
      <c r="FJ511" s="4"/>
      <c r="FK511" s="4"/>
      <c r="FL511" s="4"/>
      <c r="FM511" s="4"/>
      <c r="FN511" s="4"/>
      <c r="FO511" s="4"/>
      <c r="FP511" s="4"/>
      <c r="FQ511" s="4"/>
      <c r="FR511" s="4"/>
      <c r="FS511" s="4"/>
      <c r="FT511" s="4"/>
      <c r="FU511" s="4"/>
      <c r="FV511" s="4"/>
      <c r="FW511" s="4"/>
      <c r="FX511" s="4"/>
      <c r="FY511" s="4"/>
      <c r="FZ511" s="4"/>
      <c r="GA511" s="4"/>
      <c r="GB511" s="4"/>
      <c r="GC511" s="4"/>
      <c r="GD511" s="4"/>
      <c r="GE511" s="4"/>
      <c r="GF511" s="4"/>
      <c r="GG511" s="4"/>
      <c r="GH511" s="4"/>
      <c r="GI511" s="4"/>
      <c r="GJ511" s="4"/>
      <c r="GK511" s="4"/>
      <c r="GL511" s="4"/>
      <c r="GM511" s="4"/>
      <c r="GN511" s="4"/>
      <c r="GO511" s="4"/>
      <c r="GP511" s="4"/>
      <c r="GQ511" s="4"/>
      <c r="GR511" s="4"/>
      <c r="GS511" s="4"/>
      <c r="GT511" s="4"/>
      <c r="GU511" s="4"/>
      <c r="GV511" s="4"/>
      <c r="GW511" s="4"/>
      <c r="GX511" s="4"/>
      <c r="GY511" s="4"/>
      <c r="GZ511" s="4"/>
      <c r="HA511" s="4"/>
      <c r="HB511" s="4"/>
      <c r="HC511" s="4"/>
      <c r="HD511" s="4"/>
      <c r="HE511" s="4"/>
      <c r="HF511" s="4"/>
      <c r="HG511" s="4"/>
      <c r="HH511" s="4"/>
      <c r="HI511" s="4"/>
      <c r="HJ511" s="4"/>
    </row>
    <row r="512" spans="1:218" hidden="1">
      <c r="A512" t="s">
        <v>1940</v>
      </c>
      <c r="B512" t="s">
        <v>1941</v>
      </c>
      <c r="C512" t="s">
        <v>505</v>
      </c>
      <c r="D512" t="s">
        <v>1075</v>
      </c>
      <c r="E512" t="s">
        <v>1942</v>
      </c>
      <c r="F512" s="3">
        <v>1</v>
      </c>
      <c r="G512" s="12">
        <f t="shared" si="14"/>
        <v>5.03</v>
      </c>
      <c r="H512" s="12" t="e">
        <f t="shared" si="15"/>
        <v>#NUM!</v>
      </c>
      <c r="I512" s="3">
        <v>5.0264600000000002</v>
      </c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  <c r="DQ512" s="4"/>
      <c r="DR512" s="4"/>
      <c r="DS512" s="4"/>
      <c r="DT512" s="4"/>
      <c r="DU512" s="4"/>
      <c r="DV512" s="4"/>
      <c r="DW512" s="4"/>
      <c r="DX512" s="4"/>
      <c r="DY512" s="4"/>
      <c r="DZ512" s="4"/>
      <c r="EA512" s="4"/>
      <c r="EB512" s="4"/>
      <c r="EC512" s="4"/>
      <c r="ED512" s="4"/>
      <c r="EE512" s="4"/>
      <c r="EF512" s="4"/>
      <c r="EG512" s="4"/>
      <c r="EH512" s="4"/>
      <c r="EI512" s="4"/>
      <c r="EJ512" s="4"/>
      <c r="EK512" s="4"/>
      <c r="EL512" s="4"/>
      <c r="EM512" s="4"/>
      <c r="EN512" s="4"/>
      <c r="EO512" s="4"/>
      <c r="EP512" s="4"/>
      <c r="EQ512" s="4"/>
      <c r="ER512" s="4"/>
      <c r="ES512" s="4"/>
      <c r="ET512" s="4"/>
      <c r="EU512" s="4"/>
      <c r="EV512" s="4"/>
      <c r="EW512" s="4"/>
      <c r="EX512" s="4"/>
      <c r="EY512" s="4"/>
      <c r="EZ512" s="4"/>
      <c r="FA512" s="4"/>
      <c r="FB512" s="4"/>
      <c r="FC512" s="4"/>
      <c r="FD512" s="4"/>
      <c r="FE512" s="4"/>
      <c r="FF512" s="4"/>
      <c r="FG512" s="4"/>
      <c r="FH512" s="4"/>
      <c r="FI512" s="4"/>
      <c r="FJ512" s="4"/>
      <c r="FK512" s="4"/>
      <c r="FL512" s="4"/>
      <c r="FM512" s="4"/>
      <c r="FN512" s="4"/>
      <c r="FO512" s="4"/>
      <c r="FP512" s="4"/>
      <c r="FQ512" s="4"/>
      <c r="FR512" s="4"/>
      <c r="FS512" s="4"/>
      <c r="FT512" s="4"/>
      <c r="FU512" s="4"/>
      <c r="FV512" s="4"/>
      <c r="FW512" s="4"/>
      <c r="FX512" s="4"/>
      <c r="FY512" s="4"/>
      <c r="FZ512" s="4">
        <v>5.03</v>
      </c>
      <c r="GA512" s="4"/>
      <c r="GB512" s="4"/>
      <c r="GC512" s="4"/>
      <c r="GD512" s="4"/>
      <c r="GE512" s="4"/>
      <c r="GF512" s="4"/>
      <c r="GG512" s="4"/>
      <c r="GH512" s="4"/>
      <c r="GI512" s="4"/>
      <c r="GJ512" s="4"/>
      <c r="GK512" s="4"/>
      <c r="GL512" s="4"/>
      <c r="GM512" s="4"/>
      <c r="GN512" s="4"/>
      <c r="GO512" s="4"/>
      <c r="GP512" s="4"/>
      <c r="GQ512" s="4"/>
      <c r="GR512" s="4"/>
      <c r="GS512" s="4"/>
      <c r="GT512" s="4"/>
      <c r="GU512" s="4"/>
      <c r="GV512" s="4"/>
      <c r="GW512" s="4"/>
      <c r="GX512" s="4"/>
      <c r="GY512" s="4"/>
      <c r="GZ512" s="4"/>
      <c r="HA512" s="4"/>
      <c r="HB512" s="4"/>
      <c r="HC512" s="4"/>
      <c r="HD512" s="4"/>
      <c r="HE512" s="4"/>
      <c r="HF512" s="4"/>
      <c r="HG512" s="4"/>
      <c r="HH512" s="4"/>
      <c r="HI512" s="4"/>
      <c r="HJ512" s="4"/>
    </row>
    <row r="513" spans="1:218" hidden="1">
      <c r="A513" t="s">
        <v>1650</v>
      </c>
      <c r="B513" t="s">
        <v>1651</v>
      </c>
      <c r="C513" t="s">
        <v>1652</v>
      </c>
      <c r="D513" t="s">
        <v>490</v>
      </c>
      <c r="E513" t="s">
        <v>1653</v>
      </c>
      <c r="F513" s="3">
        <v>1</v>
      </c>
      <c r="G513" s="12">
        <f t="shared" si="14"/>
        <v>13.69</v>
      </c>
      <c r="H513" s="12" t="e">
        <f t="shared" si="15"/>
        <v>#NUM!</v>
      </c>
      <c r="I513" s="3">
        <v>13.68989</v>
      </c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>
        <v>13.69</v>
      </c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  <c r="DQ513" s="4"/>
      <c r="DR513" s="4"/>
      <c r="DS513" s="4"/>
      <c r="DT513" s="4"/>
      <c r="DU513" s="4"/>
      <c r="DV513" s="4"/>
      <c r="DW513" s="4"/>
      <c r="DX513" s="4"/>
      <c r="DY513" s="4"/>
      <c r="DZ513" s="4"/>
      <c r="EA513" s="4"/>
      <c r="EB513" s="4"/>
      <c r="EC513" s="4"/>
      <c r="ED513" s="4"/>
      <c r="EE513" s="4"/>
      <c r="EF513" s="4"/>
      <c r="EG513" s="4"/>
      <c r="EH513" s="4"/>
      <c r="EI513" s="4"/>
      <c r="EJ513" s="4"/>
      <c r="EK513" s="4"/>
      <c r="EL513" s="4"/>
      <c r="EM513" s="4"/>
      <c r="EN513" s="4"/>
      <c r="EO513" s="4"/>
      <c r="EP513" s="4"/>
      <c r="EQ513" s="4"/>
      <c r="ER513" s="4"/>
      <c r="ES513" s="4"/>
      <c r="ET513" s="4"/>
      <c r="EU513" s="4"/>
      <c r="EV513" s="4"/>
      <c r="EW513" s="4"/>
      <c r="EX513" s="4"/>
      <c r="EY513" s="4"/>
      <c r="EZ513" s="4"/>
      <c r="FA513" s="4"/>
      <c r="FB513" s="4"/>
      <c r="FC513" s="4"/>
      <c r="FD513" s="4"/>
      <c r="FE513" s="4"/>
      <c r="FF513" s="4"/>
      <c r="FG513" s="4"/>
      <c r="FH513" s="4"/>
      <c r="FI513" s="4"/>
      <c r="FJ513" s="4"/>
      <c r="FK513" s="4"/>
      <c r="FL513" s="4"/>
      <c r="FM513" s="4"/>
      <c r="FN513" s="4"/>
      <c r="FO513" s="4"/>
      <c r="FP513" s="4"/>
      <c r="FQ513" s="4"/>
      <c r="FR513" s="4"/>
      <c r="FS513" s="4"/>
      <c r="FT513" s="4"/>
      <c r="FU513" s="4"/>
      <c r="FV513" s="4"/>
      <c r="FW513" s="4"/>
      <c r="FX513" s="4"/>
      <c r="FY513" s="4"/>
      <c r="FZ513" s="4"/>
      <c r="GA513" s="4"/>
      <c r="GB513" s="4"/>
      <c r="GC513" s="4"/>
      <c r="GD513" s="4"/>
      <c r="GE513" s="4"/>
      <c r="GF513" s="4"/>
      <c r="GG513" s="4"/>
      <c r="GH513" s="4"/>
      <c r="GI513" s="4"/>
      <c r="GJ513" s="4"/>
      <c r="GK513" s="4"/>
      <c r="GL513" s="4"/>
      <c r="GM513" s="4"/>
      <c r="GN513" s="4"/>
      <c r="GO513" s="4"/>
      <c r="GP513" s="4"/>
      <c r="GQ513" s="4"/>
      <c r="GR513" s="4"/>
      <c r="GS513" s="4"/>
      <c r="GT513" s="4"/>
      <c r="GU513" s="4"/>
      <c r="GV513" s="4"/>
      <c r="GW513" s="4"/>
      <c r="GX513" s="4"/>
      <c r="GY513" s="4"/>
      <c r="GZ513" s="4"/>
      <c r="HA513" s="4"/>
      <c r="HB513" s="4"/>
      <c r="HC513" s="4"/>
      <c r="HD513" s="4"/>
      <c r="HE513" s="4"/>
      <c r="HF513" s="4"/>
      <c r="HG513" s="4"/>
      <c r="HH513" s="4"/>
      <c r="HI513" s="4"/>
      <c r="HJ513" s="4"/>
    </row>
    <row r="514" spans="1:218" hidden="1">
      <c r="A514" t="s">
        <v>1657</v>
      </c>
      <c r="B514" t="s">
        <v>1658</v>
      </c>
      <c r="C514" t="s">
        <v>1659</v>
      </c>
      <c r="D514" t="s">
        <v>490</v>
      </c>
      <c r="E514" t="s">
        <v>1660</v>
      </c>
      <c r="F514" s="3">
        <v>1</v>
      </c>
      <c r="G514" s="12">
        <f t="shared" si="14"/>
        <v>13.67</v>
      </c>
      <c r="H514" s="12" t="e">
        <f t="shared" si="15"/>
        <v>#NUM!</v>
      </c>
      <c r="I514" s="3">
        <v>13.67108</v>
      </c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>
        <v>13.67</v>
      </c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  <c r="DQ514" s="4"/>
      <c r="DR514" s="4"/>
      <c r="DS514" s="4"/>
      <c r="DT514" s="4"/>
      <c r="DU514" s="4"/>
      <c r="DV514" s="4"/>
      <c r="DW514" s="4"/>
      <c r="DX514" s="4"/>
      <c r="DY514" s="4"/>
      <c r="DZ514" s="4"/>
      <c r="EA514" s="4"/>
      <c r="EB514" s="4"/>
      <c r="EC514" s="4"/>
      <c r="ED514" s="4"/>
      <c r="EE514" s="4"/>
      <c r="EF514" s="4"/>
      <c r="EG514" s="4"/>
      <c r="EH514" s="4"/>
      <c r="EI514" s="4"/>
      <c r="EJ514" s="4"/>
      <c r="EK514" s="4"/>
      <c r="EL514" s="4"/>
      <c r="EM514" s="4"/>
      <c r="EN514" s="4"/>
      <c r="EO514" s="4"/>
      <c r="EP514" s="4"/>
      <c r="EQ514" s="4"/>
      <c r="ER514" s="4"/>
      <c r="ES514" s="4"/>
      <c r="ET514" s="4"/>
      <c r="EU514" s="4"/>
      <c r="EV514" s="4"/>
      <c r="EW514" s="4"/>
      <c r="EX514" s="4"/>
      <c r="EY514" s="4"/>
      <c r="EZ514" s="4"/>
      <c r="FA514" s="4"/>
      <c r="FB514" s="4"/>
      <c r="FC514" s="4"/>
      <c r="FD514" s="4"/>
      <c r="FE514" s="4"/>
      <c r="FF514" s="4"/>
      <c r="FG514" s="4"/>
      <c r="FH514" s="4"/>
      <c r="FI514" s="4"/>
      <c r="FJ514" s="4"/>
      <c r="FK514" s="4"/>
      <c r="FL514" s="4"/>
      <c r="FM514" s="4"/>
      <c r="FN514" s="4"/>
      <c r="FO514" s="4"/>
      <c r="FP514" s="4"/>
      <c r="FQ514" s="4"/>
      <c r="FR514" s="4"/>
      <c r="FS514" s="4"/>
      <c r="FT514" s="4"/>
      <c r="FU514" s="4"/>
      <c r="FV514" s="4"/>
      <c r="FW514" s="4"/>
      <c r="FX514" s="4"/>
      <c r="FY514" s="4"/>
      <c r="FZ514" s="4"/>
      <c r="GA514" s="4"/>
      <c r="GB514" s="4"/>
      <c r="GC514" s="4"/>
      <c r="GD514" s="4"/>
      <c r="GE514" s="4"/>
      <c r="GF514" s="4"/>
      <c r="GG514" s="4"/>
      <c r="GH514" s="4"/>
      <c r="GI514" s="4"/>
      <c r="GJ514" s="4"/>
      <c r="GK514" s="4"/>
      <c r="GL514" s="4"/>
      <c r="GM514" s="4"/>
      <c r="GN514" s="4"/>
      <c r="GO514" s="4"/>
      <c r="GP514" s="4"/>
      <c r="GQ514" s="4"/>
      <c r="GR514" s="4"/>
      <c r="GS514" s="4"/>
      <c r="GT514" s="4"/>
      <c r="GU514" s="4"/>
      <c r="GV514" s="4"/>
      <c r="GW514" s="4"/>
      <c r="GX514" s="4"/>
      <c r="GY514" s="4"/>
      <c r="GZ514" s="4"/>
      <c r="HA514" s="4"/>
      <c r="HB514" s="4"/>
      <c r="HC514" s="4"/>
      <c r="HD514" s="4"/>
      <c r="HE514" s="4"/>
      <c r="HF514" s="4"/>
      <c r="HG514" s="4"/>
      <c r="HH514" s="4"/>
      <c r="HI514" s="4"/>
      <c r="HJ514" s="4"/>
    </row>
    <row r="515" spans="1:218" hidden="1">
      <c r="A515" t="s">
        <v>2490</v>
      </c>
      <c r="B515" t="s">
        <v>2491</v>
      </c>
      <c r="C515" t="s">
        <v>590</v>
      </c>
      <c r="D515" t="s">
        <v>2492</v>
      </c>
      <c r="E515" t="s">
        <v>2493</v>
      </c>
      <c r="F515" s="3">
        <v>1</v>
      </c>
      <c r="G515" s="12">
        <f t="shared" si="14"/>
        <v>3.7</v>
      </c>
      <c r="H515" s="12" t="e">
        <f t="shared" si="15"/>
        <v>#NUM!</v>
      </c>
      <c r="I515" s="3">
        <v>3.7029399999999999</v>
      </c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  <c r="DQ515" s="4"/>
      <c r="DR515" s="4"/>
      <c r="DS515" s="4"/>
      <c r="DT515" s="4"/>
      <c r="DU515" s="4"/>
      <c r="DV515" s="4"/>
      <c r="DW515" s="4"/>
      <c r="DX515" s="4"/>
      <c r="DY515" s="4"/>
      <c r="DZ515" s="4"/>
      <c r="EA515" s="4"/>
      <c r="EB515" s="4"/>
      <c r="EC515" s="4"/>
      <c r="ED515" s="4"/>
      <c r="EE515" s="4"/>
      <c r="EF515" s="4"/>
      <c r="EG515" s="4"/>
      <c r="EH515" s="4"/>
      <c r="EI515" s="4"/>
      <c r="EJ515" s="4"/>
      <c r="EK515" s="4"/>
      <c r="EL515" s="4"/>
      <c r="EM515" s="4"/>
      <c r="EN515" s="4"/>
      <c r="EO515" s="4"/>
      <c r="EP515" s="4"/>
      <c r="EQ515" s="4"/>
      <c r="ER515" s="4"/>
      <c r="ES515" s="4"/>
      <c r="ET515" s="4"/>
      <c r="EU515" s="4"/>
      <c r="EV515" s="4"/>
      <c r="EW515" s="4"/>
      <c r="EX515" s="4"/>
      <c r="EY515" s="4"/>
      <c r="EZ515" s="4"/>
      <c r="FA515" s="4"/>
      <c r="FB515" s="4"/>
      <c r="FC515" s="4"/>
      <c r="FD515" s="4"/>
      <c r="FE515" s="4"/>
      <c r="FF515" s="4"/>
      <c r="FG515" s="4"/>
      <c r="FH515" s="4"/>
      <c r="FI515" s="4"/>
      <c r="FJ515" s="4"/>
      <c r="FK515" s="4"/>
      <c r="FL515" s="4"/>
      <c r="FM515" s="4"/>
      <c r="FN515" s="4"/>
      <c r="FO515" s="4"/>
      <c r="FP515" s="4"/>
      <c r="FQ515" s="4"/>
      <c r="FR515" s="4"/>
      <c r="FS515" s="4"/>
      <c r="FT515" s="4"/>
      <c r="FU515" s="4"/>
      <c r="FV515" s="4"/>
      <c r="FW515" s="4"/>
      <c r="FX515" s="4"/>
      <c r="FY515" s="4"/>
      <c r="FZ515" s="4"/>
      <c r="GA515" s="4"/>
      <c r="GB515" s="4"/>
      <c r="GC515" s="4"/>
      <c r="GD515" s="4"/>
      <c r="GE515" s="4"/>
      <c r="GF515" s="4"/>
      <c r="GG515" s="4"/>
      <c r="GH515" s="4"/>
      <c r="GI515" s="4"/>
      <c r="GJ515" s="4">
        <v>3.7</v>
      </c>
      <c r="GK515" s="4"/>
      <c r="GL515" s="4"/>
      <c r="GM515" s="4"/>
      <c r="GN515" s="4"/>
      <c r="GO515" s="4"/>
      <c r="GP515" s="4"/>
      <c r="GQ515" s="4"/>
      <c r="GR515" s="4"/>
      <c r="GS515" s="4"/>
      <c r="GT515" s="4"/>
      <c r="GU515" s="4"/>
      <c r="GV515" s="4"/>
      <c r="GW515" s="4"/>
      <c r="GX515" s="4"/>
      <c r="GY515" s="4"/>
      <c r="GZ515" s="4"/>
      <c r="HA515" s="4"/>
      <c r="HB515" s="4"/>
      <c r="HC515" s="4"/>
      <c r="HD515" s="4"/>
      <c r="HE515" s="4"/>
      <c r="HF515" s="4"/>
      <c r="HG515" s="4"/>
      <c r="HH515" s="4"/>
      <c r="HI515" s="4"/>
      <c r="HJ515" s="4"/>
    </row>
    <row r="516" spans="1:218" hidden="1">
      <c r="A516" t="s">
        <v>2477</v>
      </c>
      <c r="B516" t="s">
        <v>2478</v>
      </c>
      <c r="C516" t="s">
        <v>484</v>
      </c>
      <c r="D516" t="s">
        <v>2479</v>
      </c>
      <c r="E516" t="s">
        <v>2480</v>
      </c>
      <c r="F516" s="3">
        <v>1</v>
      </c>
      <c r="G516" s="12">
        <f t="shared" si="14"/>
        <v>3.73</v>
      </c>
      <c r="H516" s="12" t="e">
        <f t="shared" si="15"/>
        <v>#NUM!</v>
      </c>
      <c r="I516" s="3">
        <v>3.7285499999999998</v>
      </c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>
        <v>3.73</v>
      </c>
      <c r="DQ516" s="4"/>
      <c r="DR516" s="4"/>
      <c r="DS516" s="4"/>
      <c r="DT516" s="4"/>
      <c r="DU516" s="4"/>
      <c r="DV516" s="4"/>
      <c r="DW516" s="4"/>
      <c r="DX516" s="4"/>
      <c r="DY516" s="4"/>
      <c r="DZ516" s="4"/>
      <c r="EA516" s="4"/>
      <c r="EB516" s="4"/>
      <c r="EC516" s="4"/>
      <c r="ED516" s="4"/>
      <c r="EE516" s="4"/>
      <c r="EF516" s="4"/>
      <c r="EG516" s="4"/>
      <c r="EH516" s="4"/>
      <c r="EI516" s="4"/>
      <c r="EJ516" s="4"/>
      <c r="EK516" s="4"/>
      <c r="EL516" s="4"/>
      <c r="EM516" s="4"/>
      <c r="EN516" s="4"/>
      <c r="EO516" s="4"/>
      <c r="EP516" s="4"/>
      <c r="EQ516" s="4"/>
      <c r="ER516" s="4"/>
      <c r="ES516" s="4"/>
      <c r="ET516" s="4"/>
      <c r="EU516" s="4"/>
      <c r="EV516" s="4"/>
      <c r="EW516" s="4"/>
      <c r="EX516" s="4"/>
      <c r="EY516" s="4"/>
      <c r="EZ516" s="4"/>
      <c r="FA516" s="4"/>
      <c r="FB516" s="4"/>
      <c r="FC516" s="4"/>
      <c r="FD516" s="4"/>
      <c r="FE516" s="4"/>
      <c r="FF516" s="4"/>
      <c r="FG516" s="4"/>
      <c r="FH516" s="4"/>
      <c r="FI516" s="4"/>
      <c r="FJ516" s="4"/>
      <c r="FK516" s="4"/>
      <c r="FL516" s="4"/>
      <c r="FM516" s="4"/>
      <c r="FN516" s="4"/>
      <c r="FO516" s="4"/>
      <c r="FP516" s="4"/>
      <c r="FQ516" s="4"/>
      <c r="FR516" s="4"/>
      <c r="FS516" s="4"/>
      <c r="FT516" s="4"/>
      <c r="FU516" s="4"/>
      <c r="FV516" s="4"/>
      <c r="FW516" s="4"/>
      <c r="FX516" s="4"/>
      <c r="FY516" s="4"/>
      <c r="FZ516" s="4"/>
      <c r="GA516" s="4"/>
      <c r="GB516" s="4"/>
      <c r="GC516" s="4"/>
      <c r="GD516" s="4"/>
      <c r="GE516" s="4"/>
      <c r="GF516" s="4"/>
      <c r="GG516" s="4"/>
      <c r="GH516" s="4"/>
      <c r="GI516" s="4"/>
      <c r="GJ516" s="4"/>
      <c r="GK516" s="4"/>
      <c r="GL516" s="4"/>
      <c r="GM516" s="4"/>
      <c r="GN516" s="4"/>
      <c r="GO516" s="4"/>
      <c r="GP516" s="4"/>
      <c r="GQ516" s="4"/>
      <c r="GR516" s="4"/>
      <c r="GS516" s="4"/>
      <c r="GT516" s="4"/>
      <c r="GU516" s="4"/>
      <c r="GV516" s="4"/>
      <c r="GW516" s="4"/>
      <c r="GX516" s="4"/>
      <c r="GY516" s="4"/>
      <c r="GZ516" s="4"/>
      <c r="HA516" s="4"/>
      <c r="HB516" s="4"/>
      <c r="HC516" s="4"/>
      <c r="HD516" s="4"/>
      <c r="HE516" s="4"/>
      <c r="HF516" s="4"/>
      <c r="HG516" s="4"/>
      <c r="HH516" s="4"/>
      <c r="HI516" s="4"/>
      <c r="HJ516" s="4"/>
    </row>
    <row r="517" spans="1:218" hidden="1">
      <c r="A517" t="s">
        <v>1837</v>
      </c>
      <c r="B517" t="s">
        <v>1838</v>
      </c>
      <c r="C517" t="s">
        <v>505</v>
      </c>
      <c r="D517" t="s">
        <v>1839</v>
      </c>
      <c r="E517" t="s">
        <v>1840</v>
      </c>
      <c r="F517" s="3">
        <v>1</v>
      </c>
      <c r="G517" s="12">
        <f t="shared" si="14"/>
        <v>5.83</v>
      </c>
      <c r="H517" s="12" t="e">
        <f t="shared" si="15"/>
        <v>#NUM!</v>
      </c>
      <c r="I517" s="3">
        <v>5.8324299999999996</v>
      </c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>
        <v>5.83</v>
      </c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  <c r="DQ517" s="4"/>
      <c r="DR517" s="4"/>
      <c r="DS517" s="4"/>
      <c r="DT517" s="4"/>
      <c r="DU517" s="4"/>
      <c r="DV517" s="4"/>
      <c r="DW517" s="4"/>
      <c r="DX517" s="4"/>
      <c r="DY517" s="4"/>
      <c r="DZ517" s="4"/>
      <c r="EA517" s="4"/>
      <c r="EB517" s="4"/>
      <c r="EC517" s="4"/>
      <c r="ED517" s="4"/>
      <c r="EE517" s="4"/>
      <c r="EF517" s="4"/>
      <c r="EG517" s="4"/>
      <c r="EH517" s="4"/>
      <c r="EI517" s="4"/>
      <c r="EJ517" s="4"/>
      <c r="EK517" s="4"/>
      <c r="EL517" s="4"/>
      <c r="EM517" s="4"/>
      <c r="EN517" s="4"/>
      <c r="EO517" s="4"/>
      <c r="EP517" s="4"/>
      <c r="EQ517" s="4"/>
      <c r="ER517" s="4"/>
      <c r="ES517" s="4"/>
      <c r="ET517" s="4"/>
      <c r="EU517" s="4"/>
      <c r="EV517" s="4"/>
      <c r="EW517" s="4"/>
      <c r="EX517" s="4"/>
      <c r="EY517" s="4"/>
      <c r="EZ517" s="4"/>
      <c r="FA517" s="4"/>
      <c r="FB517" s="4"/>
      <c r="FC517" s="4"/>
      <c r="FD517" s="4"/>
      <c r="FE517" s="4"/>
      <c r="FF517" s="4"/>
      <c r="FG517" s="4"/>
      <c r="FH517" s="4"/>
      <c r="FI517" s="4"/>
      <c r="FJ517" s="4"/>
      <c r="FK517" s="4"/>
      <c r="FL517" s="4"/>
      <c r="FM517" s="4"/>
      <c r="FN517" s="4"/>
      <c r="FO517" s="4"/>
      <c r="FP517" s="4"/>
      <c r="FQ517" s="4"/>
      <c r="FR517" s="4"/>
      <c r="FS517" s="4"/>
      <c r="FT517" s="4"/>
      <c r="FU517" s="4"/>
      <c r="FV517" s="4"/>
      <c r="FW517" s="4"/>
      <c r="FX517" s="4"/>
      <c r="FY517" s="4"/>
      <c r="FZ517" s="4"/>
      <c r="GA517" s="4"/>
      <c r="GB517" s="4"/>
      <c r="GC517" s="4"/>
      <c r="GD517" s="4"/>
      <c r="GE517" s="4"/>
      <c r="GF517" s="4"/>
      <c r="GG517" s="4"/>
      <c r="GH517" s="4"/>
      <c r="GI517" s="4"/>
      <c r="GJ517" s="4"/>
      <c r="GK517" s="4"/>
      <c r="GL517" s="4"/>
      <c r="GM517" s="4"/>
      <c r="GN517" s="4"/>
      <c r="GO517" s="4"/>
      <c r="GP517" s="4"/>
      <c r="GQ517" s="4"/>
      <c r="GR517" s="4"/>
      <c r="GS517" s="4"/>
      <c r="GT517" s="4"/>
      <c r="GU517" s="4"/>
      <c r="GV517" s="4"/>
      <c r="GW517" s="4"/>
      <c r="GX517" s="4"/>
      <c r="GY517" s="4"/>
      <c r="GZ517" s="4"/>
      <c r="HA517" s="4"/>
      <c r="HB517" s="4"/>
      <c r="HC517" s="4"/>
      <c r="HD517" s="4"/>
      <c r="HE517" s="4"/>
      <c r="HF517" s="4"/>
      <c r="HG517" s="4"/>
      <c r="HH517" s="4"/>
      <c r="HI517" s="4"/>
      <c r="HJ517" s="4"/>
    </row>
    <row r="518" spans="1:218" hidden="1">
      <c r="A518" t="s">
        <v>2892</v>
      </c>
      <c r="B518" t="s">
        <v>2893</v>
      </c>
      <c r="C518" t="s">
        <v>505</v>
      </c>
      <c r="D518" t="s">
        <v>2894</v>
      </c>
      <c r="E518" t="s">
        <v>2895</v>
      </c>
      <c r="F518" s="3">
        <v>1</v>
      </c>
      <c r="G518" s="12">
        <f t="shared" si="14"/>
        <v>2.4</v>
      </c>
      <c r="H518" s="12" t="e">
        <f t="shared" si="15"/>
        <v>#NUM!</v>
      </c>
      <c r="I518" s="3">
        <v>2.4032399</v>
      </c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  <c r="DQ518" s="4"/>
      <c r="DR518" s="4"/>
      <c r="DS518" s="4"/>
      <c r="DT518" s="4"/>
      <c r="DU518" s="4"/>
      <c r="DV518" s="4"/>
      <c r="DW518" s="4"/>
      <c r="DX518" s="4"/>
      <c r="DY518" s="4"/>
      <c r="DZ518" s="4"/>
      <c r="EA518" s="4"/>
      <c r="EB518" s="4"/>
      <c r="EC518" s="4"/>
      <c r="ED518" s="4"/>
      <c r="EE518" s="4"/>
      <c r="EF518" s="4"/>
      <c r="EG518" s="4"/>
      <c r="EH518" s="4"/>
      <c r="EI518" s="4"/>
      <c r="EJ518" s="4"/>
      <c r="EK518" s="4"/>
      <c r="EL518" s="4"/>
      <c r="EM518" s="4"/>
      <c r="EN518" s="4"/>
      <c r="EO518" s="4"/>
      <c r="EP518" s="4"/>
      <c r="EQ518" s="4"/>
      <c r="ER518" s="4"/>
      <c r="ES518" s="4">
        <v>2.4</v>
      </c>
      <c r="ET518" s="4"/>
      <c r="EU518" s="4"/>
      <c r="EV518" s="4"/>
      <c r="EW518" s="4"/>
      <c r="EX518" s="4"/>
      <c r="EY518" s="4"/>
      <c r="EZ518" s="4"/>
      <c r="FA518" s="4"/>
      <c r="FB518" s="4"/>
      <c r="FC518" s="4"/>
      <c r="FD518" s="4"/>
      <c r="FE518" s="4"/>
      <c r="FF518" s="4"/>
      <c r="FG518" s="4"/>
      <c r="FH518" s="4"/>
      <c r="FI518" s="4"/>
      <c r="FJ518" s="4"/>
      <c r="FK518" s="4"/>
      <c r="FL518" s="4"/>
      <c r="FM518" s="4"/>
      <c r="FN518" s="4"/>
      <c r="FO518" s="4"/>
      <c r="FP518" s="4"/>
      <c r="FQ518" s="4"/>
      <c r="FR518" s="4"/>
      <c r="FS518" s="4"/>
      <c r="FT518" s="4"/>
      <c r="FU518" s="4"/>
      <c r="FV518" s="4"/>
      <c r="FW518" s="4"/>
      <c r="FX518" s="4"/>
      <c r="FY518" s="4"/>
      <c r="FZ518" s="4"/>
      <c r="GA518" s="4"/>
      <c r="GB518" s="4"/>
      <c r="GC518" s="4"/>
      <c r="GD518" s="4"/>
      <c r="GE518" s="4"/>
      <c r="GF518" s="4"/>
      <c r="GG518" s="4"/>
      <c r="GH518" s="4"/>
      <c r="GI518" s="4"/>
      <c r="GJ518" s="4"/>
      <c r="GK518" s="4"/>
      <c r="GL518" s="4"/>
      <c r="GM518" s="4"/>
      <c r="GN518" s="4"/>
      <c r="GO518" s="4"/>
      <c r="GP518" s="4"/>
      <c r="GQ518" s="4"/>
      <c r="GR518" s="4"/>
      <c r="GS518" s="4"/>
      <c r="GT518" s="4"/>
      <c r="GU518" s="4"/>
      <c r="GV518" s="4"/>
      <c r="GW518" s="4"/>
      <c r="GX518" s="4"/>
      <c r="GY518" s="4"/>
      <c r="GZ518" s="4"/>
      <c r="HA518" s="4"/>
      <c r="HB518" s="4"/>
      <c r="HC518" s="4"/>
      <c r="HD518" s="4"/>
      <c r="HE518" s="4"/>
      <c r="HF518" s="4"/>
      <c r="HG518" s="4"/>
      <c r="HH518" s="4"/>
      <c r="HI518" s="4"/>
      <c r="HJ518" s="4"/>
    </row>
    <row r="519" spans="1:218" hidden="1">
      <c r="A519" t="s">
        <v>2031</v>
      </c>
      <c r="B519" t="s">
        <v>2032</v>
      </c>
      <c r="C519" t="s">
        <v>1074</v>
      </c>
      <c r="D519" t="s">
        <v>2033</v>
      </c>
      <c r="E519" t="s">
        <v>2034</v>
      </c>
      <c r="F519" s="3">
        <v>1</v>
      </c>
      <c r="G519" s="12">
        <f t="shared" ref="G519:G582" si="16">LARGE($J519:$HJ519,1)</f>
        <v>4.66</v>
      </c>
      <c r="H519" s="12" t="e">
        <f t="shared" ref="H519:H582" si="17">LARGE($J519:$HJ519,2)</f>
        <v>#NUM!</v>
      </c>
      <c r="I519" s="3">
        <v>4.6560302</v>
      </c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>
        <v>4.66</v>
      </c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  <c r="DQ519" s="4"/>
      <c r="DR519" s="4"/>
      <c r="DS519" s="4"/>
      <c r="DT519" s="4"/>
      <c r="DU519" s="4"/>
      <c r="DV519" s="4"/>
      <c r="DW519" s="4"/>
      <c r="DX519" s="4"/>
      <c r="DY519" s="4"/>
      <c r="DZ519" s="4"/>
      <c r="EA519" s="4"/>
      <c r="EB519" s="4"/>
      <c r="EC519" s="4"/>
      <c r="ED519" s="4"/>
      <c r="EE519" s="4"/>
      <c r="EF519" s="4"/>
      <c r="EG519" s="4"/>
      <c r="EH519" s="4"/>
      <c r="EI519" s="4"/>
      <c r="EJ519" s="4"/>
      <c r="EK519" s="4"/>
      <c r="EL519" s="4"/>
      <c r="EM519" s="4"/>
      <c r="EN519" s="4"/>
      <c r="EO519" s="4"/>
      <c r="EP519" s="4"/>
      <c r="EQ519" s="4"/>
      <c r="ER519" s="4"/>
      <c r="ES519" s="4"/>
      <c r="ET519" s="4"/>
      <c r="EU519" s="4"/>
      <c r="EV519" s="4"/>
      <c r="EW519" s="4"/>
      <c r="EX519" s="4"/>
      <c r="EY519" s="4"/>
      <c r="EZ519" s="4"/>
      <c r="FA519" s="4"/>
      <c r="FB519" s="4"/>
      <c r="FC519" s="4"/>
      <c r="FD519" s="4"/>
      <c r="FE519" s="4"/>
      <c r="FF519" s="4"/>
      <c r="FG519" s="4"/>
      <c r="FH519" s="4"/>
      <c r="FI519" s="4"/>
      <c r="FJ519" s="4"/>
      <c r="FK519" s="4"/>
      <c r="FL519" s="4"/>
      <c r="FM519" s="4"/>
      <c r="FN519" s="4"/>
      <c r="FO519" s="4"/>
      <c r="FP519" s="4"/>
      <c r="FQ519" s="4"/>
      <c r="FR519" s="4"/>
      <c r="FS519" s="4"/>
      <c r="FT519" s="4"/>
      <c r="FU519" s="4"/>
      <c r="FV519" s="4"/>
      <c r="FW519" s="4"/>
      <c r="FX519" s="4"/>
      <c r="FY519" s="4"/>
      <c r="FZ519" s="4"/>
      <c r="GA519" s="4"/>
      <c r="GB519" s="4"/>
      <c r="GC519" s="4"/>
      <c r="GD519" s="4"/>
      <c r="GE519" s="4"/>
      <c r="GF519" s="4"/>
      <c r="GG519" s="4"/>
      <c r="GH519" s="4"/>
      <c r="GI519" s="4"/>
      <c r="GJ519" s="4"/>
      <c r="GK519" s="4"/>
      <c r="GL519" s="4"/>
      <c r="GM519" s="4"/>
      <c r="GN519" s="4"/>
      <c r="GO519" s="4"/>
      <c r="GP519" s="4"/>
      <c r="GQ519" s="4"/>
      <c r="GR519" s="4"/>
      <c r="GS519" s="4"/>
      <c r="GT519" s="4"/>
      <c r="GU519" s="4"/>
      <c r="GV519" s="4"/>
      <c r="GW519" s="4"/>
      <c r="GX519" s="4"/>
      <c r="GY519" s="4"/>
      <c r="GZ519" s="4"/>
      <c r="HA519" s="4"/>
      <c r="HB519" s="4"/>
      <c r="HC519" s="4"/>
      <c r="HD519" s="4"/>
      <c r="HE519" s="4"/>
      <c r="HF519" s="4"/>
      <c r="HG519" s="4"/>
      <c r="HH519" s="4"/>
      <c r="HI519" s="4"/>
      <c r="HJ519" s="4"/>
    </row>
    <row r="520" spans="1:218" hidden="1">
      <c r="A520" t="s">
        <v>3057</v>
      </c>
      <c r="B520" t="s">
        <v>3058</v>
      </c>
      <c r="C520" t="s">
        <v>826</v>
      </c>
      <c r="D520" t="s">
        <v>3059</v>
      </c>
      <c r="E520" t="s">
        <v>3060</v>
      </c>
      <c r="F520" s="3">
        <v>1</v>
      </c>
      <c r="G520" s="12">
        <f t="shared" si="16"/>
        <v>1.9</v>
      </c>
      <c r="H520" s="12" t="e">
        <f t="shared" si="17"/>
        <v>#NUM!</v>
      </c>
      <c r="I520" s="3">
        <v>1.8996200999999999</v>
      </c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  <c r="DQ520" s="4"/>
      <c r="DR520" s="4"/>
      <c r="DS520" s="4"/>
      <c r="DT520" s="4"/>
      <c r="DU520" s="4"/>
      <c r="DV520" s="4"/>
      <c r="DW520" s="4"/>
      <c r="DX520" s="4"/>
      <c r="DY520" s="4"/>
      <c r="DZ520" s="4"/>
      <c r="EA520" s="4"/>
      <c r="EB520" s="4"/>
      <c r="EC520" s="4"/>
      <c r="ED520" s="4"/>
      <c r="EE520" s="4"/>
      <c r="EF520" s="4"/>
      <c r="EG520" s="4"/>
      <c r="EH520" s="4"/>
      <c r="EI520" s="4"/>
      <c r="EJ520" s="4"/>
      <c r="EK520" s="4"/>
      <c r="EL520" s="4"/>
      <c r="EM520" s="4"/>
      <c r="EN520" s="4"/>
      <c r="EO520" s="4"/>
      <c r="EP520" s="4"/>
      <c r="EQ520" s="4"/>
      <c r="ER520" s="4"/>
      <c r="ES520" s="4"/>
      <c r="ET520" s="4"/>
      <c r="EU520" s="4"/>
      <c r="EV520" s="4"/>
      <c r="EW520" s="4"/>
      <c r="EX520" s="4"/>
      <c r="EY520" s="4"/>
      <c r="EZ520" s="4"/>
      <c r="FA520" s="4"/>
      <c r="FB520" s="4"/>
      <c r="FC520" s="4"/>
      <c r="FD520" s="4"/>
      <c r="FE520" s="4"/>
      <c r="FF520" s="4">
        <v>1.9</v>
      </c>
      <c r="FG520" s="4"/>
      <c r="FH520" s="4"/>
      <c r="FI520" s="4"/>
      <c r="FJ520" s="4"/>
      <c r="FK520" s="4"/>
      <c r="FL520" s="4"/>
      <c r="FM520" s="4"/>
      <c r="FN520" s="4"/>
      <c r="FO520" s="4"/>
      <c r="FP520" s="4"/>
      <c r="FQ520" s="4"/>
      <c r="FR520" s="4"/>
      <c r="FS520" s="4"/>
      <c r="FT520" s="4"/>
      <c r="FU520" s="4"/>
      <c r="FV520" s="4"/>
      <c r="FW520" s="4"/>
      <c r="FX520" s="4"/>
      <c r="FY520" s="4"/>
      <c r="FZ520" s="4"/>
      <c r="GA520" s="4"/>
      <c r="GB520" s="4"/>
      <c r="GC520" s="4"/>
      <c r="GD520" s="4"/>
      <c r="GE520" s="4"/>
      <c r="GF520" s="4"/>
      <c r="GG520" s="4"/>
      <c r="GH520" s="4"/>
      <c r="GI520" s="4"/>
      <c r="GJ520" s="4"/>
      <c r="GK520" s="4"/>
      <c r="GL520" s="4"/>
      <c r="GM520" s="4"/>
      <c r="GN520" s="4"/>
      <c r="GO520" s="4"/>
      <c r="GP520" s="4"/>
      <c r="GQ520" s="4"/>
      <c r="GR520" s="4"/>
      <c r="GS520" s="4"/>
      <c r="GT520" s="4"/>
      <c r="GU520" s="4"/>
      <c r="GV520" s="4"/>
      <c r="GW520" s="4"/>
      <c r="GX520" s="4"/>
      <c r="GY520" s="4"/>
      <c r="GZ520" s="4"/>
      <c r="HA520" s="4"/>
      <c r="HB520" s="4"/>
      <c r="HC520" s="4"/>
      <c r="HD520" s="4"/>
      <c r="HE520" s="4"/>
      <c r="HF520" s="4"/>
      <c r="HG520" s="4"/>
      <c r="HH520" s="4"/>
      <c r="HI520" s="4"/>
      <c r="HJ520" s="4"/>
    </row>
    <row r="521" spans="1:218" hidden="1">
      <c r="A521" t="s">
        <v>2820</v>
      </c>
      <c r="B521" t="s">
        <v>2821</v>
      </c>
      <c r="C521" t="s">
        <v>443</v>
      </c>
      <c r="D521" t="s">
        <v>2822</v>
      </c>
      <c r="E521" t="s">
        <v>2823</v>
      </c>
      <c r="F521" s="3">
        <v>1</v>
      </c>
      <c r="G521" s="12">
        <f t="shared" si="16"/>
        <v>2.72</v>
      </c>
      <c r="H521" s="12" t="e">
        <f t="shared" si="17"/>
        <v>#NUM!</v>
      </c>
      <c r="I521" s="3">
        <v>2.7195497999999998</v>
      </c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  <c r="DQ521" s="4"/>
      <c r="DR521" s="4"/>
      <c r="DS521" s="4"/>
      <c r="DT521" s="4"/>
      <c r="DU521" s="4"/>
      <c r="DV521" s="4"/>
      <c r="DW521" s="4"/>
      <c r="DX521" s="4"/>
      <c r="DY521" s="4"/>
      <c r="DZ521" s="4"/>
      <c r="EA521" s="4"/>
      <c r="EB521" s="4"/>
      <c r="EC521" s="4"/>
      <c r="ED521" s="4"/>
      <c r="EE521" s="4"/>
      <c r="EF521" s="4"/>
      <c r="EG521" s="4"/>
      <c r="EH521" s="4"/>
      <c r="EI521" s="4"/>
      <c r="EJ521" s="4"/>
      <c r="EK521" s="4"/>
      <c r="EL521" s="4"/>
      <c r="EM521" s="4"/>
      <c r="EN521" s="4"/>
      <c r="EO521" s="4"/>
      <c r="EP521" s="4"/>
      <c r="EQ521" s="4"/>
      <c r="ER521" s="4"/>
      <c r="ES521" s="4"/>
      <c r="ET521" s="4"/>
      <c r="EU521" s="4"/>
      <c r="EV521" s="4"/>
      <c r="EW521" s="4"/>
      <c r="EX521" s="4"/>
      <c r="EY521" s="4"/>
      <c r="EZ521" s="4"/>
      <c r="FA521" s="4"/>
      <c r="FB521" s="4"/>
      <c r="FC521" s="4"/>
      <c r="FD521" s="4"/>
      <c r="FE521" s="4"/>
      <c r="FF521" s="4"/>
      <c r="FG521" s="4"/>
      <c r="FH521" s="4"/>
      <c r="FI521" s="4"/>
      <c r="FJ521" s="4"/>
      <c r="FK521" s="4"/>
      <c r="FL521" s="4"/>
      <c r="FM521" s="4"/>
      <c r="FN521" s="4"/>
      <c r="FO521" s="4"/>
      <c r="FP521" s="4"/>
      <c r="FQ521" s="4"/>
      <c r="FR521" s="4"/>
      <c r="FS521" s="4"/>
      <c r="FT521" s="4"/>
      <c r="FU521" s="4"/>
      <c r="FV521" s="4"/>
      <c r="FW521" s="4"/>
      <c r="FX521" s="4"/>
      <c r="FY521" s="4"/>
      <c r="FZ521" s="4"/>
      <c r="GA521" s="4"/>
      <c r="GB521" s="4"/>
      <c r="GC521" s="4"/>
      <c r="GD521" s="4"/>
      <c r="GE521" s="4"/>
      <c r="GF521" s="4"/>
      <c r="GG521" s="4"/>
      <c r="GH521" s="4"/>
      <c r="GI521" s="4"/>
      <c r="GJ521" s="4"/>
      <c r="GK521" s="4"/>
      <c r="GL521" s="4"/>
      <c r="GM521" s="4"/>
      <c r="GN521" s="4"/>
      <c r="GO521" s="4"/>
      <c r="GP521" s="4"/>
      <c r="GQ521" s="4"/>
      <c r="GR521" s="4"/>
      <c r="GS521" s="4"/>
      <c r="GT521" s="4"/>
      <c r="GU521" s="4"/>
      <c r="GV521" s="4"/>
      <c r="GW521" s="4">
        <v>2.72</v>
      </c>
      <c r="GX521" s="4"/>
      <c r="GY521" s="4"/>
      <c r="GZ521" s="4"/>
      <c r="HA521" s="4"/>
      <c r="HB521" s="4"/>
      <c r="HC521" s="4"/>
      <c r="HD521" s="4"/>
      <c r="HE521" s="4"/>
      <c r="HF521" s="4"/>
      <c r="HG521" s="4"/>
      <c r="HH521" s="4"/>
      <c r="HI521" s="4"/>
      <c r="HJ521" s="4"/>
    </row>
    <row r="522" spans="1:218" hidden="1">
      <c r="A522" t="s">
        <v>1960</v>
      </c>
      <c r="B522" t="s">
        <v>1961</v>
      </c>
      <c r="C522" t="s">
        <v>613</v>
      </c>
      <c r="D522" t="s">
        <v>1962</v>
      </c>
      <c r="E522" t="s">
        <v>1963</v>
      </c>
      <c r="F522" s="3">
        <v>1</v>
      </c>
      <c r="G522" s="12">
        <f t="shared" si="16"/>
        <v>4.9000000000000004</v>
      </c>
      <c r="H522" s="12" t="e">
        <f t="shared" si="17"/>
        <v>#NUM!</v>
      </c>
      <c r="I522" s="3">
        <v>4.9036196999999992</v>
      </c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  <c r="DQ522" s="4"/>
      <c r="DR522" s="4"/>
      <c r="DS522" s="4"/>
      <c r="DT522" s="4"/>
      <c r="DU522" s="4"/>
      <c r="DV522" s="4"/>
      <c r="DW522" s="4"/>
      <c r="DX522" s="4"/>
      <c r="DY522" s="4"/>
      <c r="DZ522" s="4"/>
      <c r="EA522" s="4"/>
      <c r="EB522" s="4"/>
      <c r="EC522" s="4"/>
      <c r="ED522" s="4"/>
      <c r="EE522" s="4"/>
      <c r="EF522" s="4"/>
      <c r="EG522" s="4"/>
      <c r="EH522" s="4"/>
      <c r="EI522" s="4"/>
      <c r="EJ522" s="4"/>
      <c r="EK522" s="4"/>
      <c r="EL522" s="4"/>
      <c r="EM522" s="4"/>
      <c r="EN522" s="4"/>
      <c r="EO522" s="4"/>
      <c r="EP522" s="4">
        <v>4.9000000000000004</v>
      </c>
      <c r="EQ522" s="4"/>
      <c r="ER522" s="4"/>
      <c r="ES522" s="4"/>
      <c r="ET522" s="4"/>
      <c r="EU522" s="4"/>
      <c r="EV522" s="4"/>
      <c r="EW522" s="4"/>
      <c r="EX522" s="4"/>
      <c r="EY522" s="4"/>
      <c r="EZ522" s="4"/>
      <c r="FA522" s="4"/>
      <c r="FB522" s="4"/>
      <c r="FC522" s="4"/>
      <c r="FD522" s="4"/>
      <c r="FE522" s="4"/>
      <c r="FF522" s="4"/>
      <c r="FG522" s="4"/>
      <c r="FH522" s="4"/>
      <c r="FI522" s="4"/>
      <c r="FJ522" s="4"/>
      <c r="FK522" s="4"/>
      <c r="FL522" s="4"/>
      <c r="FM522" s="4"/>
      <c r="FN522" s="4"/>
      <c r="FO522" s="4"/>
      <c r="FP522" s="4"/>
      <c r="FQ522" s="4"/>
      <c r="FR522" s="4"/>
      <c r="FS522" s="4"/>
      <c r="FT522" s="4"/>
      <c r="FU522" s="4"/>
      <c r="FV522" s="4"/>
      <c r="FW522" s="4"/>
      <c r="FX522" s="4"/>
      <c r="FY522" s="4"/>
      <c r="FZ522" s="4"/>
      <c r="GA522" s="4"/>
      <c r="GB522" s="4"/>
      <c r="GC522" s="4"/>
      <c r="GD522" s="4"/>
      <c r="GE522" s="4"/>
      <c r="GF522" s="4"/>
      <c r="GG522" s="4"/>
      <c r="GH522" s="4"/>
      <c r="GI522" s="4"/>
      <c r="GJ522" s="4"/>
      <c r="GK522" s="4"/>
      <c r="GL522" s="4"/>
      <c r="GM522" s="4"/>
      <c r="GN522" s="4"/>
      <c r="GO522" s="4"/>
      <c r="GP522" s="4"/>
      <c r="GQ522" s="4"/>
      <c r="GR522" s="4"/>
      <c r="GS522" s="4"/>
      <c r="GT522" s="4"/>
      <c r="GU522" s="4"/>
      <c r="GV522" s="4"/>
      <c r="GW522" s="4"/>
      <c r="GX522" s="4"/>
      <c r="GY522" s="4"/>
      <c r="GZ522" s="4"/>
      <c r="HA522" s="4"/>
      <c r="HB522" s="4"/>
      <c r="HC522" s="4"/>
      <c r="HD522" s="4"/>
      <c r="HE522" s="4"/>
      <c r="HF522" s="4"/>
      <c r="HG522" s="4"/>
      <c r="HH522" s="4"/>
      <c r="HI522" s="4"/>
      <c r="HJ522" s="4"/>
    </row>
    <row r="523" spans="1:218" hidden="1">
      <c r="A523" t="s">
        <v>2953</v>
      </c>
      <c r="B523" t="s">
        <v>2954</v>
      </c>
      <c r="C523" t="s">
        <v>505</v>
      </c>
      <c r="D523" t="s">
        <v>2955</v>
      </c>
      <c r="E523" t="s">
        <v>2956</v>
      </c>
      <c r="F523" s="3">
        <v>1</v>
      </c>
      <c r="G523" s="12">
        <f t="shared" si="16"/>
        <v>2.29</v>
      </c>
      <c r="H523" s="12" t="e">
        <f t="shared" si="17"/>
        <v>#NUM!</v>
      </c>
      <c r="I523" s="3">
        <v>2.2933599999999998</v>
      </c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>
        <v>2.29</v>
      </c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  <c r="DQ523" s="4"/>
      <c r="DR523" s="4"/>
      <c r="DS523" s="4"/>
      <c r="DT523" s="4"/>
      <c r="DU523" s="4"/>
      <c r="DV523" s="4"/>
      <c r="DW523" s="4"/>
      <c r="DX523" s="4"/>
      <c r="DY523" s="4"/>
      <c r="DZ523" s="4"/>
      <c r="EA523" s="4"/>
      <c r="EB523" s="4"/>
      <c r="EC523" s="4"/>
      <c r="ED523" s="4"/>
      <c r="EE523" s="4"/>
      <c r="EF523" s="4"/>
      <c r="EG523" s="4"/>
      <c r="EH523" s="4"/>
      <c r="EI523" s="4"/>
      <c r="EJ523" s="4"/>
      <c r="EK523" s="4"/>
      <c r="EL523" s="4"/>
      <c r="EM523" s="4"/>
      <c r="EN523" s="4"/>
      <c r="EO523" s="4"/>
      <c r="EP523" s="4"/>
      <c r="EQ523" s="4"/>
      <c r="ER523" s="4"/>
      <c r="ES523" s="4"/>
      <c r="ET523" s="4"/>
      <c r="EU523" s="4"/>
      <c r="EV523" s="4"/>
      <c r="EW523" s="4"/>
      <c r="EX523" s="4"/>
      <c r="EY523" s="4"/>
      <c r="EZ523" s="4"/>
      <c r="FA523" s="4"/>
      <c r="FB523" s="4"/>
      <c r="FC523" s="4"/>
      <c r="FD523" s="4"/>
      <c r="FE523" s="4"/>
      <c r="FF523" s="4"/>
      <c r="FG523" s="4"/>
      <c r="FH523" s="4"/>
      <c r="FI523" s="4"/>
      <c r="FJ523" s="4"/>
      <c r="FK523" s="4"/>
      <c r="FL523" s="4"/>
      <c r="FM523" s="4"/>
      <c r="FN523" s="4"/>
      <c r="FO523" s="4"/>
      <c r="FP523" s="4"/>
      <c r="FQ523" s="4"/>
      <c r="FR523" s="4"/>
      <c r="FS523" s="4"/>
      <c r="FT523" s="4"/>
      <c r="FU523" s="4"/>
      <c r="FV523" s="4"/>
      <c r="FW523" s="4"/>
      <c r="FX523" s="4"/>
      <c r="FY523" s="4"/>
      <c r="FZ523" s="4"/>
      <c r="GA523" s="4"/>
      <c r="GB523" s="4"/>
      <c r="GC523" s="4"/>
      <c r="GD523" s="4"/>
      <c r="GE523" s="4"/>
      <c r="GF523" s="4"/>
      <c r="GG523" s="4"/>
      <c r="GH523" s="4"/>
      <c r="GI523" s="4"/>
      <c r="GJ523" s="4"/>
      <c r="GK523" s="4"/>
      <c r="GL523" s="4"/>
      <c r="GM523" s="4"/>
      <c r="GN523" s="4"/>
      <c r="GO523" s="4"/>
      <c r="GP523" s="4"/>
      <c r="GQ523" s="4"/>
      <c r="GR523" s="4"/>
      <c r="GS523" s="4"/>
      <c r="GT523" s="4"/>
      <c r="GU523" s="4"/>
      <c r="GV523" s="4"/>
      <c r="GW523" s="4"/>
      <c r="GX523" s="4"/>
      <c r="GY523" s="4"/>
      <c r="GZ523" s="4"/>
      <c r="HA523" s="4"/>
      <c r="HB523" s="4"/>
      <c r="HC523" s="4"/>
      <c r="HD523" s="4"/>
      <c r="HE523" s="4"/>
      <c r="HF523" s="4"/>
      <c r="HG523" s="4"/>
      <c r="HH523" s="4"/>
      <c r="HI523" s="4"/>
      <c r="HJ523" s="4"/>
    </row>
    <row r="524" spans="1:218" hidden="1">
      <c r="A524" t="s">
        <v>1783</v>
      </c>
      <c r="B524" t="s">
        <v>1784</v>
      </c>
      <c r="C524" t="s">
        <v>1785</v>
      </c>
      <c r="D524" t="s">
        <v>1786</v>
      </c>
      <c r="E524" t="s">
        <v>1787</v>
      </c>
      <c r="F524" s="3">
        <v>1</v>
      </c>
      <c r="G524" s="12">
        <f t="shared" si="16"/>
        <v>6.44</v>
      </c>
      <c r="H524" s="12" t="e">
        <f t="shared" si="17"/>
        <v>#NUM!</v>
      </c>
      <c r="I524" s="3">
        <v>6.4375499999999999</v>
      </c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>
        <v>6.44</v>
      </c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  <c r="DQ524" s="4"/>
      <c r="DR524" s="4"/>
      <c r="DS524" s="4"/>
      <c r="DT524" s="4"/>
      <c r="DU524" s="4"/>
      <c r="DV524" s="4"/>
      <c r="DW524" s="4"/>
      <c r="DX524" s="4"/>
      <c r="DY524" s="4"/>
      <c r="DZ524" s="4"/>
      <c r="EA524" s="4"/>
      <c r="EB524" s="4"/>
      <c r="EC524" s="4"/>
      <c r="ED524" s="4"/>
      <c r="EE524" s="4"/>
      <c r="EF524" s="4"/>
      <c r="EG524" s="4"/>
      <c r="EH524" s="4"/>
      <c r="EI524" s="4"/>
      <c r="EJ524" s="4"/>
      <c r="EK524" s="4"/>
      <c r="EL524" s="4"/>
      <c r="EM524" s="4"/>
      <c r="EN524" s="4"/>
      <c r="EO524" s="4"/>
      <c r="EP524" s="4"/>
      <c r="EQ524" s="4"/>
      <c r="ER524" s="4"/>
      <c r="ES524" s="4"/>
      <c r="ET524" s="4"/>
      <c r="EU524" s="4"/>
      <c r="EV524" s="4"/>
      <c r="EW524" s="4"/>
      <c r="EX524" s="4"/>
      <c r="EY524" s="4"/>
      <c r="EZ524" s="4"/>
      <c r="FA524" s="4"/>
      <c r="FB524" s="4"/>
      <c r="FC524" s="4"/>
      <c r="FD524" s="4"/>
      <c r="FE524" s="4"/>
      <c r="FF524" s="4"/>
      <c r="FG524" s="4"/>
      <c r="FH524" s="4"/>
      <c r="FI524" s="4"/>
      <c r="FJ524" s="4"/>
      <c r="FK524" s="4"/>
      <c r="FL524" s="4"/>
      <c r="FM524" s="4"/>
      <c r="FN524" s="4"/>
      <c r="FO524" s="4"/>
      <c r="FP524" s="4"/>
      <c r="FQ524" s="4"/>
      <c r="FR524" s="4"/>
      <c r="FS524" s="4"/>
      <c r="FT524" s="4"/>
      <c r="FU524" s="4"/>
      <c r="FV524" s="4"/>
      <c r="FW524" s="4"/>
      <c r="FX524" s="4"/>
      <c r="FY524" s="4"/>
      <c r="FZ524" s="4"/>
      <c r="GA524" s="4"/>
      <c r="GB524" s="4"/>
      <c r="GC524" s="4"/>
      <c r="GD524" s="4"/>
      <c r="GE524" s="4"/>
      <c r="GF524" s="4"/>
      <c r="GG524" s="4"/>
      <c r="GH524" s="4"/>
      <c r="GI524" s="4"/>
      <c r="GJ524" s="4"/>
      <c r="GK524" s="4"/>
      <c r="GL524" s="4"/>
      <c r="GM524" s="4"/>
      <c r="GN524" s="4"/>
      <c r="GO524" s="4"/>
      <c r="GP524" s="4"/>
      <c r="GQ524" s="4"/>
      <c r="GR524" s="4"/>
      <c r="GS524" s="4"/>
      <c r="GT524" s="4"/>
      <c r="GU524" s="4"/>
      <c r="GV524" s="4"/>
      <c r="GW524" s="4"/>
      <c r="GX524" s="4"/>
      <c r="GY524" s="4"/>
      <c r="GZ524" s="4"/>
      <c r="HA524" s="4"/>
      <c r="HB524" s="4"/>
      <c r="HC524" s="4"/>
      <c r="HD524" s="4"/>
      <c r="HE524" s="4"/>
      <c r="HF524" s="4"/>
      <c r="HG524" s="4"/>
      <c r="HH524" s="4"/>
      <c r="HI524" s="4"/>
      <c r="HJ524" s="4"/>
    </row>
    <row r="525" spans="1:218" hidden="1">
      <c r="A525" t="s">
        <v>2258</v>
      </c>
      <c r="B525" t="s">
        <v>2259</v>
      </c>
      <c r="C525" t="s">
        <v>1055</v>
      </c>
      <c r="D525" t="s">
        <v>2260</v>
      </c>
      <c r="E525" t="s">
        <v>2261</v>
      </c>
      <c r="F525" s="3">
        <v>1</v>
      </c>
      <c r="G525" s="12">
        <f t="shared" si="16"/>
        <v>4.2</v>
      </c>
      <c r="H525" s="12" t="e">
        <f t="shared" si="17"/>
        <v>#NUM!</v>
      </c>
      <c r="I525" s="3">
        <v>4.2033702000000002</v>
      </c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  <c r="DQ525" s="4"/>
      <c r="DR525" s="4"/>
      <c r="DS525" s="4"/>
      <c r="DT525" s="4"/>
      <c r="DU525" s="4"/>
      <c r="DV525" s="4"/>
      <c r="DW525" s="4"/>
      <c r="DX525" s="4"/>
      <c r="DY525" s="4"/>
      <c r="DZ525" s="4"/>
      <c r="EA525" s="4"/>
      <c r="EB525" s="4"/>
      <c r="EC525" s="4"/>
      <c r="ED525" s="4"/>
      <c r="EE525" s="4"/>
      <c r="EF525" s="4"/>
      <c r="EG525" s="4"/>
      <c r="EH525" s="4"/>
      <c r="EI525" s="4"/>
      <c r="EJ525" s="4"/>
      <c r="EK525" s="4"/>
      <c r="EL525" s="4"/>
      <c r="EM525" s="4"/>
      <c r="EN525" s="4"/>
      <c r="EO525" s="4"/>
      <c r="EP525" s="4"/>
      <c r="EQ525" s="4"/>
      <c r="ER525" s="4"/>
      <c r="ES525" s="4"/>
      <c r="ET525" s="4"/>
      <c r="EU525" s="4"/>
      <c r="EV525" s="4"/>
      <c r="EW525" s="4"/>
      <c r="EX525" s="4"/>
      <c r="EY525" s="4"/>
      <c r="EZ525" s="4"/>
      <c r="FA525" s="4"/>
      <c r="FB525" s="4"/>
      <c r="FC525" s="4"/>
      <c r="FD525" s="4"/>
      <c r="FE525" s="4"/>
      <c r="FF525" s="4"/>
      <c r="FG525" s="4"/>
      <c r="FH525" s="4"/>
      <c r="FI525" s="4"/>
      <c r="FJ525" s="4"/>
      <c r="FK525" s="4"/>
      <c r="FL525" s="4"/>
      <c r="FM525" s="4"/>
      <c r="FN525" s="4"/>
      <c r="FO525" s="4"/>
      <c r="FP525" s="4"/>
      <c r="FQ525" s="4"/>
      <c r="FR525" s="4"/>
      <c r="FS525" s="4"/>
      <c r="FT525" s="4"/>
      <c r="FU525" s="4"/>
      <c r="FV525" s="4"/>
      <c r="FW525" s="4"/>
      <c r="FX525" s="4"/>
      <c r="FY525" s="4"/>
      <c r="FZ525" s="4"/>
      <c r="GA525" s="4"/>
      <c r="GB525" s="4"/>
      <c r="GC525" s="4"/>
      <c r="GD525" s="4"/>
      <c r="GE525" s="4"/>
      <c r="GF525" s="4"/>
      <c r="GG525" s="4"/>
      <c r="GH525" s="4"/>
      <c r="GI525" s="4"/>
      <c r="GJ525" s="4"/>
      <c r="GK525" s="4"/>
      <c r="GL525" s="4"/>
      <c r="GM525" s="4"/>
      <c r="GN525" s="4"/>
      <c r="GO525" s="4"/>
      <c r="GP525" s="4"/>
      <c r="GQ525" s="4"/>
      <c r="GR525" s="4"/>
      <c r="GS525" s="4"/>
      <c r="GT525" s="4"/>
      <c r="GU525" s="4"/>
      <c r="GV525" s="4"/>
      <c r="GW525" s="4"/>
      <c r="GX525" s="4">
        <v>4.2</v>
      </c>
      <c r="GY525" s="4"/>
      <c r="GZ525" s="4"/>
      <c r="HA525" s="4"/>
      <c r="HB525" s="4"/>
      <c r="HC525" s="4"/>
      <c r="HD525" s="4"/>
      <c r="HE525" s="4"/>
      <c r="HF525" s="4"/>
      <c r="HG525" s="4"/>
      <c r="HH525" s="4"/>
      <c r="HI525" s="4"/>
      <c r="HJ525" s="4"/>
    </row>
    <row r="526" spans="1:218" hidden="1">
      <c r="A526" t="s">
        <v>2949</v>
      </c>
      <c r="B526" t="s">
        <v>2950</v>
      </c>
      <c r="C526" t="s">
        <v>2312</v>
      </c>
      <c r="D526" t="s">
        <v>2951</v>
      </c>
      <c r="E526" t="s">
        <v>2952</v>
      </c>
      <c r="F526" s="3">
        <v>1</v>
      </c>
      <c r="G526" s="12">
        <f t="shared" si="16"/>
        <v>2.2999999999999998</v>
      </c>
      <c r="H526" s="12" t="e">
        <f t="shared" si="17"/>
        <v>#NUM!</v>
      </c>
      <c r="I526" s="3">
        <v>2.2966799999999998</v>
      </c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>
        <v>2.2999999999999998</v>
      </c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  <c r="DQ526" s="4"/>
      <c r="DR526" s="4"/>
      <c r="DS526" s="4"/>
      <c r="DT526" s="4"/>
      <c r="DU526" s="4"/>
      <c r="DV526" s="4"/>
      <c r="DW526" s="4"/>
      <c r="DX526" s="4"/>
      <c r="DY526" s="4"/>
      <c r="DZ526" s="4"/>
      <c r="EA526" s="4"/>
      <c r="EB526" s="4"/>
      <c r="EC526" s="4"/>
      <c r="ED526" s="4"/>
      <c r="EE526" s="4"/>
      <c r="EF526" s="4"/>
      <c r="EG526" s="4"/>
      <c r="EH526" s="4"/>
      <c r="EI526" s="4"/>
      <c r="EJ526" s="4"/>
      <c r="EK526" s="4"/>
      <c r="EL526" s="4"/>
      <c r="EM526" s="4"/>
      <c r="EN526" s="4"/>
      <c r="EO526" s="4"/>
      <c r="EP526" s="4"/>
      <c r="EQ526" s="4"/>
      <c r="ER526" s="4"/>
      <c r="ES526" s="4"/>
      <c r="ET526" s="4"/>
      <c r="EU526" s="4"/>
      <c r="EV526" s="4"/>
      <c r="EW526" s="4"/>
      <c r="EX526" s="4"/>
      <c r="EY526" s="4"/>
      <c r="EZ526" s="4"/>
      <c r="FA526" s="4"/>
      <c r="FB526" s="4"/>
      <c r="FC526" s="4"/>
      <c r="FD526" s="4"/>
      <c r="FE526" s="4"/>
      <c r="FF526" s="4"/>
      <c r="FG526" s="4"/>
      <c r="FH526" s="4"/>
      <c r="FI526" s="4"/>
      <c r="FJ526" s="4"/>
      <c r="FK526" s="4"/>
      <c r="FL526" s="4"/>
      <c r="FM526" s="4"/>
      <c r="FN526" s="4"/>
      <c r="FO526" s="4"/>
      <c r="FP526" s="4"/>
      <c r="FQ526" s="4"/>
      <c r="FR526" s="4"/>
      <c r="FS526" s="4"/>
      <c r="FT526" s="4"/>
      <c r="FU526" s="4"/>
      <c r="FV526" s="4"/>
      <c r="FW526" s="4"/>
      <c r="FX526" s="4"/>
      <c r="FY526" s="4"/>
      <c r="FZ526" s="4"/>
      <c r="GA526" s="4"/>
      <c r="GB526" s="4"/>
      <c r="GC526" s="4"/>
      <c r="GD526" s="4"/>
      <c r="GE526" s="4"/>
      <c r="GF526" s="4"/>
      <c r="GG526" s="4"/>
      <c r="GH526" s="4"/>
      <c r="GI526" s="4"/>
      <c r="GJ526" s="4"/>
      <c r="GK526" s="4"/>
      <c r="GL526" s="4"/>
      <c r="GM526" s="4"/>
      <c r="GN526" s="4"/>
      <c r="GO526" s="4"/>
      <c r="GP526" s="4"/>
      <c r="GQ526" s="4"/>
      <c r="GR526" s="4"/>
      <c r="GS526" s="4"/>
      <c r="GT526" s="4"/>
      <c r="GU526" s="4"/>
      <c r="GV526" s="4"/>
      <c r="GW526" s="4"/>
      <c r="GX526" s="4"/>
      <c r="GY526" s="4"/>
      <c r="GZ526" s="4"/>
      <c r="HA526" s="4"/>
      <c r="HB526" s="4"/>
      <c r="HC526" s="4"/>
      <c r="HD526" s="4"/>
      <c r="HE526" s="4"/>
      <c r="HF526" s="4"/>
      <c r="HG526" s="4"/>
      <c r="HH526" s="4"/>
      <c r="HI526" s="4"/>
      <c r="HJ526" s="4"/>
    </row>
    <row r="527" spans="1:218" hidden="1">
      <c r="A527" t="s">
        <v>1900</v>
      </c>
      <c r="B527" t="s">
        <v>1901</v>
      </c>
      <c r="C527" t="s">
        <v>845</v>
      </c>
      <c r="D527" t="s">
        <v>1902</v>
      </c>
      <c r="E527" t="s">
        <v>1903</v>
      </c>
      <c r="F527" s="3">
        <v>1</v>
      </c>
      <c r="G527" s="12">
        <f t="shared" si="16"/>
        <v>5.19</v>
      </c>
      <c r="H527" s="12" t="e">
        <f t="shared" si="17"/>
        <v>#NUM!</v>
      </c>
      <c r="I527" s="3">
        <v>5.1857199999999999</v>
      </c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  <c r="DQ527" s="4"/>
      <c r="DR527" s="4">
        <v>5.19</v>
      </c>
      <c r="DS527" s="4"/>
      <c r="DT527" s="4"/>
      <c r="DU527" s="4"/>
      <c r="DV527" s="4"/>
      <c r="DW527" s="4"/>
      <c r="DX527" s="4"/>
      <c r="DY527" s="4"/>
      <c r="DZ527" s="4"/>
      <c r="EA527" s="4"/>
      <c r="EB527" s="4"/>
      <c r="EC527" s="4"/>
      <c r="ED527" s="4"/>
      <c r="EE527" s="4"/>
      <c r="EF527" s="4"/>
      <c r="EG527" s="4"/>
      <c r="EH527" s="4"/>
      <c r="EI527" s="4"/>
      <c r="EJ527" s="4"/>
      <c r="EK527" s="4"/>
      <c r="EL527" s="4"/>
      <c r="EM527" s="4"/>
      <c r="EN527" s="4"/>
      <c r="EO527" s="4"/>
      <c r="EP527" s="4"/>
      <c r="EQ527" s="4"/>
      <c r="ER527" s="4"/>
      <c r="ES527" s="4"/>
      <c r="ET527" s="4"/>
      <c r="EU527" s="4"/>
      <c r="EV527" s="4"/>
      <c r="EW527" s="4"/>
      <c r="EX527" s="4"/>
      <c r="EY527" s="4"/>
      <c r="EZ527" s="4"/>
      <c r="FA527" s="4"/>
      <c r="FB527" s="4"/>
      <c r="FC527" s="4"/>
      <c r="FD527" s="4"/>
      <c r="FE527" s="4"/>
      <c r="FF527" s="4"/>
      <c r="FG527" s="4"/>
      <c r="FH527" s="4"/>
      <c r="FI527" s="4"/>
      <c r="FJ527" s="4"/>
      <c r="FK527" s="4"/>
      <c r="FL527" s="4"/>
      <c r="FM527" s="4"/>
      <c r="FN527" s="4"/>
      <c r="FO527" s="4"/>
      <c r="FP527" s="4"/>
      <c r="FQ527" s="4"/>
      <c r="FR527" s="4"/>
      <c r="FS527" s="4"/>
      <c r="FT527" s="4"/>
      <c r="FU527" s="4"/>
      <c r="FV527" s="4"/>
      <c r="FW527" s="4"/>
      <c r="FX527" s="4"/>
      <c r="FY527" s="4"/>
      <c r="FZ527" s="4"/>
      <c r="GA527" s="4"/>
      <c r="GB527" s="4"/>
      <c r="GC527" s="4"/>
      <c r="GD527" s="4"/>
      <c r="GE527" s="4"/>
      <c r="GF527" s="4"/>
      <c r="GG527" s="4"/>
      <c r="GH527" s="4"/>
      <c r="GI527" s="4"/>
      <c r="GJ527" s="4"/>
      <c r="GK527" s="4"/>
      <c r="GL527" s="4"/>
      <c r="GM527" s="4"/>
      <c r="GN527" s="4"/>
      <c r="GO527" s="4"/>
      <c r="GP527" s="4"/>
      <c r="GQ527" s="4"/>
      <c r="GR527" s="4"/>
      <c r="GS527" s="4"/>
      <c r="GT527" s="4"/>
      <c r="GU527" s="4"/>
      <c r="GV527" s="4"/>
      <c r="GW527" s="4"/>
      <c r="GX527" s="4"/>
      <c r="GY527" s="4"/>
      <c r="GZ527" s="4"/>
      <c r="HA527" s="4"/>
      <c r="HB527" s="4"/>
      <c r="HC527" s="4"/>
      <c r="HD527" s="4"/>
      <c r="HE527" s="4"/>
      <c r="HF527" s="4"/>
      <c r="HG527" s="4"/>
      <c r="HH527" s="4"/>
      <c r="HI527" s="4"/>
      <c r="HJ527" s="4"/>
    </row>
    <row r="528" spans="1:218" hidden="1">
      <c r="A528" t="s">
        <v>2537</v>
      </c>
      <c r="B528" t="s">
        <v>2538</v>
      </c>
      <c r="C528" t="s">
        <v>505</v>
      </c>
      <c r="D528" t="s">
        <v>2539</v>
      </c>
      <c r="E528" t="s">
        <v>2540</v>
      </c>
      <c r="F528" s="3">
        <v>1</v>
      </c>
      <c r="G528" s="12">
        <f t="shared" si="16"/>
        <v>3.57</v>
      </c>
      <c r="H528" s="12" t="e">
        <f t="shared" si="17"/>
        <v>#NUM!</v>
      </c>
      <c r="I528" s="3">
        <v>3.57342</v>
      </c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  <c r="DQ528" s="4"/>
      <c r="DR528" s="4"/>
      <c r="DS528" s="4"/>
      <c r="DT528" s="4"/>
      <c r="DU528" s="4"/>
      <c r="DV528" s="4"/>
      <c r="DW528" s="4"/>
      <c r="DX528" s="4"/>
      <c r="DY528" s="4"/>
      <c r="DZ528" s="4"/>
      <c r="EA528" s="4"/>
      <c r="EB528" s="4"/>
      <c r="EC528" s="4"/>
      <c r="ED528" s="4"/>
      <c r="EE528" s="4"/>
      <c r="EF528" s="4"/>
      <c r="EG528" s="4"/>
      <c r="EH528" s="4"/>
      <c r="EI528" s="4"/>
      <c r="EJ528" s="4"/>
      <c r="EK528" s="4"/>
      <c r="EL528" s="4"/>
      <c r="EM528" s="4"/>
      <c r="EN528" s="4"/>
      <c r="EO528" s="4"/>
      <c r="EP528" s="4"/>
      <c r="EQ528" s="4"/>
      <c r="ER528" s="4"/>
      <c r="ES528" s="4"/>
      <c r="ET528" s="4"/>
      <c r="EU528" s="4"/>
      <c r="EV528" s="4"/>
      <c r="EW528" s="4"/>
      <c r="EX528" s="4"/>
      <c r="EY528" s="4"/>
      <c r="EZ528" s="4"/>
      <c r="FA528" s="4"/>
      <c r="FB528" s="4"/>
      <c r="FC528" s="4"/>
      <c r="FD528" s="4"/>
      <c r="FE528" s="4"/>
      <c r="FF528" s="4"/>
      <c r="FG528" s="4"/>
      <c r="FH528" s="4"/>
      <c r="FI528" s="4"/>
      <c r="FJ528" s="4"/>
      <c r="FK528" s="4"/>
      <c r="FL528" s="4">
        <v>3.57</v>
      </c>
      <c r="FM528" s="4"/>
      <c r="FN528" s="4"/>
      <c r="FO528" s="4"/>
      <c r="FP528" s="4"/>
      <c r="FQ528" s="4"/>
      <c r="FR528" s="4"/>
      <c r="FS528" s="4"/>
      <c r="FT528" s="4"/>
      <c r="FU528" s="4"/>
      <c r="FV528" s="4"/>
      <c r="FW528" s="4"/>
      <c r="FX528" s="4"/>
      <c r="FY528" s="4"/>
      <c r="FZ528" s="4"/>
      <c r="GA528" s="4"/>
      <c r="GB528" s="4"/>
      <c r="GC528" s="4"/>
      <c r="GD528" s="4"/>
      <c r="GE528" s="4"/>
      <c r="GF528" s="4"/>
      <c r="GG528" s="4"/>
      <c r="GH528" s="4"/>
      <c r="GI528" s="4"/>
      <c r="GJ528" s="4"/>
      <c r="GK528" s="4"/>
      <c r="GL528" s="4"/>
      <c r="GM528" s="4"/>
      <c r="GN528" s="4"/>
      <c r="GO528" s="4"/>
      <c r="GP528" s="4"/>
      <c r="GQ528" s="4"/>
      <c r="GR528" s="4"/>
      <c r="GS528" s="4"/>
      <c r="GT528" s="4"/>
      <c r="GU528" s="4"/>
      <c r="GV528" s="4"/>
      <c r="GW528" s="4"/>
      <c r="GX528" s="4"/>
      <c r="GY528" s="4"/>
      <c r="GZ528" s="4"/>
      <c r="HA528" s="4"/>
      <c r="HB528" s="4"/>
      <c r="HC528" s="4"/>
      <c r="HD528" s="4"/>
      <c r="HE528" s="4"/>
      <c r="HF528" s="4"/>
      <c r="HG528" s="4"/>
      <c r="HH528" s="4"/>
      <c r="HI528" s="4"/>
      <c r="HJ528" s="4"/>
    </row>
    <row r="529" spans="1:218" hidden="1">
      <c r="A529" t="s">
        <v>2274</v>
      </c>
      <c r="B529" t="s">
        <v>2275</v>
      </c>
      <c r="C529" t="s">
        <v>505</v>
      </c>
      <c r="D529" t="s">
        <v>2276</v>
      </c>
      <c r="E529" t="s">
        <v>2277</v>
      </c>
      <c r="F529" s="3">
        <v>1</v>
      </c>
      <c r="G529" s="12">
        <f t="shared" si="16"/>
        <v>4.18</v>
      </c>
      <c r="H529" s="12" t="e">
        <f t="shared" si="17"/>
        <v>#NUM!</v>
      </c>
      <c r="I529" s="3">
        <v>4.17936</v>
      </c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  <c r="DQ529" s="4"/>
      <c r="DR529" s="4"/>
      <c r="DS529" s="4"/>
      <c r="DT529" s="4"/>
      <c r="DU529" s="4"/>
      <c r="DV529" s="4"/>
      <c r="DW529" s="4"/>
      <c r="DX529" s="4"/>
      <c r="DY529" s="4"/>
      <c r="DZ529" s="4"/>
      <c r="EA529" s="4"/>
      <c r="EB529" s="4"/>
      <c r="EC529" s="4"/>
      <c r="ED529" s="4">
        <v>4.18</v>
      </c>
      <c r="EE529" s="4"/>
      <c r="EF529" s="4"/>
      <c r="EG529" s="4"/>
      <c r="EH529" s="4"/>
      <c r="EI529" s="4"/>
      <c r="EJ529" s="4"/>
      <c r="EK529" s="4"/>
      <c r="EL529" s="4"/>
      <c r="EM529" s="4"/>
      <c r="EN529" s="4"/>
      <c r="EO529" s="4"/>
      <c r="EP529" s="4"/>
      <c r="EQ529" s="4"/>
      <c r="ER529" s="4"/>
      <c r="ES529" s="4"/>
      <c r="ET529" s="4"/>
      <c r="EU529" s="4"/>
      <c r="EV529" s="4"/>
      <c r="EW529" s="4"/>
      <c r="EX529" s="4"/>
      <c r="EY529" s="4"/>
      <c r="EZ529" s="4"/>
      <c r="FA529" s="4"/>
      <c r="FB529" s="4"/>
      <c r="FC529" s="4"/>
      <c r="FD529" s="4"/>
      <c r="FE529" s="4"/>
      <c r="FF529" s="4"/>
      <c r="FG529" s="4"/>
      <c r="FH529" s="4"/>
      <c r="FI529" s="4"/>
      <c r="FJ529" s="4"/>
      <c r="FK529" s="4"/>
      <c r="FL529" s="4"/>
      <c r="FM529" s="4"/>
      <c r="FN529" s="4"/>
      <c r="FO529" s="4"/>
      <c r="FP529" s="4"/>
      <c r="FQ529" s="4"/>
      <c r="FR529" s="4"/>
      <c r="FS529" s="4"/>
      <c r="FT529" s="4"/>
      <c r="FU529" s="4"/>
      <c r="FV529" s="4"/>
      <c r="FW529" s="4"/>
      <c r="FX529" s="4"/>
      <c r="FY529" s="4"/>
      <c r="FZ529" s="4"/>
      <c r="GA529" s="4"/>
      <c r="GB529" s="4"/>
      <c r="GC529" s="4"/>
      <c r="GD529" s="4"/>
      <c r="GE529" s="4"/>
      <c r="GF529" s="4"/>
      <c r="GG529" s="4"/>
      <c r="GH529" s="4"/>
      <c r="GI529" s="4"/>
      <c r="GJ529" s="4"/>
      <c r="GK529" s="4"/>
      <c r="GL529" s="4"/>
      <c r="GM529" s="4"/>
      <c r="GN529" s="4"/>
      <c r="GO529" s="4"/>
      <c r="GP529" s="4"/>
      <c r="GQ529" s="4"/>
      <c r="GR529" s="4"/>
      <c r="GS529" s="4"/>
      <c r="GT529" s="4"/>
      <c r="GU529" s="4"/>
      <c r="GV529" s="4"/>
      <c r="GW529" s="4"/>
      <c r="GX529" s="4"/>
      <c r="GY529" s="4"/>
      <c r="GZ529" s="4"/>
      <c r="HA529" s="4"/>
      <c r="HB529" s="4"/>
      <c r="HC529" s="4"/>
      <c r="HD529" s="4"/>
      <c r="HE529" s="4"/>
      <c r="HF529" s="4"/>
      <c r="HG529" s="4"/>
      <c r="HH529" s="4"/>
      <c r="HI529" s="4"/>
      <c r="HJ529" s="4"/>
    </row>
    <row r="530" spans="1:218" hidden="1">
      <c r="A530" t="s">
        <v>2206</v>
      </c>
      <c r="B530" t="s">
        <v>2207</v>
      </c>
      <c r="C530" t="s">
        <v>845</v>
      </c>
      <c r="D530" t="s">
        <v>2208</v>
      </c>
      <c r="E530" t="s">
        <v>2209</v>
      </c>
      <c r="F530" s="3">
        <v>1</v>
      </c>
      <c r="G530" s="12">
        <f t="shared" si="16"/>
        <v>4.3099999999999996</v>
      </c>
      <c r="H530" s="12" t="e">
        <f t="shared" si="17"/>
        <v>#NUM!</v>
      </c>
      <c r="I530" s="3">
        <v>4.3068599999999986</v>
      </c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>
        <v>4.3099999999999996</v>
      </c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  <c r="DQ530" s="4"/>
      <c r="DR530" s="4"/>
      <c r="DS530" s="4"/>
      <c r="DT530" s="4"/>
      <c r="DU530" s="4"/>
      <c r="DV530" s="4"/>
      <c r="DW530" s="4"/>
      <c r="DX530" s="4"/>
      <c r="DY530" s="4"/>
      <c r="DZ530" s="4"/>
      <c r="EA530" s="4"/>
      <c r="EB530" s="4"/>
      <c r="EC530" s="4"/>
      <c r="ED530" s="4"/>
      <c r="EE530" s="4"/>
      <c r="EF530" s="4"/>
      <c r="EG530" s="4"/>
      <c r="EH530" s="4"/>
      <c r="EI530" s="4"/>
      <c r="EJ530" s="4"/>
      <c r="EK530" s="4"/>
      <c r="EL530" s="4"/>
      <c r="EM530" s="4"/>
      <c r="EN530" s="4"/>
      <c r="EO530" s="4"/>
      <c r="EP530" s="4"/>
      <c r="EQ530" s="4"/>
      <c r="ER530" s="4"/>
      <c r="ES530" s="4"/>
      <c r="ET530" s="4"/>
      <c r="EU530" s="4"/>
      <c r="EV530" s="4"/>
      <c r="EW530" s="4"/>
      <c r="EX530" s="4"/>
      <c r="EY530" s="4"/>
      <c r="EZ530" s="4"/>
      <c r="FA530" s="4"/>
      <c r="FB530" s="4"/>
      <c r="FC530" s="4"/>
      <c r="FD530" s="4"/>
      <c r="FE530" s="4"/>
      <c r="FF530" s="4"/>
      <c r="FG530" s="4"/>
      <c r="FH530" s="4"/>
      <c r="FI530" s="4"/>
      <c r="FJ530" s="4"/>
      <c r="FK530" s="4"/>
      <c r="FL530" s="4"/>
      <c r="FM530" s="4"/>
      <c r="FN530" s="4"/>
      <c r="FO530" s="4"/>
      <c r="FP530" s="4"/>
      <c r="FQ530" s="4"/>
      <c r="FR530" s="4"/>
      <c r="FS530" s="4"/>
      <c r="FT530" s="4"/>
      <c r="FU530" s="4"/>
      <c r="FV530" s="4"/>
      <c r="FW530" s="4"/>
      <c r="FX530" s="4"/>
      <c r="FY530" s="4"/>
      <c r="FZ530" s="4"/>
      <c r="GA530" s="4"/>
      <c r="GB530" s="4"/>
      <c r="GC530" s="4"/>
      <c r="GD530" s="4"/>
      <c r="GE530" s="4"/>
      <c r="GF530" s="4"/>
      <c r="GG530" s="4"/>
      <c r="GH530" s="4"/>
      <c r="GI530" s="4"/>
      <c r="GJ530" s="4"/>
      <c r="GK530" s="4"/>
      <c r="GL530" s="4"/>
      <c r="GM530" s="4"/>
      <c r="GN530" s="4"/>
      <c r="GO530" s="4"/>
      <c r="GP530" s="4"/>
      <c r="GQ530" s="4"/>
      <c r="GR530" s="4"/>
      <c r="GS530" s="4"/>
      <c r="GT530" s="4"/>
      <c r="GU530" s="4"/>
      <c r="GV530" s="4"/>
      <c r="GW530" s="4"/>
      <c r="GX530" s="4"/>
      <c r="GY530" s="4"/>
      <c r="GZ530" s="4"/>
      <c r="HA530" s="4"/>
      <c r="HB530" s="4"/>
      <c r="HC530" s="4"/>
      <c r="HD530" s="4"/>
      <c r="HE530" s="4"/>
      <c r="HF530" s="4"/>
      <c r="HG530" s="4"/>
      <c r="HH530" s="4"/>
      <c r="HI530" s="4"/>
      <c r="HJ530" s="4"/>
    </row>
    <row r="531" spans="1:218" hidden="1">
      <c r="A531" t="s">
        <v>2152</v>
      </c>
      <c r="B531" t="s">
        <v>2153</v>
      </c>
      <c r="C531" t="s">
        <v>845</v>
      </c>
      <c r="D531" t="s">
        <v>2154</v>
      </c>
      <c r="E531" t="s">
        <v>2155</v>
      </c>
      <c r="F531" s="3">
        <v>1</v>
      </c>
      <c r="G531" s="12">
        <f t="shared" si="16"/>
        <v>4.43</v>
      </c>
      <c r="H531" s="12" t="e">
        <f t="shared" si="17"/>
        <v>#NUM!</v>
      </c>
      <c r="I531" s="3">
        <v>4.4262199999999998</v>
      </c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>
        <v>4.43</v>
      </c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  <c r="DQ531" s="4"/>
      <c r="DR531" s="4"/>
      <c r="DS531" s="4"/>
      <c r="DT531" s="4"/>
      <c r="DU531" s="4"/>
      <c r="DV531" s="4"/>
      <c r="DW531" s="4"/>
      <c r="DX531" s="4"/>
      <c r="DY531" s="4"/>
      <c r="DZ531" s="4"/>
      <c r="EA531" s="4"/>
      <c r="EB531" s="4"/>
      <c r="EC531" s="4"/>
      <c r="ED531" s="4"/>
      <c r="EE531" s="4"/>
      <c r="EF531" s="4"/>
      <c r="EG531" s="4"/>
      <c r="EH531" s="4"/>
      <c r="EI531" s="4"/>
      <c r="EJ531" s="4"/>
      <c r="EK531" s="4"/>
      <c r="EL531" s="4"/>
      <c r="EM531" s="4"/>
      <c r="EN531" s="4"/>
      <c r="EO531" s="4"/>
      <c r="EP531" s="4"/>
      <c r="EQ531" s="4"/>
      <c r="ER531" s="4"/>
      <c r="ES531" s="4"/>
      <c r="ET531" s="4"/>
      <c r="EU531" s="4"/>
      <c r="EV531" s="4"/>
      <c r="EW531" s="4"/>
      <c r="EX531" s="4"/>
      <c r="EY531" s="4"/>
      <c r="EZ531" s="4"/>
      <c r="FA531" s="4"/>
      <c r="FB531" s="4"/>
      <c r="FC531" s="4"/>
      <c r="FD531" s="4"/>
      <c r="FE531" s="4"/>
      <c r="FF531" s="4"/>
      <c r="FG531" s="4"/>
      <c r="FH531" s="4"/>
      <c r="FI531" s="4"/>
      <c r="FJ531" s="4"/>
      <c r="FK531" s="4"/>
      <c r="FL531" s="4"/>
      <c r="FM531" s="4"/>
      <c r="FN531" s="4"/>
      <c r="FO531" s="4"/>
      <c r="FP531" s="4"/>
      <c r="FQ531" s="4"/>
      <c r="FR531" s="4"/>
      <c r="FS531" s="4"/>
      <c r="FT531" s="4"/>
      <c r="FU531" s="4"/>
      <c r="FV531" s="4"/>
      <c r="FW531" s="4"/>
      <c r="FX531" s="4"/>
      <c r="FY531" s="4"/>
      <c r="FZ531" s="4"/>
      <c r="GA531" s="4"/>
      <c r="GB531" s="4"/>
      <c r="GC531" s="4"/>
      <c r="GD531" s="4"/>
      <c r="GE531" s="4"/>
      <c r="GF531" s="4"/>
      <c r="GG531" s="4"/>
      <c r="GH531" s="4"/>
      <c r="GI531" s="4"/>
      <c r="GJ531" s="4"/>
      <c r="GK531" s="4"/>
      <c r="GL531" s="4"/>
      <c r="GM531" s="4"/>
      <c r="GN531" s="4"/>
      <c r="GO531" s="4"/>
      <c r="GP531" s="4"/>
      <c r="GQ531" s="4"/>
      <c r="GR531" s="4"/>
      <c r="GS531" s="4"/>
      <c r="GT531" s="4"/>
      <c r="GU531" s="4"/>
      <c r="GV531" s="4"/>
      <c r="GW531" s="4"/>
      <c r="GX531" s="4"/>
      <c r="GY531" s="4"/>
      <c r="GZ531" s="4"/>
      <c r="HA531" s="4"/>
      <c r="HB531" s="4"/>
      <c r="HC531" s="4"/>
      <c r="HD531" s="4"/>
      <c r="HE531" s="4"/>
      <c r="HF531" s="4"/>
      <c r="HG531" s="4"/>
      <c r="HH531" s="4"/>
      <c r="HI531" s="4"/>
      <c r="HJ531" s="4"/>
    </row>
    <row r="532" spans="1:218" hidden="1">
      <c r="A532" t="s">
        <v>2302</v>
      </c>
      <c r="B532" t="s">
        <v>2303</v>
      </c>
      <c r="C532" t="s">
        <v>1790</v>
      </c>
      <c r="D532" t="s">
        <v>2304</v>
      </c>
      <c r="E532" t="s">
        <v>2305</v>
      </c>
      <c r="F532" s="3">
        <v>1</v>
      </c>
      <c r="G532" s="12">
        <f t="shared" si="16"/>
        <v>4.13</v>
      </c>
      <c r="H532" s="12" t="e">
        <f t="shared" si="17"/>
        <v>#NUM!</v>
      </c>
      <c r="I532" s="3">
        <v>4.1258100000000004</v>
      </c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>
        <v>4.13</v>
      </c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  <c r="DQ532" s="4"/>
      <c r="DR532" s="4"/>
      <c r="DS532" s="4"/>
      <c r="DT532" s="4"/>
      <c r="DU532" s="4"/>
      <c r="DV532" s="4"/>
      <c r="DW532" s="4"/>
      <c r="DX532" s="4"/>
      <c r="DY532" s="4"/>
      <c r="DZ532" s="4"/>
      <c r="EA532" s="4"/>
      <c r="EB532" s="4"/>
      <c r="EC532" s="4"/>
      <c r="ED532" s="4"/>
      <c r="EE532" s="4"/>
      <c r="EF532" s="4"/>
      <c r="EG532" s="4"/>
      <c r="EH532" s="4"/>
      <c r="EI532" s="4"/>
      <c r="EJ532" s="4"/>
      <c r="EK532" s="4"/>
      <c r="EL532" s="4"/>
      <c r="EM532" s="4"/>
      <c r="EN532" s="4"/>
      <c r="EO532" s="4"/>
      <c r="EP532" s="4"/>
      <c r="EQ532" s="4"/>
      <c r="ER532" s="4"/>
      <c r="ES532" s="4"/>
      <c r="ET532" s="4"/>
      <c r="EU532" s="4"/>
      <c r="EV532" s="4"/>
      <c r="EW532" s="4"/>
      <c r="EX532" s="4"/>
      <c r="EY532" s="4"/>
      <c r="EZ532" s="4"/>
      <c r="FA532" s="4"/>
      <c r="FB532" s="4"/>
      <c r="FC532" s="4"/>
      <c r="FD532" s="4"/>
      <c r="FE532" s="4"/>
      <c r="FF532" s="4"/>
      <c r="FG532" s="4"/>
      <c r="FH532" s="4"/>
      <c r="FI532" s="4"/>
      <c r="FJ532" s="4"/>
      <c r="FK532" s="4"/>
      <c r="FL532" s="4"/>
      <c r="FM532" s="4"/>
      <c r="FN532" s="4"/>
      <c r="FO532" s="4"/>
      <c r="FP532" s="4"/>
      <c r="FQ532" s="4"/>
      <c r="FR532" s="4"/>
      <c r="FS532" s="4"/>
      <c r="FT532" s="4"/>
      <c r="FU532" s="4"/>
      <c r="FV532" s="4"/>
      <c r="FW532" s="4"/>
      <c r="FX532" s="4"/>
      <c r="FY532" s="4"/>
      <c r="FZ532" s="4"/>
      <c r="GA532" s="4"/>
      <c r="GB532" s="4"/>
      <c r="GC532" s="4"/>
      <c r="GD532" s="4"/>
      <c r="GE532" s="4"/>
      <c r="GF532" s="4"/>
      <c r="GG532" s="4"/>
      <c r="GH532" s="4"/>
      <c r="GI532" s="4"/>
      <c r="GJ532" s="4"/>
      <c r="GK532" s="4"/>
      <c r="GL532" s="4"/>
      <c r="GM532" s="4"/>
      <c r="GN532" s="4"/>
      <c r="GO532" s="4"/>
      <c r="GP532" s="4"/>
      <c r="GQ532" s="4"/>
      <c r="GR532" s="4"/>
      <c r="GS532" s="4"/>
      <c r="GT532" s="4"/>
      <c r="GU532" s="4"/>
      <c r="GV532" s="4"/>
      <c r="GW532" s="4"/>
      <c r="GX532" s="4"/>
      <c r="GY532" s="4"/>
      <c r="GZ532" s="4"/>
      <c r="HA532" s="4"/>
      <c r="HB532" s="4"/>
      <c r="HC532" s="4"/>
      <c r="HD532" s="4"/>
      <c r="HE532" s="4"/>
      <c r="HF532" s="4"/>
      <c r="HG532" s="4"/>
      <c r="HH532" s="4"/>
      <c r="HI532" s="4"/>
      <c r="HJ532" s="4"/>
    </row>
    <row r="533" spans="1:218" hidden="1">
      <c r="A533" t="s">
        <v>2310</v>
      </c>
      <c r="B533" t="s">
        <v>2311</v>
      </c>
      <c r="C533" t="s">
        <v>2312</v>
      </c>
      <c r="D533" t="s">
        <v>2313</v>
      </c>
      <c r="E533" t="s">
        <v>2314</v>
      </c>
      <c r="F533" s="3">
        <v>1</v>
      </c>
      <c r="G533" s="12">
        <f t="shared" si="16"/>
        <v>4.1100000000000003</v>
      </c>
      <c r="H533" s="12" t="e">
        <f t="shared" si="17"/>
        <v>#NUM!</v>
      </c>
      <c r="I533" s="3">
        <v>4.1146103000000007</v>
      </c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>
        <v>4.1100000000000003</v>
      </c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  <c r="DQ533" s="4"/>
      <c r="DR533" s="4"/>
      <c r="DS533" s="4"/>
      <c r="DT533" s="4"/>
      <c r="DU533" s="4"/>
      <c r="DV533" s="4"/>
      <c r="DW533" s="4"/>
      <c r="DX533" s="4"/>
      <c r="DY533" s="4"/>
      <c r="DZ533" s="4"/>
      <c r="EA533" s="4"/>
      <c r="EB533" s="4"/>
      <c r="EC533" s="4"/>
      <c r="ED533" s="4"/>
      <c r="EE533" s="4"/>
      <c r="EF533" s="4"/>
      <c r="EG533" s="4"/>
      <c r="EH533" s="4"/>
      <c r="EI533" s="4"/>
      <c r="EJ533" s="4"/>
      <c r="EK533" s="4"/>
      <c r="EL533" s="4"/>
      <c r="EM533" s="4"/>
      <c r="EN533" s="4"/>
      <c r="EO533" s="4"/>
      <c r="EP533" s="4"/>
      <c r="EQ533" s="4"/>
      <c r="ER533" s="4"/>
      <c r="ES533" s="4"/>
      <c r="ET533" s="4"/>
      <c r="EU533" s="4"/>
      <c r="EV533" s="4"/>
      <c r="EW533" s="4"/>
      <c r="EX533" s="4"/>
      <c r="EY533" s="4"/>
      <c r="EZ533" s="4"/>
      <c r="FA533" s="4"/>
      <c r="FB533" s="4"/>
      <c r="FC533" s="4"/>
      <c r="FD533" s="4"/>
      <c r="FE533" s="4"/>
      <c r="FF533" s="4"/>
      <c r="FG533" s="4"/>
      <c r="FH533" s="4"/>
      <c r="FI533" s="4"/>
      <c r="FJ533" s="4"/>
      <c r="FK533" s="4"/>
      <c r="FL533" s="4"/>
      <c r="FM533" s="4"/>
      <c r="FN533" s="4"/>
      <c r="FO533" s="4"/>
      <c r="FP533" s="4"/>
      <c r="FQ533" s="4"/>
      <c r="FR533" s="4"/>
      <c r="FS533" s="4"/>
      <c r="FT533" s="4"/>
      <c r="FU533" s="4"/>
      <c r="FV533" s="4"/>
      <c r="FW533" s="4"/>
      <c r="FX533" s="4"/>
      <c r="FY533" s="4"/>
      <c r="FZ533" s="4"/>
      <c r="GA533" s="4"/>
      <c r="GB533" s="4"/>
      <c r="GC533" s="4"/>
      <c r="GD533" s="4"/>
      <c r="GE533" s="4"/>
      <c r="GF533" s="4"/>
      <c r="GG533" s="4"/>
      <c r="GH533" s="4"/>
      <c r="GI533" s="4"/>
      <c r="GJ533" s="4"/>
      <c r="GK533" s="4"/>
      <c r="GL533" s="4"/>
      <c r="GM533" s="4"/>
      <c r="GN533" s="4"/>
      <c r="GO533" s="4"/>
      <c r="GP533" s="4"/>
      <c r="GQ533" s="4"/>
      <c r="GR533" s="4"/>
      <c r="GS533" s="4"/>
      <c r="GT533" s="4"/>
      <c r="GU533" s="4"/>
      <c r="GV533" s="4"/>
      <c r="GW533" s="4"/>
      <c r="GX533" s="4"/>
      <c r="GY533" s="4"/>
      <c r="GZ533" s="4"/>
      <c r="HA533" s="4"/>
      <c r="HB533" s="4"/>
      <c r="HC533" s="4"/>
      <c r="HD533" s="4"/>
      <c r="HE533" s="4"/>
      <c r="HF533" s="4"/>
      <c r="HG533" s="4"/>
      <c r="HH533" s="4"/>
      <c r="HI533" s="4"/>
      <c r="HJ533" s="4"/>
    </row>
    <row r="534" spans="1:218" hidden="1">
      <c r="A534" t="s">
        <v>2417</v>
      </c>
      <c r="B534" t="s">
        <v>2418</v>
      </c>
      <c r="C534" t="s">
        <v>443</v>
      </c>
      <c r="D534" t="s">
        <v>2419</v>
      </c>
      <c r="E534" t="s">
        <v>2420</v>
      </c>
      <c r="F534" s="3">
        <v>1</v>
      </c>
      <c r="G534" s="12">
        <f t="shared" si="16"/>
        <v>3.85</v>
      </c>
      <c r="H534" s="12" t="e">
        <f t="shared" si="17"/>
        <v>#NUM!</v>
      </c>
      <c r="I534" s="3">
        <v>3.8504100000000001</v>
      </c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  <c r="DQ534" s="4"/>
      <c r="DR534" s="4"/>
      <c r="DS534" s="4"/>
      <c r="DT534" s="4"/>
      <c r="DU534" s="4"/>
      <c r="DV534" s="4"/>
      <c r="DW534" s="4"/>
      <c r="DX534" s="4"/>
      <c r="DY534" s="4"/>
      <c r="DZ534" s="4"/>
      <c r="EA534" s="4"/>
      <c r="EB534" s="4"/>
      <c r="EC534" s="4"/>
      <c r="ED534" s="4"/>
      <c r="EE534" s="4">
        <v>3.85</v>
      </c>
      <c r="EF534" s="4"/>
      <c r="EG534" s="4"/>
      <c r="EH534" s="4"/>
      <c r="EI534" s="4"/>
      <c r="EJ534" s="4"/>
      <c r="EK534" s="4"/>
      <c r="EL534" s="4"/>
      <c r="EM534" s="4"/>
      <c r="EN534" s="4"/>
      <c r="EO534" s="4"/>
      <c r="EP534" s="4"/>
      <c r="EQ534" s="4"/>
      <c r="ER534" s="4"/>
      <c r="ES534" s="4"/>
      <c r="ET534" s="4"/>
      <c r="EU534" s="4"/>
      <c r="EV534" s="4"/>
      <c r="EW534" s="4"/>
      <c r="EX534" s="4"/>
      <c r="EY534" s="4"/>
      <c r="EZ534" s="4"/>
      <c r="FA534" s="4"/>
      <c r="FB534" s="4"/>
      <c r="FC534" s="4"/>
      <c r="FD534" s="4"/>
      <c r="FE534" s="4"/>
      <c r="FF534" s="4"/>
      <c r="FG534" s="4"/>
      <c r="FH534" s="4"/>
      <c r="FI534" s="4"/>
      <c r="FJ534" s="4"/>
      <c r="FK534" s="4"/>
      <c r="FL534" s="4"/>
      <c r="FM534" s="4"/>
      <c r="FN534" s="4"/>
      <c r="FO534" s="4"/>
      <c r="FP534" s="4"/>
      <c r="FQ534" s="4"/>
      <c r="FR534" s="4"/>
      <c r="FS534" s="4"/>
      <c r="FT534" s="4"/>
      <c r="FU534" s="4"/>
      <c r="FV534" s="4"/>
      <c r="FW534" s="4"/>
      <c r="FX534" s="4"/>
      <c r="FY534" s="4"/>
      <c r="FZ534" s="4"/>
      <c r="GA534" s="4"/>
      <c r="GB534" s="4"/>
      <c r="GC534" s="4"/>
      <c r="GD534" s="4"/>
      <c r="GE534" s="4"/>
      <c r="GF534" s="4"/>
      <c r="GG534" s="4"/>
      <c r="GH534" s="4"/>
      <c r="GI534" s="4"/>
      <c r="GJ534" s="4"/>
      <c r="GK534" s="4"/>
      <c r="GL534" s="4"/>
      <c r="GM534" s="4"/>
      <c r="GN534" s="4"/>
      <c r="GO534" s="4"/>
      <c r="GP534" s="4"/>
      <c r="GQ534" s="4"/>
      <c r="GR534" s="4"/>
      <c r="GS534" s="4"/>
      <c r="GT534" s="4"/>
      <c r="GU534" s="4"/>
      <c r="GV534" s="4"/>
      <c r="GW534" s="4"/>
      <c r="GX534" s="4"/>
      <c r="GY534" s="4"/>
      <c r="GZ534" s="4"/>
      <c r="HA534" s="4"/>
      <c r="HB534" s="4"/>
      <c r="HC534" s="4"/>
      <c r="HD534" s="4"/>
      <c r="HE534" s="4"/>
      <c r="HF534" s="4"/>
      <c r="HG534" s="4"/>
      <c r="HH534" s="4"/>
      <c r="HI534" s="4"/>
      <c r="HJ534" s="4"/>
    </row>
    <row r="535" spans="1:218" hidden="1">
      <c r="A535" t="s">
        <v>2236</v>
      </c>
      <c r="B535" t="s">
        <v>2237</v>
      </c>
      <c r="C535" t="s">
        <v>845</v>
      </c>
      <c r="D535" t="s">
        <v>2238</v>
      </c>
      <c r="E535" t="s">
        <v>2239</v>
      </c>
      <c r="F535" s="3">
        <v>1</v>
      </c>
      <c r="G535" s="12">
        <f t="shared" si="16"/>
        <v>4.25</v>
      </c>
      <c r="H535" s="12" t="e">
        <f t="shared" si="17"/>
        <v>#NUM!</v>
      </c>
      <c r="I535" s="3">
        <v>4.2464599999999999</v>
      </c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>
        <v>4.25</v>
      </c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  <c r="DQ535" s="4"/>
      <c r="DR535" s="4"/>
      <c r="DS535" s="4"/>
      <c r="DT535" s="4"/>
      <c r="DU535" s="4"/>
      <c r="DV535" s="4"/>
      <c r="DW535" s="4"/>
      <c r="DX535" s="4"/>
      <c r="DY535" s="4"/>
      <c r="DZ535" s="4"/>
      <c r="EA535" s="4"/>
      <c r="EB535" s="4"/>
      <c r="EC535" s="4"/>
      <c r="ED535" s="4"/>
      <c r="EE535" s="4"/>
      <c r="EF535" s="4"/>
      <c r="EG535" s="4"/>
      <c r="EH535" s="4"/>
      <c r="EI535" s="4"/>
      <c r="EJ535" s="4"/>
      <c r="EK535" s="4"/>
      <c r="EL535" s="4"/>
      <c r="EM535" s="4"/>
      <c r="EN535" s="4"/>
      <c r="EO535" s="4"/>
      <c r="EP535" s="4"/>
      <c r="EQ535" s="4"/>
      <c r="ER535" s="4"/>
      <c r="ES535" s="4"/>
      <c r="ET535" s="4"/>
      <c r="EU535" s="4"/>
      <c r="EV535" s="4"/>
      <c r="EW535" s="4"/>
      <c r="EX535" s="4"/>
      <c r="EY535" s="4"/>
      <c r="EZ535" s="4"/>
      <c r="FA535" s="4"/>
      <c r="FB535" s="4"/>
      <c r="FC535" s="4"/>
      <c r="FD535" s="4"/>
      <c r="FE535" s="4"/>
      <c r="FF535" s="4"/>
      <c r="FG535" s="4"/>
      <c r="FH535" s="4"/>
      <c r="FI535" s="4"/>
      <c r="FJ535" s="4"/>
      <c r="FK535" s="4"/>
      <c r="FL535" s="4"/>
      <c r="FM535" s="4"/>
      <c r="FN535" s="4"/>
      <c r="FO535" s="4"/>
      <c r="FP535" s="4"/>
      <c r="FQ535" s="4"/>
      <c r="FR535" s="4"/>
      <c r="FS535" s="4"/>
      <c r="FT535" s="4"/>
      <c r="FU535" s="4"/>
      <c r="FV535" s="4"/>
      <c r="FW535" s="4"/>
      <c r="FX535" s="4"/>
      <c r="FY535" s="4"/>
      <c r="FZ535" s="4"/>
      <c r="GA535" s="4"/>
      <c r="GB535" s="4"/>
      <c r="GC535" s="4"/>
      <c r="GD535" s="4"/>
      <c r="GE535" s="4"/>
      <c r="GF535" s="4"/>
      <c r="GG535" s="4"/>
      <c r="GH535" s="4"/>
      <c r="GI535" s="4"/>
      <c r="GJ535" s="4"/>
      <c r="GK535" s="4"/>
      <c r="GL535" s="4"/>
      <c r="GM535" s="4"/>
      <c r="GN535" s="4"/>
      <c r="GO535" s="4"/>
      <c r="GP535" s="4"/>
      <c r="GQ535" s="4"/>
      <c r="GR535" s="4"/>
      <c r="GS535" s="4"/>
      <c r="GT535" s="4"/>
      <c r="GU535" s="4"/>
      <c r="GV535" s="4"/>
      <c r="GW535" s="4"/>
      <c r="GX535" s="4"/>
      <c r="GY535" s="4"/>
      <c r="GZ535" s="4"/>
      <c r="HA535" s="4"/>
      <c r="HB535" s="4"/>
      <c r="HC535" s="4"/>
      <c r="HD535" s="4"/>
      <c r="HE535" s="4"/>
      <c r="HF535" s="4"/>
      <c r="HG535" s="4"/>
      <c r="HH535" s="4"/>
      <c r="HI535" s="4"/>
      <c r="HJ535" s="4"/>
    </row>
    <row r="536" spans="1:218" hidden="1">
      <c r="A536" t="s">
        <v>1761</v>
      </c>
      <c r="B536" t="s">
        <v>1762</v>
      </c>
      <c r="C536" t="s">
        <v>954</v>
      </c>
      <c r="D536" t="s">
        <v>1763</v>
      </c>
      <c r="E536" t="s">
        <v>1764</v>
      </c>
      <c r="F536" s="3">
        <v>1</v>
      </c>
      <c r="G536" s="12">
        <f t="shared" si="16"/>
        <v>6.65</v>
      </c>
      <c r="H536" s="12" t="e">
        <f t="shared" si="17"/>
        <v>#NUM!</v>
      </c>
      <c r="I536" s="3">
        <v>6.6469399999999998</v>
      </c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>
        <v>6.65</v>
      </c>
      <c r="DG536" s="4"/>
      <c r="DH536" s="4"/>
      <c r="DI536" s="4"/>
      <c r="DJ536" s="4"/>
      <c r="DK536" s="4"/>
      <c r="DL536" s="4"/>
      <c r="DM536" s="4"/>
      <c r="DN536" s="4"/>
      <c r="DO536" s="4"/>
      <c r="DP536" s="4"/>
      <c r="DQ536" s="4"/>
      <c r="DR536" s="4"/>
      <c r="DS536" s="4"/>
      <c r="DT536" s="4"/>
      <c r="DU536" s="4"/>
      <c r="DV536" s="4"/>
      <c r="DW536" s="4"/>
      <c r="DX536" s="4"/>
      <c r="DY536" s="4"/>
      <c r="DZ536" s="4"/>
      <c r="EA536" s="4"/>
      <c r="EB536" s="4"/>
      <c r="EC536" s="4"/>
      <c r="ED536" s="4"/>
      <c r="EE536" s="4"/>
      <c r="EF536" s="4"/>
      <c r="EG536" s="4"/>
      <c r="EH536" s="4"/>
      <c r="EI536" s="4"/>
      <c r="EJ536" s="4"/>
      <c r="EK536" s="4"/>
      <c r="EL536" s="4"/>
      <c r="EM536" s="4"/>
      <c r="EN536" s="4"/>
      <c r="EO536" s="4"/>
      <c r="EP536" s="4"/>
      <c r="EQ536" s="4"/>
      <c r="ER536" s="4"/>
      <c r="ES536" s="4"/>
      <c r="ET536" s="4"/>
      <c r="EU536" s="4"/>
      <c r="EV536" s="4"/>
      <c r="EW536" s="4"/>
      <c r="EX536" s="4"/>
      <c r="EY536" s="4"/>
      <c r="EZ536" s="4"/>
      <c r="FA536" s="4"/>
      <c r="FB536" s="4"/>
      <c r="FC536" s="4"/>
      <c r="FD536" s="4"/>
      <c r="FE536" s="4"/>
      <c r="FF536" s="4"/>
      <c r="FG536" s="4"/>
      <c r="FH536" s="4"/>
      <c r="FI536" s="4"/>
      <c r="FJ536" s="4"/>
      <c r="FK536" s="4"/>
      <c r="FL536" s="4"/>
      <c r="FM536" s="4"/>
      <c r="FN536" s="4"/>
      <c r="FO536" s="4"/>
      <c r="FP536" s="4"/>
      <c r="FQ536" s="4"/>
      <c r="FR536" s="4"/>
      <c r="FS536" s="4"/>
      <c r="FT536" s="4"/>
      <c r="FU536" s="4"/>
      <c r="FV536" s="4"/>
      <c r="FW536" s="4"/>
      <c r="FX536" s="4"/>
      <c r="FY536" s="4"/>
      <c r="FZ536" s="4"/>
      <c r="GA536" s="4"/>
      <c r="GB536" s="4"/>
      <c r="GC536" s="4"/>
      <c r="GD536" s="4"/>
      <c r="GE536" s="4"/>
      <c r="GF536" s="4"/>
      <c r="GG536" s="4"/>
      <c r="GH536" s="4"/>
      <c r="GI536" s="4"/>
      <c r="GJ536" s="4"/>
      <c r="GK536" s="4"/>
      <c r="GL536" s="4"/>
      <c r="GM536" s="4"/>
      <c r="GN536" s="4"/>
      <c r="GO536" s="4"/>
      <c r="GP536" s="4"/>
      <c r="GQ536" s="4"/>
      <c r="GR536" s="4"/>
      <c r="GS536" s="4"/>
      <c r="GT536" s="4"/>
      <c r="GU536" s="4"/>
      <c r="GV536" s="4"/>
      <c r="GW536" s="4"/>
      <c r="GX536" s="4"/>
      <c r="GY536" s="4"/>
      <c r="GZ536" s="4"/>
      <c r="HA536" s="4"/>
      <c r="HB536" s="4"/>
      <c r="HC536" s="4"/>
      <c r="HD536" s="4"/>
      <c r="HE536" s="4"/>
      <c r="HF536" s="4"/>
      <c r="HG536" s="4"/>
      <c r="HH536" s="4"/>
      <c r="HI536" s="4"/>
      <c r="HJ536" s="4"/>
    </row>
    <row r="537" spans="1:218" hidden="1">
      <c r="A537" t="s">
        <v>2455</v>
      </c>
      <c r="B537" t="s">
        <v>2456</v>
      </c>
      <c r="C537" t="s">
        <v>484</v>
      </c>
      <c r="D537" t="s">
        <v>2457</v>
      </c>
      <c r="E537" t="s">
        <v>2458</v>
      </c>
      <c r="F537" s="3">
        <v>1</v>
      </c>
      <c r="G537" s="12">
        <f t="shared" si="16"/>
        <v>3.77</v>
      </c>
      <c r="H537" s="12" t="e">
        <f t="shared" si="17"/>
        <v>#NUM!</v>
      </c>
      <c r="I537" s="3">
        <v>3.7709101999999999</v>
      </c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>
        <v>3.77</v>
      </c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  <c r="DQ537" s="4"/>
      <c r="DR537" s="4"/>
      <c r="DS537" s="4"/>
      <c r="DT537" s="4"/>
      <c r="DU537" s="4"/>
      <c r="DV537" s="4"/>
      <c r="DW537" s="4"/>
      <c r="DX537" s="4"/>
      <c r="DY537" s="4"/>
      <c r="DZ537" s="4"/>
      <c r="EA537" s="4"/>
      <c r="EB537" s="4"/>
      <c r="EC537" s="4"/>
      <c r="ED537" s="4"/>
      <c r="EE537" s="4"/>
      <c r="EF537" s="4"/>
      <c r="EG537" s="4"/>
      <c r="EH537" s="4"/>
      <c r="EI537" s="4"/>
      <c r="EJ537" s="4"/>
      <c r="EK537" s="4"/>
      <c r="EL537" s="4"/>
      <c r="EM537" s="4"/>
      <c r="EN537" s="4"/>
      <c r="EO537" s="4"/>
      <c r="EP537" s="4"/>
      <c r="EQ537" s="4"/>
      <c r="ER537" s="4"/>
      <c r="ES537" s="4"/>
      <c r="ET537" s="4"/>
      <c r="EU537" s="4"/>
      <c r="EV537" s="4"/>
      <c r="EW537" s="4"/>
      <c r="EX537" s="4"/>
      <c r="EY537" s="4"/>
      <c r="EZ537" s="4"/>
      <c r="FA537" s="4"/>
      <c r="FB537" s="4"/>
      <c r="FC537" s="4"/>
      <c r="FD537" s="4"/>
      <c r="FE537" s="4"/>
      <c r="FF537" s="4"/>
      <c r="FG537" s="4"/>
      <c r="FH537" s="4"/>
      <c r="FI537" s="4"/>
      <c r="FJ537" s="4"/>
      <c r="FK537" s="4"/>
      <c r="FL537" s="4"/>
      <c r="FM537" s="4"/>
      <c r="FN537" s="4"/>
      <c r="FO537" s="4"/>
      <c r="FP537" s="4"/>
      <c r="FQ537" s="4"/>
      <c r="FR537" s="4"/>
      <c r="FS537" s="4"/>
      <c r="FT537" s="4"/>
      <c r="FU537" s="4"/>
      <c r="FV537" s="4"/>
      <c r="FW537" s="4"/>
      <c r="FX537" s="4"/>
      <c r="FY537" s="4"/>
      <c r="FZ537" s="4"/>
      <c r="GA537" s="4"/>
      <c r="GB537" s="4"/>
      <c r="GC537" s="4"/>
      <c r="GD537" s="4"/>
      <c r="GE537" s="4"/>
      <c r="GF537" s="4"/>
      <c r="GG537" s="4"/>
      <c r="GH537" s="4"/>
      <c r="GI537" s="4"/>
      <c r="GJ537" s="4"/>
      <c r="GK537" s="4"/>
      <c r="GL537" s="4"/>
      <c r="GM537" s="4"/>
      <c r="GN537" s="4"/>
      <c r="GO537" s="4"/>
      <c r="GP537" s="4"/>
      <c r="GQ537" s="4"/>
      <c r="GR537" s="4"/>
      <c r="GS537" s="4"/>
      <c r="GT537" s="4"/>
      <c r="GU537" s="4"/>
      <c r="GV537" s="4"/>
      <c r="GW537" s="4"/>
      <c r="GX537" s="4"/>
      <c r="GY537" s="4"/>
      <c r="GZ537" s="4"/>
      <c r="HA537" s="4"/>
      <c r="HB537" s="4"/>
      <c r="HC537" s="4"/>
      <c r="HD537" s="4"/>
      <c r="HE537" s="4"/>
      <c r="HF537" s="4"/>
      <c r="HG537" s="4"/>
      <c r="HH537" s="4"/>
      <c r="HI537" s="4"/>
      <c r="HJ537" s="4"/>
    </row>
    <row r="538" spans="1:218" hidden="1">
      <c r="A538" t="s">
        <v>1731</v>
      </c>
      <c r="B538" t="s">
        <v>1732</v>
      </c>
      <c r="C538" t="s">
        <v>845</v>
      </c>
      <c r="D538" t="s">
        <v>1733</v>
      </c>
      <c r="E538" t="s">
        <v>1734</v>
      </c>
      <c r="F538" s="3">
        <v>1</v>
      </c>
      <c r="G538" s="12">
        <f t="shared" si="16"/>
        <v>7.21</v>
      </c>
      <c r="H538" s="12" t="e">
        <f t="shared" si="17"/>
        <v>#NUM!</v>
      </c>
      <c r="I538" s="3">
        <v>7.2109900000000007</v>
      </c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>
        <v>7.21</v>
      </c>
      <c r="DP538" s="4"/>
      <c r="DQ538" s="4"/>
      <c r="DR538" s="4"/>
      <c r="DS538" s="4"/>
      <c r="DT538" s="4"/>
      <c r="DU538" s="4"/>
      <c r="DV538" s="4"/>
      <c r="DW538" s="4"/>
      <c r="DX538" s="4"/>
      <c r="DY538" s="4"/>
      <c r="DZ538" s="4"/>
      <c r="EA538" s="4"/>
      <c r="EB538" s="4"/>
      <c r="EC538" s="4"/>
      <c r="ED538" s="4"/>
      <c r="EE538" s="4"/>
      <c r="EF538" s="4"/>
      <c r="EG538" s="4"/>
      <c r="EH538" s="4"/>
      <c r="EI538" s="4"/>
      <c r="EJ538" s="4"/>
      <c r="EK538" s="4"/>
      <c r="EL538" s="4"/>
      <c r="EM538" s="4"/>
      <c r="EN538" s="4"/>
      <c r="EO538" s="4"/>
      <c r="EP538" s="4"/>
      <c r="EQ538" s="4"/>
      <c r="ER538" s="4"/>
      <c r="ES538" s="4"/>
      <c r="ET538" s="4"/>
      <c r="EU538" s="4"/>
      <c r="EV538" s="4"/>
      <c r="EW538" s="4"/>
      <c r="EX538" s="4"/>
      <c r="EY538" s="4"/>
      <c r="EZ538" s="4"/>
      <c r="FA538" s="4"/>
      <c r="FB538" s="4"/>
      <c r="FC538" s="4"/>
      <c r="FD538" s="4"/>
      <c r="FE538" s="4"/>
      <c r="FF538" s="4"/>
      <c r="FG538" s="4"/>
      <c r="FH538" s="4"/>
      <c r="FI538" s="4"/>
      <c r="FJ538" s="4"/>
      <c r="FK538" s="4"/>
      <c r="FL538" s="4"/>
      <c r="FM538" s="4"/>
      <c r="FN538" s="4"/>
      <c r="FO538" s="4"/>
      <c r="FP538" s="4"/>
      <c r="FQ538" s="4"/>
      <c r="FR538" s="4"/>
      <c r="FS538" s="4"/>
      <c r="FT538" s="4"/>
      <c r="FU538" s="4"/>
      <c r="FV538" s="4"/>
      <c r="FW538" s="4"/>
      <c r="FX538" s="4"/>
      <c r="FY538" s="4"/>
      <c r="FZ538" s="4"/>
      <c r="GA538" s="4"/>
      <c r="GB538" s="4"/>
      <c r="GC538" s="4"/>
      <c r="GD538" s="4"/>
      <c r="GE538" s="4"/>
      <c r="GF538" s="4"/>
      <c r="GG538" s="4"/>
      <c r="GH538" s="4"/>
      <c r="GI538" s="4"/>
      <c r="GJ538" s="4"/>
      <c r="GK538" s="4"/>
      <c r="GL538" s="4"/>
      <c r="GM538" s="4"/>
      <c r="GN538" s="4"/>
      <c r="GO538" s="4"/>
      <c r="GP538" s="4"/>
      <c r="GQ538" s="4"/>
      <c r="GR538" s="4"/>
      <c r="GS538" s="4"/>
      <c r="GT538" s="4"/>
      <c r="GU538" s="4"/>
      <c r="GV538" s="4"/>
      <c r="GW538" s="4"/>
      <c r="GX538" s="4"/>
      <c r="GY538" s="4"/>
      <c r="GZ538" s="4"/>
      <c r="HA538" s="4"/>
      <c r="HB538" s="4"/>
      <c r="HC538" s="4"/>
      <c r="HD538" s="4"/>
      <c r="HE538" s="4"/>
      <c r="HF538" s="4"/>
      <c r="HG538" s="4"/>
      <c r="HH538" s="4"/>
      <c r="HI538" s="4"/>
      <c r="HJ538" s="4"/>
    </row>
    <row r="539" spans="1:218" hidden="1">
      <c r="A539" t="s">
        <v>2473</v>
      </c>
      <c r="B539" t="s">
        <v>2474</v>
      </c>
      <c r="C539" t="s">
        <v>505</v>
      </c>
      <c r="D539" t="s">
        <v>2475</v>
      </c>
      <c r="E539" t="s">
        <v>2476</v>
      </c>
      <c r="F539" s="3">
        <v>1</v>
      </c>
      <c r="G539" s="12">
        <f t="shared" si="16"/>
        <v>3.74</v>
      </c>
      <c r="H539" s="12" t="e">
        <f t="shared" si="17"/>
        <v>#NUM!</v>
      </c>
      <c r="I539" s="3">
        <v>3.7416299999999998</v>
      </c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  <c r="DQ539" s="4"/>
      <c r="DR539" s="4"/>
      <c r="DS539" s="4"/>
      <c r="DT539" s="4"/>
      <c r="DU539" s="4"/>
      <c r="DV539" s="4"/>
      <c r="DW539" s="4"/>
      <c r="DX539" s="4"/>
      <c r="DY539" s="4"/>
      <c r="DZ539" s="4"/>
      <c r="EA539" s="4"/>
      <c r="EB539" s="4"/>
      <c r="EC539" s="4"/>
      <c r="ED539" s="4"/>
      <c r="EE539" s="4"/>
      <c r="EF539" s="4"/>
      <c r="EG539" s="4"/>
      <c r="EH539" s="4"/>
      <c r="EI539" s="4"/>
      <c r="EJ539" s="4"/>
      <c r="EK539" s="4"/>
      <c r="EL539" s="4"/>
      <c r="EM539" s="4"/>
      <c r="EN539" s="4"/>
      <c r="EO539" s="4"/>
      <c r="EP539" s="4"/>
      <c r="EQ539" s="4"/>
      <c r="ER539" s="4"/>
      <c r="ES539" s="4"/>
      <c r="ET539" s="4"/>
      <c r="EU539" s="4"/>
      <c r="EV539" s="4"/>
      <c r="EW539" s="4">
        <v>3.74</v>
      </c>
      <c r="EX539" s="4"/>
      <c r="EY539" s="4"/>
      <c r="EZ539" s="4"/>
      <c r="FA539" s="4"/>
      <c r="FB539" s="4"/>
      <c r="FC539" s="4"/>
      <c r="FD539" s="4"/>
      <c r="FE539" s="4"/>
      <c r="FF539" s="4"/>
      <c r="FG539" s="4"/>
      <c r="FH539" s="4"/>
      <c r="FI539" s="4"/>
      <c r="FJ539" s="4"/>
      <c r="FK539" s="4"/>
      <c r="FL539" s="4"/>
      <c r="FM539" s="4"/>
      <c r="FN539" s="4"/>
      <c r="FO539" s="4"/>
      <c r="FP539" s="4"/>
      <c r="FQ539" s="4"/>
      <c r="FR539" s="4"/>
      <c r="FS539" s="4"/>
      <c r="FT539" s="4"/>
      <c r="FU539" s="4"/>
      <c r="FV539" s="4"/>
      <c r="FW539" s="4"/>
      <c r="FX539" s="4"/>
      <c r="FY539" s="4"/>
      <c r="FZ539" s="4"/>
      <c r="GA539" s="4"/>
      <c r="GB539" s="4"/>
      <c r="GC539" s="4"/>
      <c r="GD539" s="4"/>
      <c r="GE539" s="4"/>
      <c r="GF539" s="4"/>
      <c r="GG539" s="4"/>
      <c r="GH539" s="4"/>
      <c r="GI539" s="4"/>
      <c r="GJ539" s="4"/>
      <c r="GK539" s="4"/>
      <c r="GL539" s="4"/>
      <c r="GM539" s="4"/>
      <c r="GN539" s="4"/>
      <c r="GO539" s="4"/>
      <c r="GP539" s="4"/>
      <c r="GQ539" s="4"/>
      <c r="GR539" s="4"/>
      <c r="GS539" s="4"/>
      <c r="GT539" s="4"/>
      <c r="GU539" s="4"/>
      <c r="GV539" s="4"/>
      <c r="GW539" s="4"/>
      <c r="GX539" s="4"/>
      <c r="GY539" s="4"/>
      <c r="GZ539" s="4"/>
      <c r="HA539" s="4"/>
      <c r="HB539" s="4"/>
      <c r="HC539" s="4"/>
      <c r="HD539" s="4"/>
      <c r="HE539" s="4"/>
      <c r="HF539" s="4"/>
      <c r="HG539" s="4"/>
      <c r="HH539" s="4"/>
      <c r="HI539" s="4"/>
      <c r="HJ539" s="4"/>
    </row>
    <row r="540" spans="1:218" hidden="1">
      <c r="A540" t="s">
        <v>3015</v>
      </c>
      <c r="B540" t="s">
        <v>3016</v>
      </c>
      <c r="C540" t="s">
        <v>623</v>
      </c>
      <c r="D540" t="s">
        <v>3017</v>
      </c>
      <c r="E540" t="s">
        <v>3018</v>
      </c>
      <c r="F540" s="3">
        <v>1</v>
      </c>
      <c r="G540" s="12">
        <f t="shared" si="16"/>
        <v>2.17</v>
      </c>
      <c r="H540" s="12" t="e">
        <f t="shared" si="17"/>
        <v>#NUM!</v>
      </c>
      <c r="I540" s="3">
        <v>2.1652800999999999</v>
      </c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>
        <v>2.17</v>
      </c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  <c r="DQ540" s="4"/>
      <c r="DR540" s="4"/>
      <c r="DS540" s="4"/>
      <c r="DT540" s="4"/>
      <c r="DU540" s="4"/>
      <c r="DV540" s="4"/>
      <c r="DW540" s="4"/>
      <c r="DX540" s="4"/>
      <c r="DY540" s="4"/>
      <c r="DZ540" s="4"/>
      <c r="EA540" s="4"/>
      <c r="EB540" s="4"/>
      <c r="EC540" s="4"/>
      <c r="ED540" s="4"/>
      <c r="EE540" s="4"/>
      <c r="EF540" s="4"/>
      <c r="EG540" s="4"/>
      <c r="EH540" s="4"/>
      <c r="EI540" s="4"/>
      <c r="EJ540" s="4"/>
      <c r="EK540" s="4"/>
      <c r="EL540" s="4"/>
      <c r="EM540" s="4"/>
      <c r="EN540" s="4"/>
      <c r="EO540" s="4"/>
      <c r="EP540" s="4"/>
      <c r="EQ540" s="4"/>
      <c r="ER540" s="4"/>
      <c r="ES540" s="4"/>
      <c r="ET540" s="4"/>
      <c r="EU540" s="4"/>
      <c r="EV540" s="4"/>
      <c r="EW540" s="4"/>
      <c r="EX540" s="4"/>
      <c r="EY540" s="4"/>
      <c r="EZ540" s="4"/>
      <c r="FA540" s="4"/>
      <c r="FB540" s="4"/>
      <c r="FC540" s="4"/>
      <c r="FD540" s="4"/>
      <c r="FE540" s="4"/>
      <c r="FF540" s="4"/>
      <c r="FG540" s="4"/>
      <c r="FH540" s="4"/>
      <c r="FI540" s="4"/>
      <c r="FJ540" s="4"/>
      <c r="FK540" s="4"/>
      <c r="FL540" s="4"/>
      <c r="FM540" s="4"/>
      <c r="FN540" s="4"/>
      <c r="FO540" s="4"/>
      <c r="FP540" s="4"/>
      <c r="FQ540" s="4"/>
      <c r="FR540" s="4"/>
      <c r="FS540" s="4"/>
      <c r="FT540" s="4"/>
      <c r="FU540" s="4"/>
      <c r="FV540" s="4"/>
      <c r="FW540" s="4"/>
      <c r="FX540" s="4"/>
      <c r="FY540" s="4"/>
      <c r="FZ540" s="4"/>
      <c r="GA540" s="4"/>
      <c r="GB540" s="4"/>
      <c r="GC540" s="4"/>
      <c r="GD540" s="4"/>
      <c r="GE540" s="4"/>
      <c r="GF540" s="4"/>
      <c r="GG540" s="4"/>
      <c r="GH540" s="4"/>
      <c r="GI540" s="4"/>
      <c r="GJ540" s="4"/>
      <c r="GK540" s="4"/>
      <c r="GL540" s="4"/>
      <c r="GM540" s="4"/>
      <c r="GN540" s="4"/>
      <c r="GO540" s="4"/>
      <c r="GP540" s="4"/>
      <c r="GQ540" s="4"/>
      <c r="GR540" s="4"/>
      <c r="GS540" s="4"/>
      <c r="GT540" s="4"/>
      <c r="GU540" s="4"/>
      <c r="GV540" s="4"/>
      <c r="GW540" s="4"/>
      <c r="GX540" s="4"/>
      <c r="GY540" s="4"/>
      <c r="GZ540" s="4"/>
      <c r="HA540" s="4"/>
      <c r="HB540" s="4"/>
      <c r="HC540" s="4"/>
      <c r="HD540" s="4"/>
      <c r="HE540" s="4"/>
      <c r="HF540" s="4"/>
      <c r="HG540" s="4"/>
      <c r="HH540" s="4"/>
      <c r="HI540" s="4"/>
      <c r="HJ540" s="4"/>
    </row>
    <row r="541" spans="1:218" hidden="1">
      <c r="A541" t="s">
        <v>1841</v>
      </c>
      <c r="B541" t="s">
        <v>1842</v>
      </c>
      <c r="C541" t="s">
        <v>443</v>
      </c>
      <c r="D541" t="s">
        <v>1843</v>
      </c>
      <c r="E541" t="s">
        <v>1844</v>
      </c>
      <c r="F541" s="3">
        <v>1</v>
      </c>
      <c r="G541" s="12">
        <f t="shared" si="16"/>
        <v>5.82</v>
      </c>
      <c r="H541" s="12" t="e">
        <f t="shared" si="17"/>
        <v>#NUM!</v>
      </c>
      <c r="I541" s="3">
        <v>5.8209799999999996</v>
      </c>
      <c r="K541" s="4"/>
      <c r="L541" s="4"/>
      <c r="M541" s="4">
        <v>5.82</v>
      </c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  <c r="DQ541" s="4"/>
      <c r="DR541" s="4"/>
      <c r="DS541" s="4"/>
      <c r="DT541" s="4"/>
      <c r="DU541" s="4"/>
      <c r="DV541" s="4"/>
      <c r="DW541" s="4"/>
      <c r="DX541" s="4"/>
      <c r="DY541" s="4"/>
      <c r="DZ541" s="4"/>
      <c r="EA541" s="4"/>
      <c r="EB541" s="4"/>
      <c r="EC541" s="4"/>
      <c r="ED541" s="4"/>
      <c r="EE541" s="4"/>
      <c r="EF541" s="4"/>
      <c r="EG541" s="4"/>
      <c r="EH541" s="4"/>
      <c r="EI541" s="4"/>
      <c r="EJ541" s="4"/>
      <c r="EK541" s="4"/>
      <c r="EL541" s="4"/>
      <c r="EM541" s="4"/>
      <c r="EN541" s="4"/>
      <c r="EO541" s="4"/>
      <c r="EP541" s="4"/>
      <c r="EQ541" s="4"/>
      <c r="ER541" s="4"/>
      <c r="ES541" s="4"/>
      <c r="ET541" s="4"/>
      <c r="EU541" s="4"/>
      <c r="EV541" s="4"/>
      <c r="EW541" s="4"/>
      <c r="EX541" s="4"/>
      <c r="EY541" s="4"/>
      <c r="EZ541" s="4"/>
      <c r="FA541" s="4"/>
      <c r="FB541" s="4"/>
      <c r="FC541" s="4"/>
      <c r="FD541" s="4"/>
      <c r="FE541" s="4"/>
      <c r="FF541" s="4"/>
      <c r="FG541" s="4"/>
      <c r="FH541" s="4"/>
      <c r="FI541" s="4"/>
      <c r="FJ541" s="4"/>
      <c r="FK541" s="4"/>
      <c r="FL541" s="4"/>
      <c r="FM541" s="4"/>
      <c r="FN541" s="4"/>
      <c r="FO541" s="4"/>
      <c r="FP541" s="4"/>
      <c r="FQ541" s="4"/>
      <c r="FR541" s="4"/>
      <c r="FS541" s="4"/>
      <c r="FT541" s="4"/>
      <c r="FU541" s="4"/>
      <c r="FV541" s="4"/>
      <c r="FW541" s="4"/>
      <c r="FX541" s="4"/>
      <c r="FY541" s="4"/>
      <c r="FZ541" s="4"/>
      <c r="GA541" s="4"/>
      <c r="GB541" s="4"/>
      <c r="GC541" s="4"/>
      <c r="GD541" s="4"/>
      <c r="GE541" s="4"/>
      <c r="GF541" s="4"/>
      <c r="GG541" s="4"/>
      <c r="GH541" s="4"/>
      <c r="GI541" s="4"/>
      <c r="GJ541" s="4"/>
      <c r="GK541" s="4"/>
      <c r="GL541" s="4"/>
      <c r="GM541" s="4"/>
      <c r="GN541" s="4"/>
      <c r="GO541" s="4"/>
      <c r="GP541" s="4"/>
      <c r="GQ541" s="4"/>
      <c r="GR541" s="4"/>
      <c r="GS541" s="4"/>
      <c r="GT541" s="4"/>
      <c r="GU541" s="4"/>
      <c r="GV541" s="4"/>
      <c r="GW541" s="4"/>
      <c r="GX541" s="4"/>
      <c r="GY541" s="4"/>
      <c r="GZ541" s="4"/>
      <c r="HA541" s="4"/>
      <c r="HB541" s="4"/>
      <c r="HC541" s="4"/>
      <c r="HD541" s="4"/>
      <c r="HE541" s="4"/>
      <c r="HF541" s="4"/>
      <c r="HG541" s="4"/>
      <c r="HH541" s="4"/>
      <c r="HI541" s="4"/>
      <c r="HJ541" s="4"/>
    </row>
    <row r="542" spans="1:218" hidden="1">
      <c r="A542" t="s">
        <v>1927</v>
      </c>
      <c r="B542" t="s">
        <v>1928</v>
      </c>
      <c r="C542" t="s">
        <v>783</v>
      </c>
      <c r="D542" t="s">
        <v>1929</v>
      </c>
      <c r="E542" t="s">
        <v>1930</v>
      </c>
      <c r="F542" s="3">
        <v>1</v>
      </c>
      <c r="G542" s="12">
        <f t="shared" si="16"/>
        <v>5.08</v>
      </c>
      <c r="H542" s="12" t="e">
        <f t="shared" si="17"/>
        <v>#NUM!</v>
      </c>
      <c r="I542" s="3">
        <v>5.0811599999999997</v>
      </c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  <c r="DQ542" s="4"/>
      <c r="DR542" s="4"/>
      <c r="DS542" s="4"/>
      <c r="DT542" s="4"/>
      <c r="DU542" s="4"/>
      <c r="DV542" s="4"/>
      <c r="DW542" s="4"/>
      <c r="DX542" s="4"/>
      <c r="DY542" s="4"/>
      <c r="DZ542" s="4"/>
      <c r="EA542" s="4"/>
      <c r="EB542" s="4"/>
      <c r="EC542" s="4"/>
      <c r="ED542" s="4"/>
      <c r="EE542" s="4"/>
      <c r="EF542" s="4"/>
      <c r="EG542" s="4"/>
      <c r="EH542" s="4"/>
      <c r="EI542" s="4"/>
      <c r="EJ542" s="4"/>
      <c r="EK542" s="4"/>
      <c r="EL542" s="4"/>
      <c r="EM542" s="4"/>
      <c r="EN542" s="4"/>
      <c r="EO542" s="4"/>
      <c r="EP542" s="4"/>
      <c r="EQ542" s="4"/>
      <c r="ER542" s="4"/>
      <c r="ES542" s="4"/>
      <c r="ET542" s="4"/>
      <c r="EU542" s="4"/>
      <c r="EV542" s="4"/>
      <c r="EW542" s="4"/>
      <c r="EX542" s="4"/>
      <c r="EY542" s="4"/>
      <c r="EZ542" s="4"/>
      <c r="FA542" s="4"/>
      <c r="FB542" s="4"/>
      <c r="FC542" s="4"/>
      <c r="FD542" s="4"/>
      <c r="FE542" s="4"/>
      <c r="FF542" s="4"/>
      <c r="FG542" s="4"/>
      <c r="FH542" s="4"/>
      <c r="FI542" s="4"/>
      <c r="FJ542" s="4"/>
      <c r="FK542" s="4"/>
      <c r="FL542" s="4"/>
      <c r="FM542" s="4"/>
      <c r="FN542" s="4">
        <v>5.08</v>
      </c>
      <c r="FO542" s="4"/>
      <c r="FP542" s="4"/>
      <c r="FQ542" s="4"/>
      <c r="FR542" s="4"/>
      <c r="FS542" s="4"/>
      <c r="FT542" s="4"/>
      <c r="FU542" s="4"/>
      <c r="FV542" s="4"/>
      <c r="FW542" s="4"/>
      <c r="FX542" s="4"/>
      <c r="FY542" s="4"/>
      <c r="FZ542" s="4"/>
      <c r="GA542" s="4"/>
      <c r="GB542" s="4"/>
      <c r="GC542" s="4"/>
      <c r="GD542" s="4"/>
      <c r="GE542" s="4"/>
      <c r="GF542" s="4"/>
      <c r="GG542" s="4"/>
      <c r="GH542" s="4"/>
      <c r="GI542" s="4"/>
      <c r="GJ542" s="4"/>
      <c r="GK542" s="4"/>
      <c r="GL542" s="4"/>
      <c r="GM542" s="4"/>
      <c r="GN542" s="4"/>
      <c r="GO542" s="4"/>
      <c r="GP542" s="4"/>
      <c r="GQ542" s="4"/>
      <c r="GR542" s="4"/>
      <c r="GS542" s="4"/>
      <c r="GT542" s="4"/>
      <c r="GU542" s="4"/>
      <c r="GV542" s="4"/>
      <c r="GW542" s="4"/>
      <c r="GX542" s="4"/>
      <c r="GY542" s="4"/>
      <c r="GZ542" s="4"/>
      <c r="HA542" s="4"/>
      <c r="HB542" s="4"/>
      <c r="HC542" s="4"/>
      <c r="HD542" s="4"/>
      <c r="HE542" s="4"/>
      <c r="HF542" s="4"/>
      <c r="HG542" s="4"/>
      <c r="HH542" s="4"/>
      <c r="HI542" s="4"/>
      <c r="HJ542" s="4"/>
    </row>
    <row r="543" spans="1:218" hidden="1">
      <c r="A543" t="s">
        <v>2354</v>
      </c>
      <c r="B543" t="s">
        <v>2355</v>
      </c>
      <c r="C543" t="s">
        <v>2356</v>
      </c>
      <c r="D543" t="s">
        <v>2357</v>
      </c>
      <c r="E543" t="s">
        <v>2358</v>
      </c>
      <c r="F543" s="3">
        <v>1</v>
      </c>
      <c r="G543" s="12">
        <f t="shared" si="16"/>
        <v>4.0199999999999996</v>
      </c>
      <c r="H543" s="12" t="e">
        <f t="shared" si="17"/>
        <v>#NUM!</v>
      </c>
      <c r="I543" s="3">
        <v>4.02339</v>
      </c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>
        <v>4.0199999999999996</v>
      </c>
      <c r="DG543" s="4"/>
      <c r="DH543" s="4"/>
      <c r="DI543" s="4"/>
      <c r="DJ543" s="4"/>
      <c r="DK543" s="4"/>
      <c r="DL543" s="4"/>
      <c r="DM543" s="4"/>
      <c r="DN543" s="4"/>
      <c r="DO543" s="4"/>
      <c r="DP543" s="4"/>
      <c r="DQ543" s="4"/>
      <c r="DR543" s="4"/>
      <c r="DS543" s="4"/>
      <c r="DT543" s="4"/>
      <c r="DU543" s="4"/>
      <c r="DV543" s="4"/>
      <c r="DW543" s="4"/>
      <c r="DX543" s="4"/>
      <c r="DY543" s="4"/>
      <c r="DZ543" s="4"/>
      <c r="EA543" s="4"/>
      <c r="EB543" s="4"/>
      <c r="EC543" s="4"/>
      <c r="ED543" s="4"/>
      <c r="EE543" s="4"/>
      <c r="EF543" s="4"/>
      <c r="EG543" s="4"/>
      <c r="EH543" s="4"/>
      <c r="EI543" s="4"/>
      <c r="EJ543" s="4"/>
      <c r="EK543" s="4"/>
      <c r="EL543" s="4"/>
      <c r="EM543" s="4"/>
      <c r="EN543" s="4"/>
      <c r="EO543" s="4"/>
      <c r="EP543" s="4"/>
      <c r="EQ543" s="4"/>
      <c r="ER543" s="4"/>
      <c r="ES543" s="4"/>
      <c r="ET543" s="4"/>
      <c r="EU543" s="4"/>
      <c r="EV543" s="4"/>
      <c r="EW543" s="4"/>
      <c r="EX543" s="4"/>
      <c r="EY543" s="4"/>
      <c r="EZ543" s="4"/>
      <c r="FA543" s="4"/>
      <c r="FB543" s="4"/>
      <c r="FC543" s="4"/>
      <c r="FD543" s="4"/>
      <c r="FE543" s="4"/>
      <c r="FF543" s="4"/>
      <c r="FG543" s="4"/>
      <c r="FH543" s="4"/>
      <c r="FI543" s="4"/>
      <c r="FJ543" s="4"/>
      <c r="FK543" s="4"/>
      <c r="FL543" s="4"/>
      <c r="FM543" s="4"/>
      <c r="FN543" s="4"/>
      <c r="FO543" s="4"/>
      <c r="FP543" s="4"/>
      <c r="FQ543" s="4"/>
      <c r="FR543" s="4"/>
      <c r="FS543" s="4"/>
      <c r="FT543" s="4"/>
      <c r="FU543" s="4"/>
      <c r="FV543" s="4"/>
      <c r="FW543" s="4"/>
      <c r="FX543" s="4"/>
      <c r="FY543" s="4"/>
      <c r="FZ543" s="4"/>
      <c r="GA543" s="4"/>
      <c r="GB543" s="4"/>
      <c r="GC543" s="4"/>
      <c r="GD543" s="4"/>
      <c r="GE543" s="4"/>
      <c r="GF543" s="4"/>
      <c r="GG543" s="4"/>
      <c r="GH543" s="4"/>
      <c r="GI543" s="4"/>
      <c r="GJ543" s="4"/>
      <c r="GK543" s="4"/>
      <c r="GL543" s="4"/>
      <c r="GM543" s="4"/>
      <c r="GN543" s="4"/>
      <c r="GO543" s="4"/>
      <c r="GP543" s="4"/>
      <c r="GQ543" s="4"/>
      <c r="GR543" s="4"/>
      <c r="GS543" s="4"/>
      <c r="GT543" s="4"/>
      <c r="GU543" s="4"/>
      <c r="GV543" s="4"/>
      <c r="GW543" s="4"/>
      <c r="GX543" s="4"/>
      <c r="GY543" s="4"/>
      <c r="GZ543" s="4"/>
      <c r="HA543" s="4"/>
      <c r="HB543" s="4"/>
      <c r="HC543" s="4"/>
      <c r="HD543" s="4"/>
      <c r="HE543" s="4"/>
      <c r="HF543" s="4"/>
      <c r="HG543" s="4"/>
      <c r="HH543" s="4"/>
      <c r="HI543" s="4"/>
      <c r="HJ543" s="4"/>
    </row>
    <row r="544" spans="1:218" hidden="1">
      <c r="A544" t="s">
        <v>3087</v>
      </c>
      <c r="B544" t="s">
        <v>3088</v>
      </c>
      <c r="C544" t="s">
        <v>443</v>
      </c>
      <c r="D544" t="s">
        <v>3089</v>
      </c>
      <c r="E544" t="s">
        <v>3090</v>
      </c>
      <c r="F544" s="3">
        <v>1</v>
      </c>
      <c r="G544" s="12">
        <f t="shared" si="16"/>
        <v>1.68</v>
      </c>
      <c r="H544" s="12" t="e">
        <f t="shared" si="17"/>
        <v>#NUM!</v>
      </c>
      <c r="I544" s="3">
        <v>1.6842900000000001</v>
      </c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>
        <v>1.68</v>
      </c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  <c r="DQ544" s="4"/>
      <c r="DR544" s="4"/>
      <c r="DS544" s="4"/>
      <c r="DT544" s="4"/>
      <c r="DU544" s="4"/>
      <c r="DV544" s="4"/>
      <c r="DW544" s="4"/>
      <c r="DX544" s="4"/>
      <c r="DY544" s="4"/>
      <c r="DZ544" s="4"/>
      <c r="EA544" s="4"/>
      <c r="EB544" s="4"/>
      <c r="EC544" s="4"/>
      <c r="ED544" s="4"/>
      <c r="EE544" s="4"/>
      <c r="EF544" s="4"/>
      <c r="EG544" s="4"/>
      <c r="EH544" s="4"/>
      <c r="EI544" s="4"/>
      <c r="EJ544" s="4"/>
      <c r="EK544" s="4"/>
      <c r="EL544" s="4"/>
      <c r="EM544" s="4"/>
      <c r="EN544" s="4"/>
      <c r="EO544" s="4"/>
      <c r="EP544" s="4"/>
      <c r="EQ544" s="4"/>
      <c r="ER544" s="4"/>
      <c r="ES544" s="4"/>
      <c r="ET544" s="4"/>
      <c r="EU544" s="4"/>
      <c r="EV544" s="4"/>
      <c r="EW544" s="4"/>
      <c r="EX544" s="4"/>
      <c r="EY544" s="4"/>
      <c r="EZ544" s="4"/>
      <c r="FA544" s="4"/>
      <c r="FB544" s="4"/>
      <c r="FC544" s="4"/>
      <c r="FD544" s="4"/>
      <c r="FE544" s="4"/>
      <c r="FF544" s="4"/>
      <c r="FG544" s="4"/>
      <c r="FH544" s="4"/>
      <c r="FI544" s="4"/>
      <c r="FJ544" s="4"/>
      <c r="FK544" s="4"/>
      <c r="FL544" s="4"/>
      <c r="FM544" s="4"/>
      <c r="FN544" s="4"/>
      <c r="FO544" s="4"/>
      <c r="FP544" s="4"/>
      <c r="FQ544" s="4"/>
      <c r="FR544" s="4"/>
      <c r="FS544" s="4"/>
      <c r="FT544" s="4"/>
      <c r="FU544" s="4"/>
      <c r="FV544" s="4"/>
      <c r="FW544" s="4"/>
      <c r="FX544" s="4"/>
      <c r="FY544" s="4"/>
      <c r="FZ544" s="4"/>
      <c r="GA544" s="4"/>
      <c r="GB544" s="4"/>
      <c r="GC544" s="4"/>
      <c r="GD544" s="4"/>
      <c r="GE544" s="4"/>
      <c r="GF544" s="4"/>
      <c r="GG544" s="4"/>
      <c r="GH544" s="4"/>
      <c r="GI544" s="4"/>
      <c r="GJ544" s="4"/>
      <c r="GK544" s="4"/>
      <c r="GL544" s="4"/>
      <c r="GM544" s="4"/>
      <c r="GN544" s="4"/>
      <c r="GO544" s="4"/>
      <c r="GP544" s="4"/>
      <c r="GQ544" s="4"/>
      <c r="GR544" s="4"/>
      <c r="GS544" s="4"/>
      <c r="GT544" s="4"/>
      <c r="GU544" s="4"/>
      <c r="GV544" s="4"/>
      <c r="GW544" s="4"/>
      <c r="GX544" s="4"/>
      <c r="GY544" s="4"/>
      <c r="GZ544" s="4"/>
      <c r="HA544" s="4"/>
      <c r="HB544" s="4"/>
      <c r="HC544" s="4"/>
      <c r="HD544" s="4"/>
      <c r="HE544" s="4"/>
      <c r="HF544" s="4"/>
      <c r="HG544" s="4"/>
      <c r="HH544" s="4"/>
      <c r="HI544" s="4"/>
      <c r="HJ544" s="4"/>
    </row>
    <row r="545" spans="1:218" hidden="1">
      <c r="A545" t="s">
        <v>2160</v>
      </c>
      <c r="B545" t="s">
        <v>2161</v>
      </c>
      <c r="C545" t="s">
        <v>505</v>
      </c>
      <c r="D545" t="s">
        <v>2162</v>
      </c>
      <c r="E545" t="s">
        <v>2163</v>
      </c>
      <c r="F545" s="3">
        <v>1</v>
      </c>
      <c r="G545" s="12">
        <f t="shared" si="16"/>
        <v>4.41</v>
      </c>
      <c r="H545" s="12" t="e">
        <f t="shared" si="17"/>
        <v>#NUM!</v>
      </c>
      <c r="I545" s="3">
        <v>4.4145897000000014</v>
      </c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  <c r="DQ545" s="4"/>
      <c r="DR545" s="4"/>
      <c r="DS545" s="4"/>
      <c r="DT545" s="4"/>
      <c r="DU545" s="4"/>
      <c r="DV545" s="4"/>
      <c r="DW545" s="4"/>
      <c r="DX545" s="4"/>
      <c r="DY545" s="4"/>
      <c r="DZ545" s="4"/>
      <c r="EA545" s="4"/>
      <c r="EB545" s="4"/>
      <c r="EC545" s="4"/>
      <c r="ED545" s="4"/>
      <c r="EE545" s="4"/>
      <c r="EF545" s="4"/>
      <c r="EG545" s="4"/>
      <c r="EH545" s="4"/>
      <c r="EI545" s="4"/>
      <c r="EJ545" s="4"/>
      <c r="EK545" s="4"/>
      <c r="EL545" s="4"/>
      <c r="EM545" s="4"/>
      <c r="EN545" s="4"/>
      <c r="EO545" s="4"/>
      <c r="EP545" s="4">
        <v>4.41</v>
      </c>
      <c r="EQ545" s="4"/>
      <c r="ER545" s="4"/>
      <c r="ES545" s="4"/>
      <c r="ET545" s="4"/>
      <c r="EU545" s="4"/>
      <c r="EV545" s="4"/>
      <c r="EW545" s="4"/>
      <c r="EX545" s="4"/>
      <c r="EY545" s="4"/>
      <c r="EZ545" s="4"/>
      <c r="FA545" s="4"/>
      <c r="FB545" s="4"/>
      <c r="FC545" s="4"/>
      <c r="FD545" s="4"/>
      <c r="FE545" s="4"/>
      <c r="FF545" s="4"/>
      <c r="FG545" s="4"/>
      <c r="FH545" s="4"/>
      <c r="FI545" s="4"/>
      <c r="FJ545" s="4"/>
      <c r="FK545" s="4"/>
      <c r="FL545" s="4"/>
      <c r="FM545" s="4"/>
      <c r="FN545" s="4"/>
      <c r="FO545" s="4"/>
      <c r="FP545" s="4"/>
      <c r="FQ545" s="4"/>
      <c r="FR545" s="4"/>
      <c r="FS545" s="4"/>
      <c r="FT545" s="4"/>
      <c r="FU545" s="4"/>
      <c r="FV545" s="4"/>
      <c r="FW545" s="4"/>
      <c r="FX545" s="4"/>
      <c r="FY545" s="4"/>
      <c r="FZ545" s="4"/>
      <c r="GA545" s="4"/>
      <c r="GB545" s="4"/>
      <c r="GC545" s="4"/>
      <c r="GD545" s="4"/>
      <c r="GE545" s="4"/>
      <c r="GF545" s="4"/>
      <c r="GG545" s="4"/>
      <c r="GH545" s="4"/>
      <c r="GI545" s="4"/>
      <c r="GJ545" s="4"/>
      <c r="GK545" s="4"/>
      <c r="GL545" s="4"/>
      <c r="GM545" s="4"/>
      <c r="GN545" s="4"/>
      <c r="GO545" s="4"/>
      <c r="GP545" s="4"/>
      <c r="GQ545" s="4"/>
      <c r="GR545" s="4"/>
      <c r="GS545" s="4"/>
      <c r="GT545" s="4"/>
      <c r="GU545" s="4"/>
      <c r="GV545" s="4"/>
      <c r="GW545" s="4"/>
      <c r="GX545" s="4"/>
      <c r="GY545" s="4"/>
      <c r="GZ545" s="4"/>
      <c r="HA545" s="4"/>
      <c r="HB545" s="4"/>
      <c r="HC545" s="4"/>
      <c r="HD545" s="4"/>
      <c r="HE545" s="4"/>
      <c r="HF545" s="4"/>
      <c r="HG545" s="4"/>
      <c r="HH545" s="4"/>
      <c r="HI545" s="4"/>
      <c r="HJ545" s="4"/>
    </row>
    <row r="546" spans="1:218" hidden="1">
      <c r="A546" t="s">
        <v>2333</v>
      </c>
      <c r="B546" t="s">
        <v>2334</v>
      </c>
      <c r="C546" t="s">
        <v>576</v>
      </c>
      <c r="D546" t="s">
        <v>2335</v>
      </c>
      <c r="E546" t="s">
        <v>2336</v>
      </c>
      <c r="F546" s="3">
        <v>1</v>
      </c>
      <c r="G546" s="12">
        <f t="shared" si="16"/>
        <v>4.07</v>
      </c>
      <c r="H546" s="12" t="e">
        <f t="shared" si="17"/>
        <v>#NUM!</v>
      </c>
      <c r="I546" s="3">
        <v>4.0727500000000001</v>
      </c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>
        <v>4.07</v>
      </c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  <c r="DQ546" s="4"/>
      <c r="DR546" s="4"/>
      <c r="DS546" s="4"/>
      <c r="DT546" s="4"/>
      <c r="DU546" s="4"/>
      <c r="DV546" s="4"/>
      <c r="DW546" s="4"/>
      <c r="DX546" s="4"/>
      <c r="DY546" s="4"/>
      <c r="DZ546" s="4"/>
      <c r="EA546" s="4"/>
      <c r="EB546" s="4"/>
      <c r="EC546" s="4"/>
      <c r="ED546" s="4"/>
      <c r="EE546" s="4"/>
      <c r="EF546" s="4"/>
      <c r="EG546" s="4"/>
      <c r="EH546" s="4"/>
      <c r="EI546" s="4"/>
      <c r="EJ546" s="4"/>
      <c r="EK546" s="4"/>
      <c r="EL546" s="4"/>
      <c r="EM546" s="4"/>
      <c r="EN546" s="4"/>
      <c r="EO546" s="4"/>
      <c r="EP546" s="4"/>
      <c r="EQ546" s="4"/>
      <c r="ER546" s="4"/>
      <c r="ES546" s="4"/>
      <c r="ET546" s="4"/>
      <c r="EU546" s="4"/>
      <c r="EV546" s="4"/>
      <c r="EW546" s="4"/>
      <c r="EX546" s="4"/>
      <c r="EY546" s="4"/>
      <c r="EZ546" s="4"/>
      <c r="FA546" s="4"/>
      <c r="FB546" s="4"/>
      <c r="FC546" s="4"/>
      <c r="FD546" s="4"/>
      <c r="FE546" s="4"/>
      <c r="FF546" s="4"/>
      <c r="FG546" s="4"/>
      <c r="FH546" s="4"/>
      <c r="FI546" s="4"/>
      <c r="FJ546" s="4"/>
      <c r="FK546" s="4"/>
      <c r="FL546" s="4"/>
      <c r="FM546" s="4"/>
      <c r="FN546" s="4"/>
      <c r="FO546" s="4"/>
      <c r="FP546" s="4"/>
      <c r="FQ546" s="4"/>
      <c r="FR546" s="4"/>
      <c r="FS546" s="4"/>
      <c r="FT546" s="4"/>
      <c r="FU546" s="4"/>
      <c r="FV546" s="4"/>
      <c r="FW546" s="4"/>
      <c r="FX546" s="4"/>
      <c r="FY546" s="4"/>
      <c r="FZ546" s="4"/>
      <c r="GA546" s="4"/>
      <c r="GB546" s="4"/>
      <c r="GC546" s="4"/>
      <c r="GD546" s="4"/>
      <c r="GE546" s="4"/>
      <c r="GF546" s="4"/>
      <c r="GG546" s="4"/>
      <c r="GH546" s="4"/>
      <c r="GI546" s="4"/>
      <c r="GJ546" s="4"/>
      <c r="GK546" s="4"/>
      <c r="GL546" s="4"/>
      <c r="GM546" s="4"/>
      <c r="GN546" s="4"/>
      <c r="GO546" s="4"/>
      <c r="GP546" s="4"/>
      <c r="GQ546" s="4"/>
      <c r="GR546" s="4"/>
      <c r="GS546" s="4"/>
      <c r="GT546" s="4"/>
      <c r="GU546" s="4"/>
      <c r="GV546" s="4"/>
      <c r="GW546" s="4"/>
      <c r="GX546" s="4"/>
      <c r="GY546" s="4"/>
      <c r="GZ546" s="4"/>
      <c r="HA546" s="4"/>
      <c r="HB546" s="4"/>
      <c r="HC546" s="4"/>
      <c r="HD546" s="4"/>
      <c r="HE546" s="4"/>
      <c r="HF546" s="4"/>
      <c r="HG546" s="4"/>
      <c r="HH546" s="4"/>
      <c r="HI546" s="4"/>
      <c r="HJ546" s="4"/>
    </row>
    <row r="547" spans="1:218" hidden="1">
      <c r="A547" t="s">
        <v>2082</v>
      </c>
      <c r="B547" t="s">
        <v>2083</v>
      </c>
      <c r="C547" t="s">
        <v>505</v>
      </c>
      <c r="D547" t="s">
        <v>2084</v>
      </c>
      <c r="E547" t="s">
        <v>2085</v>
      </c>
      <c r="F547" s="3">
        <v>1</v>
      </c>
      <c r="G547" s="12">
        <f t="shared" si="16"/>
        <v>4.57</v>
      </c>
      <c r="H547" s="12" t="e">
        <f t="shared" si="17"/>
        <v>#NUM!</v>
      </c>
      <c r="I547" s="3">
        <v>4.5748899999999999</v>
      </c>
      <c r="K547" s="4"/>
      <c r="L547" s="4"/>
      <c r="M547" s="4"/>
      <c r="N547" s="4"/>
      <c r="O547" s="4"/>
      <c r="P547" s="4"/>
      <c r="Q547" s="4"/>
      <c r="R547" s="4"/>
      <c r="S547" s="4">
        <v>4.57</v>
      </c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  <c r="DQ547" s="4"/>
      <c r="DR547" s="4"/>
      <c r="DS547" s="4"/>
      <c r="DT547" s="4"/>
      <c r="DU547" s="4"/>
      <c r="DV547" s="4"/>
      <c r="DW547" s="4"/>
      <c r="DX547" s="4"/>
      <c r="DY547" s="4"/>
      <c r="DZ547" s="4"/>
      <c r="EA547" s="4"/>
      <c r="EB547" s="4"/>
      <c r="EC547" s="4"/>
      <c r="ED547" s="4"/>
      <c r="EE547" s="4"/>
      <c r="EF547" s="4"/>
      <c r="EG547" s="4"/>
      <c r="EH547" s="4"/>
      <c r="EI547" s="4"/>
      <c r="EJ547" s="4"/>
      <c r="EK547" s="4"/>
      <c r="EL547" s="4"/>
      <c r="EM547" s="4"/>
      <c r="EN547" s="4"/>
      <c r="EO547" s="4"/>
      <c r="EP547" s="4"/>
      <c r="EQ547" s="4"/>
      <c r="ER547" s="4"/>
      <c r="ES547" s="4"/>
      <c r="ET547" s="4"/>
      <c r="EU547" s="4"/>
      <c r="EV547" s="4"/>
      <c r="EW547" s="4"/>
      <c r="EX547" s="4"/>
      <c r="EY547" s="4"/>
      <c r="EZ547" s="4"/>
      <c r="FA547" s="4"/>
      <c r="FB547" s="4"/>
      <c r="FC547" s="4"/>
      <c r="FD547" s="4"/>
      <c r="FE547" s="4"/>
      <c r="FF547" s="4"/>
      <c r="FG547" s="4"/>
      <c r="FH547" s="4"/>
      <c r="FI547" s="4"/>
      <c r="FJ547" s="4"/>
      <c r="FK547" s="4"/>
      <c r="FL547" s="4"/>
      <c r="FM547" s="4"/>
      <c r="FN547" s="4"/>
      <c r="FO547" s="4"/>
      <c r="FP547" s="4"/>
      <c r="FQ547" s="4"/>
      <c r="FR547" s="4"/>
      <c r="FS547" s="4"/>
      <c r="FT547" s="4"/>
      <c r="FU547" s="4"/>
      <c r="FV547" s="4"/>
      <c r="FW547" s="4"/>
      <c r="FX547" s="4"/>
      <c r="FY547" s="4"/>
      <c r="FZ547" s="4"/>
      <c r="GA547" s="4"/>
      <c r="GB547" s="4"/>
      <c r="GC547" s="4"/>
      <c r="GD547" s="4"/>
      <c r="GE547" s="4"/>
      <c r="GF547" s="4"/>
      <c r="GG547" s="4"/>
      <c r="GH547" s="4"/>
      <c r="GI547" s="4"/>
      <c r="GJ547" s="4"/>
      <c r="GK547" s="4"/>
      <c r="GL547" s="4"/>
      <c r="GM547" s="4"/>
      <c r="GN547" s="4"/>
      <c r="GO547" s="4"/>
      <c r="GP547" s="4"/>
      <c r="GQ547" s="4"/>
      <c r="GR547" s="4"/>
      <c r="GS547" s="4"/>
      <c r="GT547" s="4"/>
      <c r="GU547" s="4"/>
      <c r="GV547" s="4"/>
      <c r="GW547" s="4"/>
      <c r="GX547" s="4"/>
      <c r="GY547" s="4"/>
      <c r="GZ547" s="4"/>
      <c r="HA547" s="4"/>
      <c r="HB547" s="4"/>
      <c r="HC547" s="4"/>
      <c r="HD547" s="4"/>
      <c r="HE547" s="4"/>
      <c r="HF547" s="4"/>
      <c r="HG547" s="4"/>
      <c r="HH547" s="4"/>
      <c r="HI547" s="4"/>
      <c r="HJ547" s="4"/>
    </row>
    <row r="548" spans="1:218" hidden="1">
      <c r="A548" t="s">
        <v>1818</v>
      </c>
      <c r="B548" t="s">
        <v>1819</v>
      </c>
      <c r="C548" t="s">
        <v>505</v>
      </c>
      <c r="D548" t="s">
        <v>1820</v>
      </c>
      <c r="E548" t="s">
        <v>1821</v>
      </c>
      <c r="F548" s="3">
        <v>1</v>
      </c>
      <c r="G548" s="12">
        <f t="shared" si="16"/>
        <v>5.99</v>
      </c>
      <c r="H548" s="12" t="e">
        <f t="shared" si="17"/>
        <v>#NUM!</v>
      </c>
      <c r="I548" s="3">
        <v>5.9915497999999996</v>
      </c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  <c r="DQ548" s="4"/>
      <c r="DR548" s="4"/>
      <c r="DS548" s="4"/>
      <c r="DT548" s="4"/>
      <c r="DU548" s="4"/>
      <c r="DV548" s="4"/>
      <c r="DW548" s="4"/>
      <c r="DX548" s="4"/>
      <c r="DY548" s="4"/>
      <c r="DZ548" s="4"/>
      <c r="EA548" s="4"/>
      <c r="EB548" s="4"/>
      <c r="EC548" s="4"/>
      <c r="ED548" s="4"/>
      <c r="EE548" s="4"/>
      <c r="EF548" s="4"/>
      <c r="EG548" s="4"/>
      <c r="EH548" s="4"/>
      <c r="EI548" s="4"/>
      <c r="EJ548" s="4"/>
      <c r="EK548" s="4"/>
      <c r="EL548" s="4"/>
      <c r="EM548" s="4"/>
      <c r="EN548" s="4"/>
      <c r="EO548" s="4"/>
      <c r="EP548" s="4"/>
      <c r="EQ548" s="4"/>
      <c r="ER548" s="4"/>
      <c r="ES548" s="4"/>
      <c r="ET548" s="4">
        <v>5.99</v>
      </c>
      <c r="EU548" s="4"/>
      <c r="EV548" s="4"/>
      <c r="EW548" s="4"/>
      <c r="EX548" s="4"/>
      <c r="EY548" s="4"/>
      <c r="EZ548" s="4"/>
      <c r="FA548" s="4"/>
      <c r="FB548" s="4"/>
      <c r="FC548" s="4"/>
      <c r="FD548" s="4"/>
      <c r="FE548" s="4"/>
      <c r="FF548" s="4"/>
      <c r="FG548" s="4"/>
      <c r="FH548" s="4"/>
      <c r="FI548" s="4"/>
      <c r="FJ548" s="4"/>
      <c r="FK548" s="4"/>
      <c r="FL548" s="4"/>
      <c r="FM548" s="4"/>
      <c r="FN548" s="4"/>
      <c r="FO548" s="4"/>
      <c r="FP548" s="4"/>
      <c r="FQ548" s="4"/>
      <c r="FR548" s="4"/>
      <c r="FS548" s="4"/>
      <c r="FT548" s="4"/>
      <c r="FU548" s="4"/>
      <c r="FV548" s="4"/>
      <c r="FW548" s="4"/>
      <c r="FX548" s="4"/>
      <c r="FY548" s="4"/>
      <c r="FZ548" s="4"/>
      <c r="GA548" s="4"/>
      <c r="GB548" s="4"/>
      <c r="GC548" s="4"/>
      <c r="GD548" s="4"/>
      <c r="GE548" s="4"/>
      <c r="GF548" s="4"/>
      <c r="GG548" s="4"/>
      <c r="GH548" s="4"/>
      <c r="GI548" s="4"/>
      <c r="GJ548" s="4"/>
      <c r="GK548" s="4"/>
      <c r="GL548" s="4"/>
      <c r="GM548" s="4"/>
      <c r="GN548" s="4"/>
      <c r="GO548" s="4"/>
      <c r="GP548" s="4"/>
      <c r="GQ548" s="4"/>
      <c r="GR548" s="4"/>
      <c r="GS548" s="4"/>
      <c r="GT548" s="4"/>
      <c r="GU548" s="4"/>
      <c r="GV548" s="4"/>
      <c r="GW548" s="4"/>
      <c r="GX548" s="4"/>
      <c r="GY548" s="4"/>
      <c r="GZ548" s="4"/>
      <c r="HA548" s="4"/>
      <c r="HB548" s="4"/>
      <c r="HC548" s="4"/>
      <c r="HD548" s="4"/>
      <c r="HE548" s="4"/>
      <c r="HF548" s="4"/>
      <c r="HG548" s="4"/>
      <c r="HH548" s="4"/>
      <c r="HI548" s="4"/>
      <c r="HJ548" s="4"/>
    </row>
    <row r="549" spans="1:218" hidden="1">
      <c r="A549" t="s">
        <v>2927</v>
      </c>
      <c r="B549" t="s">
        <v>2928</v>
      </c>
      <c r="C549" t="s">
        <v>505</v>
      </c>
      <c r="D549" t="s">
        <v>2929</v>
      </c>
      <c r="E549" t="s">
        <v>2930</v>
      </c>
      <c r="F549" s="3">
        <v>1</v>
      </c>
      <c r="G549" s="12">
        <f t="shared" si="16"/>
        <v>2.3199999999999998</v>
      </c>
      <c r="H549" s="12" t="e">
        <f t="shared" si="17"/>
        <v>#NUM!</v>
      </c>
      <c r="I549" s="3">
        <v>2.3193800000000002</v>
      </c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>
        <v>2.3199999999999998</v>
      </c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  <c r="DQ549" s="4"/>
      <c r="DR549" s="4"/>
      <c r="DS549" s="4"/>
      <c r="DT549" s="4"/>
      <c r="DU549" s="4"/>
      <c r="DV549" s="4"/>
      <c r="DW549" s="4"/>
      <c r="DX549" s="4"/>
      <c r="DY549" s="4"/>
      <c r="DZ549" s="4"/>
      <c r="EA549" s="4"/>
      <c r="EB549" s="4"/>
      <c r="EC549" s="4"/>
      <c r="ED549" s="4"/>
      <c r="EE549" s="4"/>
      <c r="EF549" s="4"/>
      <c r="EG549" s="4"/>
      <c r="EH549" s="4"/>
      <c r="EI549" s="4"/>
      <c r="EJ549" s="4"/>
      <c r="EK549" s="4"/>
      <c r="EL549" s="4"/>
      <c r="EM549" s="4"/>
      <c r="EN549" s="4"/>
      <c r="EO549" s="4"/>
      <c r="EP549" s="4"/>
      <c r="EQ549" s="4"/>
      <c r="ER549" s="4"/>
      <c r="ES549" s="4"/>
      <c r="ET549" s="4"/>
      <c r="EU549" s="4"/>
      <c r="EV549" s="4"/>
      <c r="EW549" s="4"/>
      <c r="EX549" s="4"/>
      <c r="EY549" s="4"/>
      <c r="EZ549" s="4"/>
      <c r="FA549" s="4"/>
      <c r="FB549" s="4"/>
      <c r="FC549" s="4"/>
      <c r="FD549" s="4"/>
      <c r="FE549" s="4"/>
      <c r="FF549" s="4"/>
      <c r="FG549" s="4"/>
      <c r="FH549" s="4"/>
      <c r="FI549" s="4"/>
      <c r="FJ549" s="4"/>
      <c r="FK549" s="4"/>
      <c r="FL549" s="4"/>
      <c r="FM549" s="4"/>
      <c r="FN549" s="4"/>
      <c r="FO549" s="4"/>
      <c r="FP549" s="4"/>
      <c r="FQ549" s="4"/>
      <c r="FR549" s="4"/>
      <c r="FS549" s="4"/>
      <c r="FT549" s="4"/>
      <c r="FU549" s="4"/>
      <c r="FV549" s="4"/>
      <c r="FW549" s="4"/>
      <c r="FX549" s="4"/>
      <c r="FY549" s="4"/>
      <c r="FZ549" s="4"/>
      <c r="GA549" s="4"/>
      <c r="GB549" s="4"/>
      <c r="GC549" s="4"/>
      <c r="GD549" s="4"/>
      <c r="GE549" s="4"/>
      <c r="GF549" s="4"/>
      <c r="GG549" s="4"/>
      <c r="GH549" s="4"/>
      <c r="GI549" s="4"/>
      <c r="GJ549" s="4"/>
      <c r="GK549" s="4"/>
      <c r="GL549" s="4"/>
      <c r="GM549" s="4"/>
      <c r="GN549" s="4"/>
      <c r="GO549" s="4"/>
      <c r="GP549" s="4"/>
      <c r="GQ549" s="4"/>
      <c r="GR549" s="4"/>
      <c r="GS549" s="4"/>
      <c r="GT549" s="4"/>
      <c r="GU549" s="4"/>
      <c r="GV549" s="4"/>
      <c r="GW549" s="4"/>
      <c r="GX549" s="4"/>
      <c r="GY549" s="4"/>
      <c r="GZ549" s="4"/>
      <c r="HA549" s="4"/>
      <c r="HB549" s="4"/>
      <c r="HC549" s="4"/>
      <c r="HD549" s="4"/>
      <c r="HE549" s="4"/>
      <c r="HF549" s="4"/>
      <c r="HG549" s="4"/>
      <c r="HH549" s="4"/>
      <c r="HI549" s="4"/>
      <c r="HJ549" s="4"/>
    </row>
    <row r="550" spans="1:218" hidden="1">
      <c r="A550" t="s">
        <v>2906</v>
      </c>
      <c r="B550" t="s">
        <v>2907</v>
      </c>
      <c r="C550" t="s">
        <v>2603</v>
      </c>
      <c r="D550" t="s">
        <v>2908</v>
      </c>
      <c r="E550" t="s">
        <v>2909</v>
      </c>
      <c r="F550" s="3">
        <v>1</v>
      </c>
      <c r="G550" s="12">
        <f t="shared" si="16"/>
        <v>2.37</v>
      </c>
      <c r="H550" s="12" t="e">
        <f t="shared" si="17"/>
        <v>#NUM!</v>
      </c>
      <c r="I550" s="3">
        <v>2.3707099999999999</v>
      </c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  <c r="DQ550" s="4"/>
      <c r="DR550" s="4"/>
      <c r="DS550" s="4">
        <v>2.37</v>
      </c>
      <c r="DT550" s="4"/>
      <c r="DU550" s="4"/>
      <c r="DV550" s="4"/>
      <c r="DW550" s="4"/>
      <c r="DX550" s="4"/>
      <c r="DY550" s="4"/>
      <c r="DZ550" s="4"/>
      <c r="EA550" s="4"/>
      <c r="EB550" s="4"/>
      <c r="EC550" s="4"/>
      <c r="ED550" s="4"/>
      <c r="EE550" s="4"/>
      <c r="EF550" s="4"/>
      <c r="EG550" s="4"/>
      <c r="EH550" s="4"/>
      <c r="EI550" s="4"/>
      <c r="EJ550" s="4"/>
      <c r="EK550" s="4"/>
      <c r="EL550" s="4"/>
      <c r="EM550" s="4"/>
      <c r="EN550" s="4"/>
      <c r="EO550" s="4"/>
      <c r="EP550" s="4"/>
      <c r="EQ550" s="4"/>
      <c r="ER550" s="4"/>
      <c r="ES550" s="4"/>
      <c r="ET550" s="4"/>
      <c r="EU550" s="4"/>
      <c r="EV550" s="4"/>
      <c r="EW550" s="4"/>
      <c r="EX550" s="4"/>
      <c r="EY550" s="4"/>
      <c r="EZ550" s="4"/>
      <c r="FA550" s="4"/>
      <c r="FB550" s="4"/>
      <c r="FC550" s="4"/>
      <c r="FD550" s="4"/>
      <c r="FE550" s="4"/>
      <c r="FF550" s="4"/>
      <c r="FG550" s="4"/>
      <c r="FH550" s="4"/>
      <c r="FI550" s="4"/>
      <c r="FJ550" s="4"/>
      <c r="FK550" s="4"/>
      <c r="FL550" s="4"/>
      <c r="FM550" s="4"/>
      <c r="FN550" s="4"/>
      <c r="FO550" s="4"/>
      <c r="FP550" s="4"/>
      <c r="FQ550" s="4"/>
      <c r="FR550" s="4"/>
      <c r="FS550" s="4"/>
      <c r="FT550" s="4"/>
      <c r="FU550" s="4"/>
      <c r="FV550" s="4"/>
      <c r="FW550" s="4"/>
      <c r="FX550" s="4"/>
      <c r="FY550" s="4"/>
      <c r="FZ550" s="4"/>
      <c r="GA550" s="4"/>
      <c r="GB550" s="4"/>
      <c r="GC550" s="4"/>
      <c r="GD550" s="4"/>
      <c r="GE550" s="4"/>
      <c r="GF550" s="4"/>
      <c r="GG550" s="4"/>
      <c r="GH550" s="4"/>
      <c r="GI550" s="4"/>
      <c r="GJ550" s="4"/>
      <c r="GK550" s="4"/>
      <c r="GL550" s="4"/>
      <c r="GM550" s="4"/>
      <c r="GN550" s="4"/>
      <c r="GO550" s="4"/>
      <c r="GP550" s="4"/>
      <c r="GQ550" s="4"/>
      <c r="GR550" s="4"/>
      <c r="GS550" s="4"/>
      <c r="GT550" s="4"/>
      <c r="GU550" s="4"/>
      <c r="GV550" s="4"/>
      <c r="GW550" s="4"/>
      <c r="GX550" s="4"/>
      <c r="GY550" s="4"/>
      <c r="GZ550" s="4"/>
      <c r="HA550" s="4"/>
      <c r="HB550" s="4"/>
      <c r="HC550" s="4"/>
      <c r="HD550" s="4"/>
      <c r="HE550" s="4"/>
      <c r="HF550" s="4"/>
      <c r="HG550" s="4"/>
      <c r="HH550" s="4"/>
      <c r="HI550" s="4"/>
      <c r="HJ550" s="4"/>
    </row>
    <row r="551" spans="1:218" hidden="1">
      <c r="A551" t="s">
        <v>2228</v>
      </c>
      <c r="B551" t="s">
        <v>2229</v>
      </c>
      <c r="C551" t="s">
        <v>754</v>
      </c>
      <c r="D551" t="s">
        <v>2230</v>
      </c>
      <c r="E551" t="s">
        <v>2231</v>
      </c>
      <c r="F551" s="3">
        <v>1</v>
      </c>
      <c r="G551" s="12">
        <f t="shared" si="16"/>
        <v>4.2699999999999996</v>
      </c>
      <c r="H551" s="12" t="e">
        <f t="shared" si="17"/>
        <v>#NUM!</v>
      </c>
      <c r="I551" s="3">
        <v>4.2717000000000001</v>
      </c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  <c r="DQ551" s="4"/>
      <c r="DR551" s="4"/>
      <c r="DS551" s="4"/>
      <c r="DT551" s="4"/>
      <c r="DU551" s="4"/>
      <c r="DV551" s="4"/>
      <c r="DW551" s="4"/>
      <c r="DX551" s="4"/>
      <c r="DY551" s="4"/>
      <c r="DZ551" s="4"/>
      <c r="EA551" s="4"/>
      <c r="EB551" s="4"/>
      <c r="EC551" s="4"/>
      <c r="ED551" s="4"/>
      <c r="EE551" s="4"/>
      <c r="EF551" s="4"/>
      <c r="EG551" s="4"/>
      <c r="EH551" s="4"/>
      <c r="EI551" s="4"/>
      <c r="EJ551" s="4"/>
      <c r="EK551" s="4"/>
      <c r="EL551" s="4"/>
      <c r="EM551" s="4"/>
      <c r="EN551" s="4"/>
      <c r="EO551" s="4"/>
      <c r="EP551" s="4"/>
      <c r="EQ551" s="4"/>
      <c r="ER551" s="4"/>
      <c r="ES551" s="4"/>
      <c r="ET551" s="4"/>
      <c r="EU551" s="4"/>
      <c r="EV551" s="4"/>
      <c r="EW551" s="4"/>
      <c r="EX551" s="4"/>
      <c r="EY551" s="4"/>
      <c r="EZ551" s="4"/>
      <c r="FA551" s="4"/>
      <c r="FB551" s="4"/>
      <c r="FC551" s="4"/>
      <c r="FD551" s="4"/>
      <c r="FE551" s="4"/>
      <c r="FF551" s="4"/>
      <c r="FG551" s="4"/>
      <c r="FH551" s="4"/>
      <c r="FI551" s="4"/>
      <c r="FJ551" s="4"/>
      <c r="FK551" s="4"/>
      <c r="FL551" s="4"/>
      <c r="FM551" s="4"/>
      <c r="FN551" s="4"/>
      <c r="FO551" s="4"/>
      <c r="FP551" s="4"/>
      <c r="FQ551" s="4"/>
      <c r="FR551" s="4"/>
      <c r="FS551" s="4"/>
      <c r="FT551" s="4"/>
      <c r="FU551" s="4"/>
      <c r="FV551" s="4"/>
      <c r="FW551" s="4"/>
      <c r="FX551" s="4"/>
      <c r="FY551" s="4"/>
      <c r="FZ551" s="4"/>
      <c r="GA551" s="4"/>
      <c r="GB551" s="4"/>
      <c r="GC551" s="4"/>
      <c r="GD551" s="4"/>
      <c r="GE551" s="4"/>
      <c r="GF551" s="4"/>
      <c r="GG551" s="4"/>
      <c r="GH551" s="4"/>
      <c r="GI551" s="4"/>
      <c r="GJ551" s="4"/>
      <c r="GK551" s="4"/>
      <c r="GL551" s="4"/>
      <c r="GM551" s="4"/>
      <c r="GN551" s="4"/>
      <c r="GO551" s="4"/>
      <c r="GP551" s="4"/>
      <c r="GQ551" s="4"/>
      <c r="GR551" s="4"/>
      <c r="GS551" s="4"/>
      <c r="GT551" s="4"/>
      <c r="GU551" s="4"/>
      <c r="GV551" s="4"/>
      <c r="GW551" s="4"/>
      <c r="GX551" s="4"/>
      <c r="GY551" s="4"/>
      <c r="GZ551" s="4"/>
      <c r="HA551" s="4"/>
      <c r="HB551" s="4"/>
      <c r="HC551" s="4"/>
      <c r="HD551" s="4"/>
      <c r="HE551" s="4">
        <v>4.2699999999999996</v>
      </c>
      <c r="HF551" s="4"/>
      <c r="HG551" s="4"/>
      <c r="HH551" s="4"/>
      <c r="HI551" s="4"/>
      <c r="HJ551" s="4"/>
    </row>
    <row r="552" spans="1:218" hidden="1">
      <c r="A552" t="s">
        <v>2350</v>
      </c>
      <c r="B552" t="s">
        <v>2351</v>
      </c>
      <c r="C552" t="s">
        <v>443</v>
      </c>
      <c r="D552" t="s">
        <v>2352</v>
      </c>
      <c r="E552" t="s">
        <v>2353</v>
      </c>
      <c r="F552" s="3">
        <v>1</v>
      </c>
      <c r="G552" s="12">
        <f t="shared" si="16"/>
        <v>4.03</v>
      </c>
      <c r="H552" s="12" t="e">
        <f t="shared" si="17"/>
        <v>#NUM!</v>
      </c>
      <c r="I552" s="3">
        <v>4.02921</v>
      </c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>
        <v>4.03</v>
      </c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  <c r="DQ552" s="4"/>
      <c r="DR552" s="4"/>
      <c r="DS552" s="4"/>
      <c r="DT552" s="4"/>
      <c r="DU552" s="4"/>
      <c r="DV552" s="4"/>
      <c r="DW552" s="4"/>
      <c r="DX552" s="4"/>
      <c r="DY552" s="4"/>
      <c r="DZ552" s="4"/>
      <c r="EA552" s="4"/>
      <c r="EB552" s="4"/>
      <c r="EC552" s="4"/>
      <c r="ED552" s="4"/>
      <c r="EE552" s="4"/>
      <c r="EF552" s="4"/>
      <c r="EG552" s="4"/>
      <c r="EH552" s="4"/>
      <c r="EI552" s="4"/>
      <c r="EJ552" s="4"/>
      <c r="EK552" s="4"/>
      <c r="EL552" s="4"/>
      <c r="EM552" s="4"/>
      <c r="EN552" s="4"/>
      <c r="EO552" s="4"/>
      <c r="EP552" s="4"/>
      <c r="EQ552" s="4"/>
      <c r="ER552" s="4"/>
      <c r="ES552" s="4"/>
      <c r="ET552" s="4"/>
      <c r="EU552" s="4"/>
      <c r="EV552" s="4"/>
      <c r="EW552" s="4"/>
      <c r="EX552" s="4"/>
      <c r="EY552" s="4"/>
      <c r="EZ552" s="4"/>
      <c r="FA552" s="4"/>
      <c r="FB552" s="4"/>
      <c r="FC552" s="4"/>
      <c r="FD552" s="4"/>
      <c r="FE552" s="4"/>
      <c r="FF552" s="4"/>
      <c r="FG552" s="4"/>
      <c r="FH552" s="4"/>
      <c r="FI552" s="4"/>
      <c r="FJ552" s="4"/>
      <c r="FK552" s="4"/>
      <c r="FL552" s="4"/>
      <c r="FM552" s="4"/>
      <c r="FN552" s="4"/>
      <c r="FO552" s="4"/>
      <c r="FP552" s="4"/>
      <c r="FQ552" s="4"/>
      <c r="FR552" s="4"/>
      <c r="FS552" s="4"/>
      <c r="FT552" s="4"/>
      <c r="FU552" s="4"/>
      <c r="FV552" s="4"/>
      <c r="FW552" s="4"/>
      <c r="FX552" s="4"/>
      <c r="FY552" s="4"/>
      <c r="FZ552" s="4"/>
      <c r="GA552" s="4"/>
      <c r="GB552" s="4"/>
      <c r="GC552" s="4"/>
      <c r="GD552" s="4"/>
      <c r="GE552" s="4"/>
      <c r="GF552" s="4"/>
      <c r="GG552" s="4"/>
      <c r="GH552" s="4"/>
      <c r="GI552" s="4"/>
      <c r="GJ552" s="4"/>
      <c r="GK552" s="4"/>
      <c r="GL552" s="4"/>
      <c r="GM552" s="4"/>
      <c r="GN552" s="4"/>
      <c r="GO552" s="4"/>
      <c r="GP552" s="4"/>
      <c r="GQ552" s="4"/>
      <c r="GR552" s="4"/>
      <c r="GS552" s="4"/>
      <c r="GT552" s="4"/>
      <c r="GU552" s="4"/>
      <c r="GV552" s="4"/>
      <c r="GW552" s="4"/>
      <c r="GX552" s="4"/>
      <c r="GY552" s="4"/>
      <c r="GZ552" s="4"/>
      <c r="HA552" s="4"/>
      <c r="HB552" s="4"/>
      <c r="HC552" s="4"/>
      <c r="HD552" s="4"/>
      <c r="HE552" s="4"/>
      <c r="HF552" s="4"/>
      <c r="HG552" s="4"/>
      <c r="HH552" s="4"/>
      <c r="HI552" s="4"/>
      <c r="HJ552" s="4"/>
    </row>
    <row r="553" spans="1:218" hidden="1">
      <c r="A553" t="s">
        <v>1857</v>
      </c>
      <c r="B553" t="s">
        <v>1858</v>
      </c>
      <c r="C553" t="s">
        <v>1192</v>
      </c>
      <c r="D553" t="s">
        <v>1859</v>
      </c>
      <c r="E553" t="s">
        <v>1860</v>
      </c>
      <c r="F553" s="3">
        <v>1</v>
      </c>
      <c r="G553" s="12">
        <f t="shared" si="16"/>
        <v>5.71</v>
      </c>
      <c r="H553" s="12" t="e">
        <f t="shared" si="17"/>
        <v>#NUM!</v>
      </c>
      <c r="I553" s="3">
        <v>5.7129300000000001</v>
      </c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  <c r="DQ553" s="4"/>
      <c r="DR553" s="4"/>
      <c r="DS553" s="4"/>
      <c r="DT553" s="4"/>
      <c r="DU553" s="4"/>
      <c r="DV553" s="4"/>
      <c r="DW553" s="4"/>
      <c r="DX553" s="4"/>
      <c r="DY553" s="4"/>
      <c r="DZ553" s="4"/>
      <c r="EA553" s="4"/>
      <c r="EB553" s="4"/>
      <c r="EC553" s="4"/>
      <c r="ED553" s="4"/>
      <c r="EE553" s="4"/>
      <c r="EF553" s="4"/>
      <c r="EG553" s="4"/>
      <c r="EH553" s="4"/>
      <c r="EI553" s="4"/>
      <c r="EJ553" s="4"/>
      <c r="EK553" s="4"/>
      <c r="EL553" s="4"/>
      <c r="EM553" s="4"/>
      <c r="EN553" s="4"/>
      <c r="EO553" s="4"/>
      <c r="EP553" s="4"/>
      <c r="EQ553" s="4"/>
      <c r="ER553" s="4"/>
      <c r="ES553" s="4"/>
      <c r="ET553" s="4"/>
      <c r="EU553" s="4"/>
      <c r="EV553" s="4"/>
      <c r="EW553" s="4"/>
      <c r="EX553" s="4"/>
      <c r="EY553" s="4"/>
      <c r="EZ553" s="4"/>
      <c r="FA553" s="4"/>
      <c r="FB553" s="4"/>
      <c r="FC553" s="4"/>
      <c r="FD553" s="4"/>
      <c r="FE553" s="4">
        <v>5.71</v>
      </c>
      <c r="FF553" s="4"/>
      <c r="FG553" s="4"/>
      <c r="FH553" s="4"/>
      <c r="FI553" s="4"/>
      <c r="FJ553" s="4"/>
      <c r="FK553" s="4"/>
      <c r="FL553" s="4"/>
      <c r="FM553" s="4"/>
      <c r="FN553" s="4"/>
      <c r="FO553" s="4"/>
      <c r="FP553" s="4"/>
      <c r="FQ553" s="4"/>
      <c r="FR553" s="4"/>
      <c r="FS553" s="4"/>
      <c r="FT553" s="4"/>
      <c r="FU553" s="4"/>
      <c r="FV553" s="4"/>
      <c r="FW553" s="4"/>
      <c r="FX553" s="4"/>
      <c r="FY553" s="4"/>
      <c r="FZ553" s="4"/>
      <c r="GA553" s="4"/>
      <c r="GB553" s="4"/>
      <c r="GC553" s="4"/>
      <c r="GD553" s="4"/>
      <c r="GE553" s="4"/>
      <c r="GF553" s="4"/>
      <c r="GG553" s="4"/>
      <c r="GH553" s="4"/>
      <c r="GI553" s="4"/>
      <c r="GJ553" s="4"/>
      <c r="GK553" s="4"/>
      <c r="GL553" s="4"/>
      <c r="GM553" s="4"/>
      <c r="GN553" s="4"/>
      <c r="GO553" s="4"/>
      <c r="GP553" s="4"/>
      <c r="GQ553" s="4"/>
      <c r="GR553" s="4"/>
      <c r="GS553" s="4"/>
      <c r="GT553" s="4"/>
      <c r="GU553" s="4"/>
      <c r="GV553" s="4"/>
      <c r="GW553" s="4"/>
      <c r="GX553" s="4"/>
      <c r="GY553" s="4"/>
      <c r="GZ553" s="4"/>
      <c r="HA553" s="4"/>
      <c r="HB553" s="4"/>
      <c r="HC553" s="4"/>
      <c r="HD553" s="4"/>
      <c r="HE553" s="4"/>
      <c r="HF553" s="4"/>
      <c r="HG553" s="4"/>
      <c r="HH553" s="4"/>
      <c r="HI553" s="4"/>
      <c r="HJ553" s="4"/>
    </row>
    <row r="554" spans="1:218" hidden="1">
      <c r="A554" t="s">
        <v>1809</v>
      </c>
      <c r="B554" t="s">
        <v>1810</v>
      </c>
      <c r="C554" t="s">
        <v>1811</v>
      </c>
      <c r="D554" t="s">
        <v>1812</v>
      </c>
      <c r="E554" t="s">
        <v>1813</v>
      </c>
      <c r="F554" s="3">
        <v>1</v>
      </c>
      <c r="G554" s="12">
        <f t="shared" si="16"/>
        <v>6.18</v>
      </c>
      <c r="H554" s="12" t="e">
        <f t="shared" si="17"/>
        <v>#NUM!</v>
      </c>
      <c r="I554" s="3">
        <v>6.1830502000000003</v>
      </c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  <c r="DQ554" s="4"/>
      <c r="DR554" s="4"/>
      <c r="DS554" s="4"/>
      <c r="DT554" s="4"/>
      <c r="DU554" s="4"/>
      <c r="DV554" s="4"/>
      <c r="DW554" s="4"/>
      <c r="DX554" s="4"/>
      <c r="DY554" s="4"/>
      <c r="DZ554" s="4"/>
      <c r="EA554" s="4"/>
      <c r="EB554" s="4"/>
      <c r="EC554" s="4"/>
      <c r="ED554" s="4"/>
      <c r="EE554" s="4"/>
      <c r="EF554" s="4"/>
      <c r="EG554" s="4"/>
      <c r="EH554" s="4"/>
      <c r="EI554" s="4"/>
      <c r="EJ554" s="4"/>
      <c r="EK554" s="4"/>
      <c r="EL554" s="4"/>
      <c r="EM554" s="4"/>
      <c r="EN554" s="4"/>
      <c r="EO554" s="4"/>
      <c r="EP554" s="4"/>
      <c r="EQ554" s="4"/>
      <c r="ER554" s="4"/>
      <c r="ES554" s="4"/>
      <c r="ET554" s="4"/>
      <c r="EU554" s="4"/>
      <c r="EV554" s="4"/>
      <c r="EW554" s="4"/>
      <c r="EX554" s="4"/>
      <c r="EY554" s="4"/>
      <c r="EZ554" s="4"/>
      <c r="FA554" s="4"/>
      <c r="FB554" s="4"/>
      <c r="FC554" s="4"/>
      <c r="FD554" s="4"/>
      <c r="FE554" s="4"/>
      <c r="FF554" s="4"/>
      <c r="FG554" s="4"/>
      <c r="FH554" s="4"/>
      <c r="FI554" s="4"/>
      <c r="FJ554" s="4"/>
      <c r="FK554" s="4"/>
      <c r="FL554" s="4"/>
      <c r="FM554" s="4"/>
      <c r="FN554" s="4"/>
      <c r="FO554" s="4"/>
      <c r="FP554" s="4"/>
      <c r="FQ554" s="4"/>
      <c r="FR554" s="4"/>
      <c r="FS554" s="4"/>
      <c r="FT554" s="4"/>
      <c r="FU554" s="4"/>
      <c r="FV554" s="4"/>
      <c r="FW554" s="4"/>
      <c r="FX554" s="4"/>
      <c r="FY554" s="4"/>
      <c r="FZ554" s="4"/>
      <c r="GA554" s="4"/>
      <c r="GB554" s="4"/>
      <c r="GC554" s="4"/>
      <c r="GD554" s="4"/>
      <c r="GE554" s="4"/>
      <c r="GF554" s="4"/>
      <c r="GG554" s="4"/>
      <c r="GH554" s="4"/>
      <c r="GI554" s="4"/>
      <c r="GJ554" s="4"/>
      <c r="GK554" s="4"/>
      <c r="GL554" s="4"/>
      <c r="GM554" s="4"/>
      <c r="GN554" s="4"/>
      <c r="GO554" s="4"/>
      <c r="GP554" s="4"/>
      <c r="GQ554" s="4"/>
      <c r="GR554" s="4"/>
      <c r="GS554" s="4"/>
      <c r="GT554" s="4">
        <v>6.18</v>
      </c>
      <c r="GU554" s="4"/>
      <c r="GV554" s="4"/>
      <c r="GW554" s="4"/>
      <c r="GX554" s="4"/>
      <c r="GY554" s="4"/>
      <c r="GZ554" s="4"/>
      <c r="HA554" s="4"/>
      <c r="HB554" s="4"/>
      <c r="HC554" s="4"/>
      <c r="HD554" s="4"/>
      <c r="HE554" s="4"/>
      <c r="HF554" s="4"/>
      <c r="HG554" s="4"/>
      <c r="HH554" s="4"/>
      <c r="HI554" s="4"/>
      <c r="HJ554" s="4"/>
    </row>
    <row r="555" spans="1:218" hidden="1">
      <c r="A555" t="s">
        <v>1805</v>
      </c>
      <c r="B555" t="s">
        <v>1806</v>
      </c>
      <c r="C555" t="s">
        <v>505</v>
      </c>
      <c r="D555" t="s">
        <v>1807</v>
      </c>
      <c r="E555" t="s">
        <v>1808</v>
      </c>
      <c r="F555" s="3">
        <v>1</v>
      </c>
      <c r="G555" s="12">
        <f t="shared" si="16"/>
        <v>6.19</v>
      </c>
      <c r="H555" s="12" t="e">
        <f t="shared" si="17"/>
        <v>#NUM!</v>
      </c>
      <c r="I555" s="3">
        <v>6.1863596999999997</v>
      </c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  <c r="DQ555" s="4"/>
      <c r="DR555" s="4"/>
      <c r="DS555" s="4"/>
      <c r="DT555" s="4"/>
      <c r="DU555" s="4"/>
      <c r="DV555" s="4"/>
      <c r="DW555" s="4"/>
      <c r="DX555" s="4"/>
      <c r="DY555" s="4"/>
      <c r="DZ555" s="4"/>
      <c r="EA555" s="4"/>
      <c r="EB555" s="4"/>
      <c r="EC555" s="4"/>
      <c r="ED555" s="4"/>
      <c r="EE555" s="4"/>
      <c r="EF555" s="4"/>
      <c r="EG555" s="4"/>
      <c r="EH555" s="4"/>
      <c r="EI555" s="4"/>
      <c r="EJ555" s="4"/>
      <c r="EK555" s="4"/>
      <c r="EL555" s="4"/>
      <c r="EM555" s="4"/>
      <c r="EN555" s="4"/>
      <c r="EO555" s="4"/>
      <c r="EP555" s="4"/>
      <c r="EQ555" s="4"/>
      <c r="ER555" s="4"/>
      <c r="ES555" s="4"/>
      <c r="ET555" s="4"/>
      <c r="EU555" s="4"/>
      <c r="EV555" s="4"/>
      <c r="EW555" s="4"/>
      <c r="EX555" s="4"/>
      <c r="EY555" s="4"/>
      <c r="EZ555" s="4"/>
      <c r="FA555" s="4"/>
      <c r="FB555" s="4"/>
      <c r="FC555" s="4"/>
      <c r="FD555" s="4"/>
      <c r="FE555" s="4"/>
      <c r="FF555" s="4"/>
      <c r="FG555" s="4"/>
      <c r="FH555" s="4"/>
      <c r="FI555" s="4"/>
      <c r="FJ555" s="4"/>
      <c r="FK555" s="4"/>
      <c r="FL555" s="4"/>
      <c r="FM555" s="4"/>
      <c r="FN555" s="4"/>
      <c r="FO555" s="4"/>
      <c r="FP555" s="4"/>
      <c r="FQ555" s="4"/>
      <c r="FR555" s="4"/>
      <c r="FS555" s="4"/>
      <c r="FT555" s="4"/>
      <c r="FU555" s="4"/>
      <c r="FV555" s="4"/>
      <c r="FW555" s="4"/>
      <c r="FX555" s="4"/>
      <c r="FY555" s="4"/>
      <c r="FZ555" s="4"/>
      <c r="GA555" s="4"/>
      <c r="GB555" s="4"/>
      <c r="GC555" s="4"/>
      <c r="GD555" s="4"/>
      <c r="GE555" s="4">
        <v>6.19</v>
      </c>
      <c r="GF555" s="4"/>
      <c r="GG555" s="4"/>
      <c r="GH555" s="4"/>
      <c r="GI555" s="4"/>
      <c r="GJ555" s="4"/>
      <c r="GK555" s="4"/>
      <c r="GL555" s="4"/>
      <c r="GM555" s="4"/>
      <c r="GN555" s="4"/>
      <c r="GO555" s="4"/>
      <c r="GP555" s="4"/>
      <c r="GQ555" s="4"/>
      <c r="GR555" s="4"/>
      <c r="GS555" s="4"/>
      <c r="GT555" s="4"/>
      <c r="GU555" s="4"/>
      <c r="GV555" s="4"/>
      <c r="GW555" s="4"/>
      <c r="GX555" s="4"/>
      <c r="GY555" s="4"/>
      <c r="GZ555" s="4"/>
      <c r="HA555" s="4"/>
      <c r="HB555" s="4"/>
      <c r="HC555" s="4"/>
      <c r="HD555" s="4"/>
      <c r="HE555" s="4"/>
      <c r="HF555" s="4"/>
      <c r="HG555" s="4"/>
      <c r="HH555" s="4"/>
      <c r="HI555" s="4"/>
      <c r="HJ555" s="4"/>
    </row>
    <row r="556" spans="1:218" hidden="1">
      <c r="A556" t="s">
        <v>3027</v>
      </c>
      <c r="B556" t="s">
        <v>3028</v>
      </c>
      <c r="C556" t="s">
        <v>1055</v>
      </c>
      <c r="D556" t="s">
        <v>3029</v>
      </c>
      <c r="E556" t="s">
        <v>3030</v>
      </c>
      <c r="F556" s="3">
        <v>1</v>
      </c>
      <c r="G556" s="12">
        <f t="shared" si="16"/>
        <v>2.08</v>
      </c>
      <c r="H556" s="12" t="e">
        <f t="shared" si="17"/>
        <v>#NUM!</v>
      </c>
      <c r="I556" s="3">
        <v>2.0819700000000001</v>
      </c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>
        <v>2.08</v>
      </c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  <c r="DQ556" s="4"/>
      <c r="DR556" s="4"/>
      <c r="DS556" s="4"/>
      <c r="DT556" s="4"/>
      <c r="DU556" s="4"/>
      <c r="DV556" s="4"/>
      <c r="DW556" s="4"/>
      <c r="DX556" s="4"/>
      <c r="DY556" s="4"/>
      <c r="DZ556" s="4"/>
      <c r="EA556" s="4"/>
      <c r="EB556" s="4"/>
      <c r="EC556" s="4"/>
      <c r="ED556" s="4"/>
      <c r="EE556" s="4"/>
      <c r="EF556" s="4"/>
      <c r="EG556" s="4"/>
      <c r="EH556" s="4"/>
      <c r="EI556" s="4"/>
      <c r="EJ556" s="4"/>
      <c r="EK556" s="4"/>
      <c r="EL556" s="4"/>
      <c r="EM556" s="4"/>
      <c r="EN556" s="4"/>
      <c r="EO556" s="4"/>
      <c r="EP556" s="4"/>
      <c r="EQ556" s="4"/>
      <c r="ER556" s="4"/>
      <c r="ES556" s="4"/>
      <c r="ET556" s="4"/>
      <c r="EU556" s="4"/>
      <c r="EV556" s="4"/>
      <c r="EW556" s="4"/>
      <c r="EX556" s="4"/>
      <c r="EY556" s="4"/>
      <c r="EZ556" s="4"/>
      <c r="FA556" s="4"/>
      <c r="FB556" s="4"/>
      <c r="FC556" s="4"/>
      <c r="FD556" s="4"/>
      <c r="FE556" s="4"/>
      <c r="FF556" s="4"/>
      <c r="FG556" s="4"/>
      <c r="FH556" s="4"/>
      <c r="FI556" s="4"/>
      <c r="FJ556" s="4"/>
      <c r="FK556" s="4"/>
      <c r="FL556" s="4"/>
      <c r="FM556" s="4"/>
      <c r="FN556" s="4"/>
      <c r="FO556" s="4"/>
      <c r="FP556" s="4"/>
      <c r="FQ556" s="4"/>
      <c r="FR556" s="4"/>
      <c r="FS556" s="4"/>
      <c r="FT556" s="4"/>
      <c r="FU556" s="4"/>
      <c r="FV556" s="4"/>
      <c r="FW556" s="4"/>
      <c r="FX556" s="4"/>
      <c r="FY556" s="4"/>
      <c r="FZ556" s="4"/>
      <c r="GA556" s="4"/>
      <c r="GB556" s="4"/>
      <c r="GC556" s="4"/>
      <c r="GD556" s="4"/>
      <c r="GE556" s="4"/>
      <c r="GF556" s="4"/>
      <c r="GG556" s="4"/>
      <c r="GH556" s="4"/>
      <c r="GI556" s="4"/>
      <c r="GJ556" s="4"/>
      <c r="GK556" s="4"/>
      <c r="GL556" s="4"/>
      <c r="GM556" s="4"/>
      <c r="GN556" s="4"/>
      <c r="GO556" s="4"/>
      <c r="GP556" s="4"/>
      <c r="GQ556" s="4"/>
      <c r="GR556" s="4"/>
      <c r="GS556" s="4"/>
      <c r="GT556" s="4"/>
      <c r="GU556" s="4"/>
      <c r="GV556" s="4"/>
      <c r="GW556" s="4"/>
      <c r="GX556" s="4"/>
      <c r="GY556" s="4"/>
      <c r="GZ556" s="4"/>
      <c r="HA556" s="4"/>
      <c r="HB556" s="4"/>
      <c r="HC556" s="4"/>
      <c r="HD556" s="4"/>
      <c r="HE556" s="4"/>
      <c r="HF556" s="4"/>
      <c r="HG556" s="4"/>
      <c r="HH556" s="4"/>
      <c r="HI556" s="4"/>
      <c r="HJ556" s="4"/>
    </row>
    <row r="557" spans="1:218" hidden="1">
      <c r="A557" t="s">
        <v>2212</v>
      </c>
      <c r="B557" t="s">
        <v>2213</v>
      </c>
      <c r="C557" t="s">
        <v>1055</v>
      </c>
      <c r="D557" t="s">
        <v>2214</v>
      </c>
      <c r="E557" t="s">
        <v>2215</v>
      </c>
      <c r="F557" s="3">
        <v>1</v>
      </c>
      <c r="G557" s="12">
        <f t="shared" si="16"/>
        <v>4.29</v>
      </c>
      <c r="H557" s="12" t="e">
        <f t="shared" si="17"/>
        <v>#NUM!</v>
      </c>
      <c r="I557" s="3">
        <v>4.2938299999999998</v>
      </c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  <c r="DQ557" s="4"/>
      <c r="DR557" s="4"/>
      <c r="DS557" s="4"/>
      <c r="DT557" s="4"/>
      <c r="DU557" s="4"/>
      <c r="DV557" s="4"/>
      <c r="DW557" s="4"/>
      <c r="DX557" s="4"/>
      <c r="DY557" s="4"/>
      <c r="DZ557" s="4"/>
      <c r="EA557" s="4"/>
      <c r="EB557" s="4"/>
      <c r="EC557" s="4"/>
      <c r="ED557" s="4"/>
      <c r="EE557" s="4"/>
      <c r="EF557" s="4"/>
      <c r="EG557" s="4"/>
      <c r="EH557" s="4"/>
      <c r="EI557" s="4"/>
      <c r="EJ557" s="4"/>
      <c r="EK557" s="4"/>
      <c r="EL557" s="4"/>
      <c r="EM557" s="4"/>
      <c r="EN557" s="4"/>
      <c r="EO557" s="4"/>
      <c r="EP557" s="4"/>
      <c r="EQ557" s="4"/>
      <c r="ER557" s="4"/>
      <c r="ES557" s="4"/>
      <c r="ET557" s="4"/>
      <c r="EU557" s="4"/>
      <c r="EV557" s="4"/>
      <c r="EW557" s="4"/>
      <c r="EX557" s="4"/>
      <c r="EY557" s="4"/>
      <c r="EZ557" s="4"/>
      <c r="FA557" s="4"/>
      <c r="FB557" s="4"/>
      <c r="FC557" s="4"/>
      <c r="FD557" s="4"/>
      <c r="FE557" s="4"/>
      <c r="FF557" s="4"/>
      <c r="FG557" s="4"/>
      <c r="FH557" s="4"/>
      <c r="FI557" s="4"/>
      <c r="FJ557" s="4"/>
      <c r="FK557" s="4"/>
      <c r="FL557" s="4"/>
      <c r="FM557" s="4"/>
      <c r="FN557" s="4"/>
      <c r="FO557" s="4"/>
      <c r="FP557" s="4"/>
      <c r="FQ557" s="4"/>
      <c r="FR557" s="4"/>
      <c r="FS557" s="4"/>
      <c r="FT557" s="4"/>
      <c r="FU557" s="4"/>
      <c r="FV557" s="4"/>
      <c r="FW557" s="4"/>
      <c r="FX557" s="4"/>
      <c r="FY557" s="4"/>
      <c r="FZ557" s="4"/>
      <c r="GA557" s="4"/>
      <c r="GB557" s="4"/>
      <c r="GC557" s="4"/>
      <c r="GD557" s="4"/>
      <c r="GE557" s="4"/>
      <c r="GF557" s="4"/>
      <c r="GG557" s="4"/>
      <c r="GH557" s="4"/>
      <c r="GI557" s="4"/>
      <c r="GJ557" s="4"/>
      <c r="GK557" s="4"/>
      <c r="GL557" s="4"/>
      <c r="GM557" s="4"/>
      <c r="GN557" s="4"/>
      <c r="GO557" s="4"/>
      <c r="GP557" s="4"/>
      <c r="GQ557" s="4"/>
      <c r="GR557" s="4"/>
      <c r="GS557" s="4"/>
      <c r="GT557" s="4"/>
      <c r="GU557" s="4"/>
      <c r="GV557" s="4"/>
      <c r="GW557" s="4"/>
      <c r="GX557" s="4">
        <v>4.29</v>
      </c>
      <c r="GY557" s="4"/>
      <c r="GZ557" s="4"/>
      <c r="HA557" s="4"/>
      <c r="HB557" s="4"/>
      <c r="HC557" s="4"/>
      <c r="HD557" s="4"/>
      <c r="HE557" s="4"/>
      <c r="HF557" s="4"/>
      <c r="HG557" s="4"/>
      <c r="HH557" s="4"/>
      <c r="HI557" s="4"/>
      <c r="HJ557" s="4"/>
    </row>
    <row r="558" spans="1:218" hidden="1">
      <c r="A558" t="s">
        <v>3139</v>
      </c>
      <c r="B558" t="s">
        <v>3140</v>
      </c>
      <c r="C558" t="s">
        <v>1055</v>
      </c>
      <c r="D558" t="s">
        <v>3141</v>
      </c>
      <c r="E558" t="s">
        <v>3142</v>
      </c>
      <c r="F558" s="3">
        <v>1</v>
      </c>
      <c r="G558" s="12">
        <f t="shared" si="16"/>
        <v>1.05</v>
      </c>
      <c r="H558" s="12" t="e">
        <f t="shared" si="17"/>
        <v>#NUM!</v>
      </c>
      <c r="I558" s="3">
        <v>1.05000995</v>
      </c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>
        <v>1.05</v>
      </c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  <c r="DQ558" s="4"/>
      <c r="DR558" s="4"/>
      <c r="DS558" s="4"/>
      <c r="DT558" s="4"/>
      <c r="DU558" s="4"/>
      <c r="DV558" s="4"/>
      <c r="DW558" s="4"/>
      <c r="DX558" s="4"/>
      <c r="DY558" s="4"/>
      <c r="DZ558" s="4"/>
      <c r="EA558" s="4"/>
      <c r="EB558" s="4"/>
      <c r="EC558" s="4"/>
      <c r="ED558" s="4"/>
      <c r="EE558" s="4"/>
      <c r="EF558" s="4"/>
      <c r="EG558" s="4"/>
      <c r="EH558" s="4"/>
      <c r="EI558" s="4"/>
      <c r="EJ558" s="4"/>
      <c r="EK558" s="4"/>
      <c r="EL558" s="4"/>
      <c r="EM558" s="4"/>
      <c r="EN558" s="4"/>
      <c r="EO558" s="4"/>
      <c r="EP558" s="4"/>
      <c r="EQ558" s="4"/>
      <c r="ER558" s="4"/>
      <c r="ES558" s="4"/>
      <c r="ET558" s="4"/>
      <c r="EU558" s="4"/>
      <c r="EV558" s="4"/>
      <c r="EW558" s="4"/>
      <c r="EX558" s="4"/>
      <c r="EY558" s="4"/>
      <c r="EZ558" s="4"/>
      <c r="FA558" s="4"/>
      <c r="FB558" s="4"/>
      <c r="FC558" s="4"/>
      <c r="FD558" s="4"/>
      <c r="FE558" s="4"/>
      <c r="FF558" s="4"/>
      <c r="FG558" s="4"/>
      <c r="FH558" s="4"/>
      <c r="FI558" s="4"/>
      <c r="FJ558" s="4"/>
      <c r="FK558" s="4"/>
      <c r="FL558" s="4"/>
      <c r="FM558" s="4"/>
      <c r="FN558" s="4"/>
      <c r="FO558" s="4"/>
      <c r="FP558" s="4"/>
      <c r="FQ558" s="4"/>
      <c r="FR558" s="4"/>
      <c r="FS558" s="4"/>
      <c r="FT558" s="4"/>
      <c r="FU558" s="4"/>
      <c r="FV558" s="4"/>
      <c r="FW558" s="4"/>
      <c r="FX558" s="4"/>
      <c r="FY558" s="4"/>
      <c r="FZ558" s="4"/>
      <c r="GA558" s="4"/>
      <c r="GB558" s="4"/>
      <c r="GC558" s="4"/>
      <c r="GD558" s="4"/>
      <c r="GE558" s="4"/>
      <c r="GF558" s="4"/>
      <c r="GG558" s="4"/>
      <c r="GH558" s="4"/>
      <c r="GI558" s="4"/>
      <c r="GJ558" s="4"/>
      <c r="GK558" s="4"/>
      <c r="GL558" s="4"/>
      <c r="GM558" s="4"/>
      <c r="GN558" s="4"/>
      <c r="GO558" s="4"/>
      <c r="GP558" s="4"/>
      <c r="GQ558" s="4"/>
      <c r="GR558" s="4"/>
      <c r="GS558" s="4"/>
      <c r="GT558" s="4"/>
      <c r="GU558" s="4"/>
      <c r="GV558" s="4"/>
      <c r="GW558" s="4"/>
      <c r="GX558" s="4"/>
      <c r="GY558" s="4"/>
      <c r="GZ558" s="4"/>
      <c r="HA558" s="4"/>
      <c r="HB558" s="4"/>
      <c r="HC558" s="4"/>
      <c r="HD558" s="4"/>
      <c r="HE558" s="4"/>
      <c r="HF558" s="4"/>
      <c r="HG558" s="4"/>
      <c r="HH558" s="4"/>
      <c r="HI558" s="4"/>
      <c r="HJ558" s="4"/>
    </row>
    <row r="559" spans="1:218" hidden="1">
      <c r="A559" t="s">
        <v>2102</v>
      </c>
      <c r="B559" t="s">
        <v>2103</v>
      </c>
      <c r="C559" t="s">
        <v>2104</v>
      </c>
      <c r="D559" t="s">
        <v>2105</v>
      </c>
      <c r="E559" t="s">
        <v>2106</v>
      </c>
      <c r="F559" s="3">
        <v>1</v>
      </c>
      <c r="G559" s="12">
        <f t="shared" si="16"/>
        <v>4.51</v>
      </c>
      <c r="H559" s="12" t="e">
        <f t="shared" si="17"/>
        <v>#NUM!</v>
      </c>
      <c r="I559" s="3">
        <v>4.5110896</v>
      </c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>
        <v>4.51</v>
      </c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  <c r="DQ559" s="4"/>
      <c r="DR559" s="4"/>
      <c r="DS559" s="4"/>
      <c r="DT559" s="4"/>
      <c r="DU559" s="4"/>
      <c r="DV559" s="4"/>
      <c r="DW559" s="4"/>
      <c r="DX559" s="4"/>
      <c r="DY559" s="4"/>
      <c r="DZ559" s="4"/>
      <c r="EA559" s="4"/>
      <c r="EB559" s="4"/>
      <c r="EC559" s="4"/>
      <c r="ED559" s="4"/>
      <c r="EE559" s="4"/>
      <c r="EF559" s="4"/>
      <c r="EG559" s="4"/>
      <c r="EH559" s="4"/>
      <c r="EI559" s="4"/>
      <c r="EJ559" s="4"/>
      <c r="EK559" s="4"/>
      <c r="EL559" s="4"/>
      <c r="EM559" s="4"/>
      <c r="EN559" s="4"/>
      <c r="EO559" s="4"/>
      <c r="EP559" s="4"/>
      <c r="EQ559" s="4"/>
      <c r="ER559" s="4"/>
      <c r="ES559" s="4"/>
      <c r="ET559" s="4"/>
      <c r="EU559" s="4"/>
      <c r="EV559" s="4"/>
      <c r="EW559" s="4"/>
      <c r="EX559" s="4"/>
      <c r="EY559" s="4"/>
      <c r="EZ559" s="4"/>
      <c r="FA559" s="4"/>
      <c r="FB559" s="4"/>
      <c r="FC559" s="4"/>
      <c r="FD559" s="4"/>
      <c r="FE559" s="4"/>
      <c r="FF559" s="4"/>
      <c r="FG559" s="4"/>
      <c r="FH559" s="4"/>
      <c r="FI559" s="4"/>
      <c r="FJ559" s="4"/>
      <c r="FK559" s="4"/>
      <c r="FL559" s="4"/>
      <c r="FM559" s="4"/>
      <c r="FN559" s="4"/>
      <c r="FO559" s="4"/>
      <c r="FP559" s="4"/>
      <c r="FQ559" s="4"/>
      <c r="FR559" s="4"/>
      <c r="FS559" s="4"/>
      <c r="FT559" s="4"/>
      <c r="FU559" s="4"/>
      <c r="FV559" s="4"/>
      <c r="FW559" s="4"/>
      <c r="FX559" s="4"/>
      <c r="FY559" s="4"/>
      <c r="FZ559" s="4"/>
      <c r="GA559" s="4"/>
      <c r="GB559" s="4"/>
      <c r="GC559" s="4"/>
      <c r="GD559" s="4"/>
      <c r="GE559" s="4"/>
      <c r="GF559" s="4"/>
      <c r="GG559" s="4"/>
      <c r="GH559" s="4"/>
      <c r="GI559" s="4"/>
      <c r="GJ559" s="4"/>
      <c r="GK559" s="4"/>
      <c r="GL559" s="4"/>
      <c r="GM559" s="4"/>
      <c r="GN559" s="4"/>
      <c r="GO559" s="4"/>
      <c r="GP559" s="4"/>
      <c r="GQ559" s="4"/>
      <c r="GR559" s="4"/>
      <c r="GS559" s="4"/>
      <c r="GT559" s="4"/>
      <c r="GU559" s="4"/>
      <c r="GV559" s="4"/>
      <c r="GW559" s="4"/>
      <c r="GX559" s="4"/>
      <c r="GY559" s="4"/>
      <c r="GZ559" s="4"/>
      <c r="HA559" s="4"/>
      <c r="HB559" s="4"/>
      <c r="HC559" s="4"/>
      <c r="HD559" s="4"/>
      <c r="HE559" s="4"/>
      <c r="HF559" s="4"/>
      <c r="HG559" s="4"/>
      <c r="HH559" s="4"/>
      <c r="HI559" s="4"/>
      <c r="HJ559" s="4"/>
    </row>
    <row r="560" spans="1:218" hidden="1">
      <c r="A560" t="s">
        <v>2107</v>
      </c>
      <c r="B560" t="s">
        <v>2108</v>
      </c>
      <c r="C560" t="s">
        <v>505</v>
      </c>
      <c r="D560" t="s">
        <v>2109</v>
      </c>
      <c r="E560" t="s">
        <v>2110</v>
      </c>
      <c r="F560" s="3">
        <v>1</v>
      </c>
      <c r="G560" s="12">
        <f t="shared" si="16"/>
        <v>4.51</v>
      </c>
      <c r="H560" s="12" t="e">
        <f t="shared" si="17"/>
        <v>#NUM!</v>
      </c>
      <c r="I560" s="3">
        <v>4.5089003000000014</v>
      </c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>
        <v>4.51</v>
      </c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  <c r="DQ560" s="4"/>
      <c r="DR560" s="4"/>
      <c r="DS560" s="4"/>
      <c r="DT560" s="4"/>
      <c r="DU560" s="4"/>
      <c r="DV560" s="4"/>
      <c r="DW560" s="4"/>
      <c r="DX560" s="4"/>
      <c r="DY560" s="4"/>
      <c r="DZ560" s="4"/>
      <c r="EA560" s="4"/>
      <c r="EB560" s="4"/>
      <c r="EC560" s="4"/>
      <c r="ED560" s="4"/>
      <c r="EE560" s="4"/>
      <c r="EF560" s="4"/>
      <c r="EG560" s="4"/>
      <c r="EH560" s="4"/>
      <c r="EI560" s="4"/>
      <c r="EJ560" s="4"/>
      <c r="EK560" s="4"/>
      <c r="EL560" s="4"/>
      <c r="EM560" s="4"/>
      <c r="EN560" s="4"/>
      <c r="EO560" s="4"/>
      <c r="EP560" s="4"/>
      <c r="EQ560" s="4"/>
      <c r="ER560" s="4"/>
      <c r="ES560" s="4"/>
      <c r="ET560" s="4"/>
      <c r="EU560" s="4"/>
      <c r="EV560" s="4"/>
      <c r="EW560" s="4"/>
      <c r="EX560" s="4"/>
      <c r="EY560" s="4"/>
      <c r="EZ560" s="4"/>
      <c r="FA560" s="4"/>
      <c r="FB560" s="4"/>
      <c r="FC560" s="4"/>
      <c r="FD560" s="4"/>
      <c r="FE560" s="4"/>
      <c r="FF560" s="4"/>
      <c r="FG560" s="4"/>
      <c r="FH560" s="4"/>
      <c r="FI560" s="4"/>
      <c r="FJ560" s="4"/>
      <c r="FK560" s="4"/>
      <c r="FL560" s="4"/>
      <c r="FM560" s="4"/>
      <c r="FN560" s="4"/>
      <c r="FO560" s="4"/>
      <c r="FP560" s="4"/>
      <c r="FQ560" s="4"/>
      <c r="FR560" s="4"/>
      <c r="FS560" s="4"/>
      <c r="FT560" s="4"/>
      <c r="FU560" s="4"/>
      <c r="FV560" s="4"/>
      <c r="FW560" s="4"/>
      <c r="FX560" s="4"/>
      <c r="FY560" s="4"/>
      <c r="FZ560" s="4"/>
      <c r="GA560" s="4"/>
      <c r="GB560" s="4"/>
      <c r="GC560" s="4"/>
      <c r="GD560" s="4"/>
      <c r="GE560" s="4"/>
      <c r="GF560" s="4"/>
      <c r="GG560" s="4"/>
      <c r="GH560" s="4"/>
      <c r="GI560" s="4"/>
      <c r="GJ560" s="4"/>
      <c r="GK560" s="4"/>
      <c r="GL560" s="4"/>
      <c r="GM560" s="4"/>
      <c r="GN560" s="4"/>
      <c r="GO560" s="4"/>
      <c r="GP560" s="4"/>
      <c r="GQ560" s="4"/>
      <c r="GR560" s="4"/>
      <c r="GS560" s="4"/>
      <c r="GT560" s="4"/>
      <c r="GU560" s="4"/>
      <c r="GV560" s="4"/>
      <c r="GW560" s="4"/>
      <c r="GX560" s="4"/>
      <c r="GY560" s="4"/>
      <c r="GZ560" s="4"/>
      <c r="HA560" s="4"/>
      <c r="HB560" s="4"/>
      <c r="HC560" s="4"/>
      <c r="HD560" s="4"/>
      <c r="HE560" s="4"/>
      <c r="HF560" s="4"/>
      <c r="HG560" s="4"/>
      <c r="HH560" s="4"/>
      <c r="HI560" s="4"/>
      <c r="HJ560" s="4"/>
    </row>
    <row r="561" spans="1:218" hidden="1">
      <c r="A561" t="s">
        <v>3109</v>
      </c>
      <c r="B561" t="s">
        <v>3110</v>
      </c>
      <c r="C561" t="s">
        <v>576</v>
      </c>
      <c r="D561" t="s">
        <v>3111</v>
      </c>
      <c r="E561" t="s">
        <v>3112</v>
      </c>
      <c r="F561" s="3">
        <v>1</v>
      </c>
      <c r="G561" s="12">
        <f t="shared" si="16"/>
        <v>1.42</v>
      </c>
      <c r="H561" s="12" t="e">
        <f t="shared" si="17"/>
        <v>#NUM!</v>
      </c>
      <c r="I561" s="3">
        <v>1.41771</v>
      </c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  <c r="DQ561" s="4"/>
      <c r="DR561" s="4"/>
      <c r="DS561" s="4"/>
      <c r="DT561" s="4"/>
      <c r="DU561" s="4"/>
      <c r="DV561" s="4"/>
      <c r="DW561" s="4"/>
      <c r="DX561" s="4"/>
      <c r="DY561" s="4"/>
      <c r="DZ561" s="4"/>
      <c r="EA561" s="4"/>
      <c r="EB561" s="4"/>
      <c r="EC561" s="4"/>
      <c r="ED561" s="4"/>
      <c r="EE561" s="4"/>
      <c r="EF561" s="4"/>
      <c r="EG561" s="4"/>
      <c r="EH561" s="4"/>
      <c r="EI561" s="4"/>
      <c r="EJ561" s="4"/>
      <c r="EK561" s="4"/>
      <c r="EL561" s="4"/>
      <c r="EM561" s="4"/>
      <c r="EN561" s="4"/>
      <c r="EO561" s="4"/>
      <c r="EP561" s="4"/>
      <c r="EQ561" s="4"/>
      <c r="ER561" s="4"/>
      <c r="ES561" s="4"/>
      <c r="ET561" s="4"/>
      <c r="EU561" s="4"/>
      <c r="EV561" s="4"/>
      <c r="EW561" s="4"/>
      <c r="EX561" s="4"/>
      <c r="EY561" s="4"/>
      <c r="EZ561" s="4"/>
      <c r="FA561" s="4"/>
      <c r="FB561" s="4"/>
      <c r="FC561" s="4">
        <v>1.42</v>
      </c>
      <c r="FD561" s="4"/>
      <c r="FE561" s="4"/>
      <c r="FF561" s="4"/>
      <c r="FG561" s="4"/>
      <c r="FH561" s="4"/>
      <c r="FI561" s="4"/>
      <c r="FJ561" s="4"/>
      <c r="FK561" s="4"/>
      <c r="FL561" s="4"/>
      <c r="FM561" s="4"/>
      <c r="FN561" s="4"/>
      <c r="FO561" s="4"/>
      <c r="FP561" s="4"/>
      <c r="FQ561" s="4"/>
      <c r="FR561" s="4"/>
      <c r="FS561" s="4"/>
      <c r="FT561" s="4"/>
      <c r="FU561" s="4"/>
      <c r="FV561" s="4"/>
      <c r="FW561" s="4"/>
      <c r="FX561" s="4"/>
      <c r="FY561" s="4"/>
      <c r="FZ561" s="4"/>
      <c r="GA561" s="4"/>
      <c r="GB561" s="4"/>
      <c r="GC561" s="4"/>
      <c r="GD561" s="4"/>
      <c r="GE561" s="4"/>
      <c r="GF561" s="4"/>
      <c r="GG561" s="4"/>
      <c r="GH561" s="4"/>
      <c r="GI561" s="4"/>
      <c r="GJ561" s="4"/>
      <c r="GK561" s="4"/>
      <c r="GL561" s="4"/>
      <c r="GM561" s="4"/>
      <c r="GN561" s="4"/>
      <c r="GO561" s="4"/>
      <c r="GP561" s="4"/>
      <c r="GQ561" s="4"/>
      <c r="GR561" s="4"/>
      <c r="GS561" s="4"/>
      <c r="GT561" s="4"/>
      <c r="GU561" s="4"/>
      <c r="GV561" s="4"/>
      <c r="GW561" s="4"/>
      <c r="GX561" s="4"/>
      <c r="GY561" s="4"/>
      <c r="GZ561" s="4"/>
      <c r="HA561" s="4"/>
      <c r="HB561" s="4"/>
      <c r="HC561" s="4"/>
      <c r="HD561" s="4"/>
      <c r="HE561" s="4"/>
      <c r="HF561" s="4"/>
      <c r="HG561" s="4"/>
      <c r="HH561" s="4"/>
      <c r="HI561" s="4"/>
      <c r="HJ561" s="4"/>
    </row>
    <row r="562" spans="1:218" hidden="1">
      <c r="A562" t="s">
        <v>1675</v>
      </c>
      <c r="B562" t="s">
        <v>1676</v>
      </c>
      <c r="C562" t="s">
        <v>1028</v>
      </c>
      <c r="D562" t="s">
        <v>1677</v>
      </c>
      <c r="E562" t="s">
        <v>1678</v>
      </c>
      <c r="F562" s="3">
        <v>1</v>
      </c>
      <c r="G562" s="12">
        <f t="shared" si="16"/>
        <v>9.76</v>
      </c>
      <c r="H562" s="12" t="e">
        <f t="shared" si="17"/>
        <v>#NUM!</v>
      </c>
      <c r="I562" s="3">
        <v>9.7647700000000004</v>
      </c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>
        <v>9.76</v>
      </c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  <c r="DQ562" s="4"/>
      <c r="DR562" s="4"/>
      <c r="DS562" s="4"/>
      <c r="DT562" s="4"/>
      <c r="DU562" s="4"/>
      <c r="DV562" s="4"/>
      <c r="DW562" s="4"/>
      <c r="DX562" s="4"/>
      <c r="DY562" s="4"/>
      <c r="DZ562" s="4"/>
      <c r="EA562" s="4"/>
      <c r="EB562" s="4"/>
      <c r="EC562" s="4"/>
      <c r="ED562" s="4"/>
      <c r="EE562" s="4"/>
      <c r="EF562" s="4"/>
      <c r="EG562" s="4"/>
      <c r="EH562" s="4"/>
      <c r="EI562" s="4"/>
      <c r="EJ562" s="4"/>
      <c r="EK562" s="4"/>
      <c r="EL562" s="4"/>
      <c r="EM562" s="4"/>
      <c r="EN562" s="4"/>
      <c r="EO562" s="4"/>
      <c r="EP562" s="4"/>
      <c r="EQ562" s="4"/>
      <c r="ER562" s="4"/>
      <c r="ES562" s="4"/>
      <c r="ET562" s="4"/>
      <c r="EU562" s="4"/>
      <c r="EV562" s="4"/>
      <c r="EW562" s="4"/>
      <c r="EX562" s="4"/>
      <c r="EY562" s="4"/>
      <c r="EZ562" s="4"/>
      <c r="FA562" s="4"/>
      <c r="FB562" s="4"/>
      <c r="FC562" s="4"/>
      <c r="FD562" s="4"/>
      <c r="FE562" s="4"/>
      <c r="FF562" s="4"/>
      <c r="FG562" s="4"/>
      <c r="FH562" s="4"/>
      <c r="FI562" s="4"/>
      <c r="FJ562" s="4"/>
      <c r="FK562" s="4"/>
      <c r="FL562" s="4"/>
      <c r="FM562" s="4"/>
      <c r="FN562" s="4"/>
      <c r="FO562" s="4"/>
      <c r="FP562" s="4"/>
      <c r="FQ562" s="4"/>
      <c r="FR562" s="4"/>
      <c r="FS562" s="4"/>
      <c r="FT562" s="4"/>
      <c r="FU562" s="4"/>
      <c r="FV562" s="4"/>
      <c r="FW562" s="4"/>
      <c r="FX562" s="4"/>
      <c r="FY562" s="4"/>
      <c r="FZ562" s="4"/>
      <c r="GA562" s="4"/>
      <c r="GB562" s="4"/>
      <c r="GC562" s="4"/>
      <c r="GD562" s="4"/>
      <c r="GE562" s="4"/>
      <c r="GF562" s="4"/>
      <c r="GG562" s="4"/>
      <c r="GH562" s="4"/>
      <c r="GI562" s="4"/>
      <c r="GJ562" s="4"/>
      <c r="GK562" s="4"/>
      <c r="GL562" s="4"/>
      <c r="GM562" s="4"/>
      <c r="GN562" s="4"/>
      <c r="GO562" s="4"/>
      <c r="GP562" s="4"/>
      <c r="GQ562" s="4"/>
      <c r="GR562" s="4"/>
      <c r="GS562" s="4"/>
      <c r="GT562" s="4"/>
      <c r="GU562" s="4"/>
      <c r="GV562" s="4"/>
      <c r="GW562" s="4"/>
      <c r="GX562" s="4"/>
      <c r="GY562" s="4"/>
      <c r="GZ562" s="4"/>
      <c r="HA562" s="4"/>
      <c r="HB562" s="4"/>
      <c r="HC562" s="4"/>
      <c r="HD562" s="4"/>
      <c r="HE562" s="4"/>
      <c r="HF562" s="4"/>
      <c r="HG562" s="4"/>
      <c r="HH562" s="4"/>
      <c r="HI562" s="4"/>
      <c r="HJ562" s="4"/>
    </row>
    <row r="563" spans="1:218" hidden="1">
      <c r="A563" t="s">
        <v>2005</v>
      </c>
      <c r="B563" t="s">
        <v>2006</v>
      </c>
      <c r="C563" t="s">
        <v>833</v>
      </c>
      <c r="D563" t="s">
        <v>490</v>
      </c>
      <c r="E563" t="s">
        <v>834</v>
      </c>
      <c r="F563" s="3">
        <v>1</v>
      </c>
      <c r="G563" s="12">
        <f t="shared" si="16"/>
        <v>4.7699999999999996</v>
      </c>
      <c r="H563" s="12" t="e">
        <f t="shared" si="17"/>
        <v>#NUM!</v>
      </c>
      <c r="I563" s="3">
        <v>4.7719497000000004</v>
      </c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>
        <v>4.7699999999999996</v>
      </c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  <c r="DQ563" s="4"/>
      <c r="DR563" s="4"/>
      <c r="DS563" s="4"/>
      <c r="DT563" s="4"/>
      <c r="DU563" s="4"/>
      <c r="DV563" s="4"/>
      <c r="DW563" s="4"/>
      <c r="DX563" s="4"/>
      <c r="DY563" s="4"/>
      <c r="DZ563" s="4"/>
      <c r="EA563" s="4"/>
      <c r="EB563" s="4"/>
      <c r="EC563" s="4"/>
      <c r="ED563" s="4"/>
      <c r="EE563" s="4"/>
      <c r="EF563" s="4"/>
      <c r="EG563" s="4"/>
      <c r="EH563" s="4"/>
      <c r="EI563" s="4"/>
      <c r="EJ563" s="4"/>
      <c r="EK563" s="4"/>
      <c r="EL563" s="4"/>
      <c r="EM563" s="4"/>
      <c r="EN563" s="4"/>
      <c r="EO563" s="4"/>
      <c r="EP563" s="4"/>
      <c r="EQ563" s="4"/>
      <c r="ER563" s="4"/>
      <c r="ES563" s="4"/>
      <c r="ET563" s="4"/>
      <c r="EU563" s="4"/>
      <c r="EV563" s="4"/>
      <c r="EW563" s="4"/>
      <c r="EX563" s="4"/>
      <c r="EY563" s="4"/>
      <c r="EZ563" s="4"/>
      <c r="FA563" s="4"/>
      <c r="FB563" s="4"/>
      <c r="FC563" s="4"/>
      <c r="FD563" s="4"/>
      <c r="FE563" s="4"/>
      <c r="FF563" s="4"/>
      <c r="FG563" s="4"/>
      <c r="FH563" s="4"/>
      <c r="FI563" s="4"/>
      <c r="FJ563" s="4"/>
      <c r="FK563" s="4"/>
      <c r="FL563" s="4"/>
      <c r="FM563" s="4"/>
      <c r="FN563" s="4"/>
      <c r="FO563" s="4"/>
      <c r="FP563" s="4"/>
      <c r="FQ563" s="4"/>
      <c r="FR563" s="4"/>
      <c r="FS563" s="4"/>
      <c r="FT563" s="4"/>
      <c r="FU563" s="4"/>
      <c r="FV563" s="4"/>
      <c r="FW563" s="4"/>
      <c r="FX563" s="4"/>
      <c r="FY563" s="4"/>
      <c r="FZ563" s="4"/>
      <c r="GA563" s="4"/>
      <c r="GB563" s="4"/>
      <c r="GC563" s="4"/>
      <c r="GD563" s="4"/>
      <c r="GE563" s="4"/>
      <c r="GF563" s="4"/>
      <c r="GG563" s="4"/>
      <c r="GH563" s="4"/>
      <c r="GI563" s="4"/>
      <c r="GJ563" s="4"/>
      <c r="GK563" s="4"/>
      <c r="GL563" s="4"/>
      <c r="GM563" s="4"/>
      <c r="GN563" s="4"/>
      <c r="GO563" s="4"/>
      <c r="GP563" s="4"/>
      <c r="GQ563" s="4"/>
      <c r="GR563" s="4"/>
      <c r="GS563" s="4"/>
      <c r="GT563" s="4"/>
      <c r="GU563" s="4"/>
      <c r="GV563" s="4"/>
      <c r="GW563" s="4"/>
      <c r="GX563" s="4"/>
      <c r="GY563" s="4"/>
      <c r="GZ563" s="4"/>
      <c r="HA563" s="4"/>
      <c r="HB563" s="4"/>
      <c r="HC563" s="4"/>
      <c r="HD563" s="4"/>
      <c r="HE563" s="4"/>
      <c r="HF563" s="4"/>
      <c r="HG563" s="4"/>
      <c r="HH563" s="4"/>
      <c r="HI563" s="4"/>
      <c r="HJ563" s="4"/>
    </row>
    <row r="564" spans="1:218" hidden="1">
      <c r="A564" t="s">
        <v>2875</v>
      </c>
      <c r="B564" t="s">
        <v>2876</v>
      </c>
      <c r="C564" t="s">
        <v>505</v>
      </c>
      <c r="D564" t="s">
        <v>2877</v>
      </c>
      <c r="E564" t="s">
        <v>2878</v>
      </c>
      <c r="F564" s="3">
        <v>1</v>
      </c>
      <c r="G564" s="12">
        <f t="shared" si="16"/>
        <v>2.5299999999999998</v>
      </c>
      <c r="H564" s="12" t="e">
        <f t="shared" si="17"/>
        <v>#NUM!</v>
      </c>
      <c r="I564" s="3">
        <v>2.5249999999999999</v>
      </c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>
        <v>2.5299999999999998</v>
      </c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  <c r="DQ564" s="4"/>
      <c r="DR564" s="4"/>
      <c r="DS564" s="4"/>
      <c r="DT564" s="4"/>
      <c r="DU564" s="4"/>
      <c r="DV564" s="4"/>
      <c r="DW564" s="4"/>
      <c r="DX564" s="4"/>
      <c r="DY564" s="4"/>
      <c r="DZ564" s="4"/>
      <c r="EA564" s="4"/>
      <c r="EB564" s="4"/>
      <c r="EC564" s="4"/>
      <c r="ED564" s="4"/>
      <c r="EE564" s="4"/>
      <c r="EF564" s="4"/>
      <c r="EG564" s="4"/>
      <c r="EH564" s="4"/>
      <c r="EI564" s="4"/>
      <c r="EJ564" s="4"/>
      <c r="EK564" s="4"/>
      <c r="EL564" s="4"/>
      <c r="EM564" s="4"/>
      <c r="EN564" s="4"/>
      <c r="EO564" s="4"/>
      <c r="EP564" s="4"/>
      <c r="EQ564" s="4"/>
      <c r="ER564" s="4"/>
      <c r="ES564" s="4"/>
      <c r="ET564" s="4"/>
      <c r="EU564" s="4"/>
      <c r="EV564" s="4"/>
      <c r="EW564" s="4"/>
      <c r="EX564" s="4"/>
      <c r="EY564" s="4"/>
      <c r="EZ564" s="4"/>
      <c r="FA564" s="4"/>
      <c r="FB564" s="4"/>
      <c r="FC564" s="4"/>
      <c r="FD564" s="4"/>
      <c r="FE564" s="4"/>
      <c r="FF564" s="4"/>
      <c r="FG564" s="4"/>
      <c r="FH564" s="4"/>
      <c r="FI564" s="4"/>
      <c r="FJ564" s="4"/>
      <c r="FK564" s="4"/>
      <c r="FL564" s="4"/>
      <c r="FM564" s="4"/>
      <c r="FN564" s="4"/>
      <c r="FO564" s="4"/>
      <c r="FP564" s="4"/>
      <c r="FQ564" s="4"/>
      <c r="FR564" s="4"/>
      <c r="FS564" s="4"/>
      <c r="FT564" s="4"/>
      <c r="FU564" s="4"/>
      <c r="FV564" s="4"/>
      <c r="FW564" s="4"/>
      <c r="FX564" s="4"/>
      <c r="FY564" s="4"/>
      <c r="FZ564" s="4"/>
      <c r="GA564" s="4"/>
      <c r="GB564" s="4"/>
      <c r="GC564" s="4"/>
      <c r="GD564" s="4"/>
      <c r="GE564" s="4"/>
      <c r="GF564" s="4"/>
      <c r="GG564" s="4"/>
      <c r="GH564" s="4"/>
      <c r="GI564" s="4"/>
      <c r="GJ564" s="4"/>
      <c r="GK564" s="4"/>
      <c r="GL564" s="4"/>
      <c r="GM564" s="4"/>
      <c r="GN564" s="4"/>
      <c r="GO564" s="4"/>
      <c r="GP564" s="4"/>
      <c r="GQ564" s="4"/>
      <c r="GR564" s="4"/>
      <c r="GS564" s="4"/>
      <c r="GT564" s="4"/>
      <c r="GU564" s="4"/>
      <c r="GV564" s="4"/>
      <c r="GW564" s="4"/>
      <c r="GX564" s="4"/>
      <c r="GY564" s="4"/>
      <c r="GZ564" s="4"/>
      <c r="HA564" s="4"/>
      <c r="HB564" s="4"/>
      <c r="HC564" s="4"/>
      <c r="HD564" s="4"/>
      <c r="HE564" s="4"/>
      <c r="HF564" s="4"/>
      <c r="HG564" s="4"/>
      <c r="HH564" s="4"/>
      <c r="HI564" s="4"/>
      <c r="HJ564" s="4"/>
    </row>
    <row r="565" spans="1:218" hidden="1">
      <c r="A565" t="s">
        <v>2224</v>
      </c>
      <c r="B565" t="s">
        <v>2225</v>
      </c>
      <c r="C565" t="s">
        <v>826</v>
      </c>
      <c r="D565" t="s">
        <v>2226</v>
      </c>
      <c r="E565" t="s">
        <v>2227</v>
      </c>
      <c r="F565" s="3">
        <v>1</v>
      </c>
      <c r="G565" s="12">
        <f t="shared" si="16"/>
        <v>4.28</v>
      </c>
      <c r="H565" s="12" t="e">
        <f t="shared" si="17"/>
        <v>#NUM!</v>
      </c>
      <c r="I565" s="3">
        <v>4.2773699999999986</v>
      </c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  <c r="DQ565" s="4"/>
      <c r="DR565" s="4"/>
      <c r="DS565" s="4"/>
      <c r="DT565" s="4"/>
      <c r="DU565" s="4"/>
      <c r="DV565" s="4"/>
      <c r="DW565" s="4"/>
      <c r="DX565" s="4"/>
      <c r="DY565" s="4"/>
      <c r="DZ565" s="4"/>
      <c r="EA565" s="4"/>
      <c r="EB565" s="4"/>
      <c r="EC565" s="4"/>
      <c r="ED565" s="4"/>
      <c r="EE565" s="4"/>
      <c r="EF565" s="4"/>
      <c r="EG565" s="4"/>
      <c r="EH565" s="4"/>
      <c r="EI565" s="4"/>
      <c r="EJ565" s="4"/>
      <c r="EK565" s="4"/>
      <c r="EL565" s="4"/>
      <c r="EM565" s="4"/>
      <c r="EN565" s="4"/>
      <c r="EO565" s="4"/>
      <c r="EP565" s="4"/>
      <c r="EQ565" s="4"/>
      <c r="ER565" s="4"/>
      <c r="ES565" s="4"/>
      <c r="ET565" s="4"/>
      <c r="EU565" s="4"/>
      <c r="EV565" s="4"/>
      <c r="EW565" s="4"/>
      <c r="EX565" s="4"/>
      <c r="EY565" s="4"/>
      <c r="EZ565" s="4"/>
      <c r="FA565" s="4"/>
      <c r="FB565" s="4"/>
      <c r="FC565" s="4"/>
      <c r="FD565" s="4"/>
      <c r="FE565" s="4"/>
      <c r="FF565" s="4"/>
      <c r="FG565" s="4"/>
      <c r="FH565" s="4"/>
      <c r="FI565" s="4"/>
      <c r="FJ565" s="4"/>
      <c r="FK565" s="4"/>
      <c r="FL565" s="4"/>
      <c r="FM565" s="4"/>
      <c r="FN565" s="4"/>
      <c r="FO565" s="4"/>
      <c r="FP565" s="4"/>
      <c r="FQ565" s="4"/>
      <c r="FR565" s="4"/>
      <c r="FS565" s="4"/>
      <c r="FT565" s="4"/>
      <c r="FU565" s="4"/>
      <c r="FV565" s="4"/>
      <c r="FW565" s="4"/>
      <c r="FX565" s="4"/>
      <c r="FY565" s="4"/>
      <c r="FZ565" s="4"/>
      <c r="GA565" s="4"/>
      <c r="GB565" s="4"/>
      <c r="GC565" s="4"/>
      <c r="GD565" s="4"/>
      <c r="GE565" s="4"/>
      <c r="GF565" s="4"/>
      <c r="GG565" s="4"/>
      <c r="GH565" s="4"/>
      <c r="GI565" s="4"/>
      <c r="GJ565" s="4"/>
      <c r="GK565" s="4"/>
      <c r="GL565" s="4"/>
      <c r="GM565" s="4"/>
      <c r="GN565" s="4"/>
      <c r="GO565" s="4"/>
      <c r="GP565" s="4"/>
      <c r="GQ565" s="4"/>
      <c r="GR565" s="4"/>
      <c r="GS565" s="4"/>
      <c r="GT565" s="4"/>
      <c r="GU565" s="4"/>
      <c r="GV565" s="4"/>
      <c r="GW565" s="4"/>
      <c r="GX565" s="4"/>
      <c r="GY565" s="4"/>
      <c r="GZ565" s="4"/>
      <c r="HA565" s="4"/>
      <c r="HB565" s="4"/>
      <c r="HC565" s="4"/>
      <c r="HD565" s="4"/>
      <c r="HE565" s="4">
        <v>4.28</v>
      </c>
      <c r="HF565" s="4"/>
      <c r="HG565" s="4"/>
      <c r="HH565" s="4"/>
      <c r="HI565" s="4"/>
      <c r="HJ565" s="4"/>
    </row>
    <row r="566" spans="1:218" hidden="1">
      <c r="A566" t="s">
        <v>2787</v>
      </c>
      <c r="B566" t="s">
        <v>2788</v>
      </c>
      <c r="C566" t="s">
        <v>505</v>
      </c>
      <c r="D566" t="s">
        <v>2789</v>
      </c>
      <c r="E566" t="s">
        <v>2790</v>
      </c>
      <c r="F566" s="3">
        <v>1</v>
      </c>
      <c r="G566" s="12">
        <f t="shared" si="16"/>
        <v>2.85</v>
      </c>
      <c r="H566" s="12" t="e">
        <f t="shared" si="17"/>
        <v>#NUM!</v>
      </c>
      <c r="I566" s="3">
        <v>2.8549699999999998</v>
      </c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>
        <v>2.85</v>
      </c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  <c r="DQ566" s="4"/>
      <c r="DR566" s="4"/>
      <c r="DS566" s="4"/>
      <c r="DT566" s="4"/>
      <c r="DU566" s="4"/>
      <c r="DV566" s="4"/>
      <c r="DW566" s="4"/>
      <c r="DX566" s="4"/>
      <c r="DY566" s="4"/>
      <c r="DZ566" s="4"/>
      <c r="EA566" s="4"/>
      <c r="EB566" s="4"/>
      <c r="EC566" s="4"/>
      <c r="ED566" s="4"/>
      <c r="EE566" s="4"/>
      <c r="EF566" s="4"/>
      <c r="EG566" s="4"/>
      <c r="EH566" s="4"/>
      <c r="EI566" s="4"/>
      <c r="EJ566" s="4"/>
      <c r="EK566" s="4"/>
      <c r="EL566" s="4"/>
      <c r="EM566" s="4"/>
      <c r="EN566" s="4"/>
      <c r="EO566" s="4"/>
      <c r="EP566" s="4"/>
      <c r="EQ566" s="4"/>
      <c r="ER566" s="4"/>
      <c r="ES566" s="4"/>
      <c r="ET566" s="4"/>
      <c r="EU566" s="4"/>
      <c r="EV566" s="4"/>
      <c r="EW566" s="4"/>
      <c r="EX566" s="4"/>
      <c r="EY566" s="4"/>
      <c r="EZ566" s="4"/>
      <c r="FA566" s="4"/>
      <c r="FB566" s="4"/>
      <c r="FC566" s="4"/>
      <c r="FD566" s="4"/>
      <c r="FE566" s="4"/>
      <c r="FF566" s="4"/>
      <c r="FG566" s="4"/>
      <c r="FH566" s="4"/>
      <c r="FI566" s="4"/>
      <c r="FJ566" s="4"/>
      <c r="FK566" s="4"/>
      <c r="FL566" s="4"/>
      <c r="FM566" s="4"/>
      <c r="FN566" s="4"/>
      <c r="FO566" s="4"/>
      <c r="FP566" s="4"/>
      <c r="FQ566" s="4"/>
      <c r="FR566" s="4"/>
      <c r="FS566" s="4"/>
      <c r="FT566" s="4"/>
      <c r="FU566" s="4"/>
      <c r="FV566" s="4"/>
      <c r="FW566" s="4"/>
      <c r="FX566" s="4"/>
      <c r="FY566" s="4"/>
      <c r="FZ566" s="4"/>
      <c r="GA566" s="4"/>
      <c r="GB566" s="4"/>
      <c r="GC566" s="4"/>
      <c r="GD566" s="4"/>
      <c r="GE566" s="4"/>
      <c r="GF566" s="4"/>
      <c r="GG566" s="4"/>
      <c r="GH566" s="4"/>
      <c r="GI566" s="4"/>
      <c r="GJ566" s="4"/>
      <c r="GK566" s="4"/>
      <c r="GL566" s="4"/>
      <c r="GM566" s="4"/>
      <c r="GN566" s="4"/>
      <c r="GO566" s="4"/>
      <c r="GP566" s="4"/>
      <c r="GQ566" s="4"/>
      <c r="GR566" s="4"/>
      <c r="GS566" s="4"/>
      <c r="GT566" s="4"/>
      <c r="GU566" s="4"/>
      <c r="GV566" s="4"/>
      <c r="GW566" s="4"/>
      <c r="GX566" s="4"/>
      <c r="GY566" s="4"/>
      <c r="GZ566" s="4"/>
      <c r="HA566" s="4"/>
      <c r="HB566" s="4"/>
      <c r="HC566" s="4"/>
      <c r="HD566" s="4"/>
      <c r="HE566" s="4"/>
      <c r="HF566" s="4"/>
      <c r="HG566" s="4"/>
      <c r="HH566" s="4"/>
      <c r="HI566" s="4"/>
      <c r="HJ566" s="4"/>
    </row>
    <row r="567" spans="1:218" hidden="1">
      <c r="A567" t="s">
        <v>1669</v>
      </c>
      <c r="B567" t="s">
        <v>1670</v>
      </c>
      <c r="C567" t="s">
        <v>1055</v>
      </c>
      <c r="D567" t="s">
        <v>1671</v>
      </c>
      <c r="E567" t="s">
        <v>1672</v>
      </c>
      <c r="F567" s="3">
        <v>1</v>
      </c>
      <c r="G567" s="12">
        <f t="shared" si="16"/>
        <v>11.11</v>
      </c>
      <c r="H567" s="12" t="e">
        <f t="shared" si="17"/>
        <v>#NUM!</v>
      </c>
      <c r="I567" s="3">
        <v>11.106849499999999</v>
      </c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>
        <v>11.11</v>
      </c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  <c r="DQ567" s="4"/>
      <c r="DR567" s="4"/>
      <c r="DS567" s="4"/>
      <c r="DT567" s="4"/>
      <c r="DU567" s="4"/>
      <c r="DV567" s="4"/>
      <c r="DW567" s="4"/>
      <c r="DX567" s="4"/>
      <c r="DY567" s="4"/>
      <c r="DZ567" s="4"/>
      <c r="EA567" s="4"/>
      <c r="EB567" s="4"/>
      <c r="EC567" s="4"/>
      <c r="ED567" s="4"/>
      <c r="EE567" s="4"/>
      <c r="EF567" s="4"/>
      <c r="EG567" s="4"/>
      <c r="EH567" s="4"/>
      <c r="EI567" s="4"/>
      <c r="EJ567" s="4"/>
      <c r="EK567" s="4"/>
      <c r="EL567" s="4"/>
      <c r="EM567" s="4"/>
      <c r="EN567" s="4"/>
      <c r="EO567" s="4"/>
      <c r="EP567" s="4"/>
      <c r="EQ567" s="4"/>
      <c r="ER567" s="4"/>
      <c r="ES567" s="4"/>
      <c r="ET567" s="4"/>
      <c r="EU567" s="4"/>
      <c r="EV567" s="4"/>
      <c r="EW567" s="4"/>
      <c r="EX567" s="4"/>
      <c r="EY567" s="4"/>
      <c r="EZ567" s="4"/>
      <c r="FA567" s="4"/>
      <c r="FB567" s="4"/>
      <c r="FC567" s="4"/>
      <c r="FD567" s="4"/>
      <c r="FE567" s="4"/>
      <c r="FF567" s="4"/>
      <c r="FG567" s="4"/>
      <c r="FH567" s="4"/>
      <c r="FI567" s="4"/>
      <c r="FJ567" s="4"/>
      <c r="FK567" s="4"/>
      <c r="FL567" s="4"/>
      <c r="FM567" s="4"/>
      <c r="FN567" s="4"/>
      <c r="FO567" s="4"/>
      <c r="FP567" s="4"/>
      <c r="FQ567" s="4"/>
      <c r="FR567" s="4"/>
      <c r="FS567" s="4"/>
      <c r="FT567" s="4"/>
      <c r="FU567" s="4"/>
      <c r="FV567" s="4"/>
      <c r="FW567" s="4"/>
      <c r="FX567" s="4"/>
      <c r="FY567" s="4"/>
      <c r="FZ567" s="4"/>
      <c r="GA567" s="4"/>
      <c r="GB567" s="4"/>
      <c r="GC567" s="4"/>
      <c r="GD567" s="4"/>
      <c r="GE567" s="4"/>
      <c r="GF567" s="4"/>
      <c r="GG567" s="4"/>
      <c r="GH567" s="4"/>
      <c r="GI567" s="4"/>
      <c r="GJ567" s="4"/>
      <c r="GK567" s="4"/>
      <c r="GL567" s="4"/>
      <c r="GM567" s="4"/>
      <c r="GN567" s="4"/>
      <c r="GO567" s="4"/>
      <c r="GP567" s="4"/>
      <c r="GQ567" s="4"/>
      <c r="GR567" s="4"/>
      <c r="GS567" s="4"/>
      <c r="GT567" s="4"/>
      <c r="GU567" s="4"/>
      <c r="GV567" s="4"/>
      <c r="GW567" s="4"/>
      <c r="GX567" s="4"/>
      <c r="GY567" s="4"/>
      <c r="GZ567" s="4"/>
      <c r="HA567" s="4"/>
      <c r="HB567" s="4"/>
      <c r="HC567" s="4"/>
      <c r="HD567" s="4"/>
      <c r="HE567" s="4"/>
      <c r="HF567" s="4"/>
      <c r="HG567" s="4"/>
      <c r="HH567" s="4"/>
      <c r="HI567" s="4"/>
      <c r="HJ567" s="4"/>
    </row>
    <row r="568" spans="1:218" hidden="1">
      <c r="A568" t="s">
        <v>2571</v>
      </c>
      <c r="B568" t="s">
        <v>2572</v>
      </c>
      <c r="C568" t="s">
        <v>792</v>
      </c>
      <c r="D568" t="s">
        <v>2573</v>
      </c>
      <c r="E568" t="s">
        <v>2574</v>
      </c>
      <c r="F568" s="3">
        <v>1</v>
      </c>
      <c r="G568" s="12">
        <f t="shared" si="16"/>
        <v>3.47</v>
      </c>
      <c r="H568" s="12" t="e">
        <f t="shared" si="17"/>
        <v>#NUM!</v>
      </c>
      <c r="I568" s="3">
        <v>3.4701900000000001</v>
      </c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>
        <v>3.47</v>
      </c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  <c r="DQ568" s="4"/>
      <c r="DR568" s="4"/>
      <c r="DS568" s="4"/>
      <c r="DT568" s="4"/>
      <c r="DU568" s="4"/>
      <c r="DV568" s="4"/>
      <c r="DW568" s="4"/>
      <c r="DX568" s="4"/>
      <c r="DY568" s="4"/>
      <c r="DZ568" s="4"/>
      <c r="EA568" s="4"/>
      <c r="EB568" s="4"/>
      <c r="EC568" s="4"/>
      <c r="ED568" s="4"/>
      <c r="EE568" s="4"/>
      <c r="EF568" s="4"/>
      <c r="EG568" s="4"/>
      <c r="EH568" s="4"/>
      <c r="EI568" s="4"/>
      <c r="EJ568" s="4"/>
      <c r="EK568" s="4"/>
      <c r="EL568" s="4"/>
      <c r="EM568" s="4"/>
      <c r="EN568" s="4"/>
      <c r="EO568" s="4"/>
      <c r="EP568" s="4"/>
      <c r="EQ568" s="4"/>
      <c r="ER568" s="4"/>
      <c r="ES568" s="4"/>
      <c r="ET568" s="4"/>
      <c r="EU568" s="4"/>
      <c r="EV568" s="4"/>
      <c r="EW568" s="4"/>
      <c r="EX568" s="4"/>
      <c r="EY568" s="4"/>
      <c r="EZ568" s="4"/>
      <c r="FA568" s="4"/>
      <c r="FB568" s="4"/>
      <c r="FC568" s="4"/>
      <c r="FD568" s="4"/>
      <c r="FE568" s="4"/>
      <c r="FF568" s="4"/>
      <c r="FG568" s="4"/>
      <c r="FH568" s="4"/>
      <c r="FI568" s="4"/>
      <c r="FJ568" s="4"/>
      <c r="FK568" s="4"/>
      <c r="FL568" s="4"/>
      <c r="FM568" s="4"/>
      <c r="FN568" s="4"/>
      <c r="FO568" s="4"/>
      <c r="FP568" s="4"/>
      <c r="FQ568" s="4"/>
      <c r="FR568" s="4"/>
      <c r="FS568" s="4"/>
      <c r="FT568" s="4"/>
      <c r="FU568" s="4"/>
      <c r="FV568" s="4"/>
      <c r="FW568" s="4"/>
      <c r="FX568" s="4"/>
      <c r="FY568" s="4"/>
      <c r="FZ568" s="4"/>
      <c r="GA568" s="4"/>
      <c r="GB568" s="4"/>
      <c r="GC568" s="4"/>
      <c r="GD568" s="4"/>
      <c r="GE568" s="4"/>
      <c r="GF568" s="4"/>
      <c r="GG568" s="4"/>
      <c r="GH568" s="4"/>
      <c r="GI568" s="4"/>
      <c r="GJ568" s="4"/>
      <c r="GK568" s="4"/>
      <c r="GL568" s="4"/>
      <c r="GM568" s="4"/>
      <c r="GN568" s="4"/>
      <c r="GO568" s="4"/>
      <c r="GP568" s="4"/>
      <c r="GQ568" s="4"/>
      <c r="GR568" s="4"/>
      <c r="GS568" s="4"/>
      <c r="GT568" s="4"/>
      <c r="GU568" s="4"/>
      <c r="GV568" s="4"/>
      <c r="GW568" s="4"/>
      <c r="GX568" s="4"/>
      <c r="GY568" s="4"/>
      <c r="GZ568" s="4"/>
      <c r="HA568" s="4"/>
      <c r="HB568" s="4"/>
      <c r="HC568" s="4"/>
      <c r="HD568" s="4"/>
      <c r="HE568" s="4"/>
      <c r="HF568" s="4"/>
      <c r="HG568" s="4"/>
      <c r="HH568" s="4"/>
      <c r="HI568" s="4"/>
      <c r="HJ568" s="4"/>
    </row>
    <row r="569" spans="1:218" hidden="1">
      <c r="A569" t="s">
        <v>2726</v>
      </c>
      <c r="B569" t="s">
        <v>2727</v>
      </c>
      <c r="C569" t="s">
        <v>443</v>
      </c>
      <c r="D569" t="s">
        <v>2728</v>
      </c>
      <c r="E569" t="s">
        <v>2729</v>
      </c>
      <c r="F569" s="3">
        <v>1</v>
      </c>
      <c r="G569" s="12">
        <f t="shared" si="16"/>
        <v>3.03</v>
      </c>
      <c r="H569" s="12" t="e">
        <f t="shared" si="17"/>
        <v>#NUM!</v>
      </c>
      <c r="I569" s="3">
        <v>3.0269401</v>
      </c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>
        <v>3.03</v>
      </c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  <c r="DQ569" s="4"/>
      <c r="DR569" s="4"/>
      <c r="DS569" s="4"/>
      <c r="DT569" s="4"/>
      <c r="DU569" s="4"/>
      <c r="DV569" s="4"/>
      <c r="DW569" s="4"/>
      <c r="DX569" s="4"/>
      <c r="DY569" s="4"/>
      <c r="DZ569" s="4"/>
      <c r="EA569" s="4"/>
      <c r="EB569" s="4"/>
      <c r="EC569" s="4"/>
      <c r="ED569" s="4"/>
      <c r="EE569" s="4"/>
      <c r="EF569" s="4"/>
      <c r="EG569" s="4"/>
      <c r="EH569" s="4"/>
      <c r="EI569" s="4"/>
      <c r="EJ569" s="4"/>
      <c r="EK569" s="4"/>
      <c r="EL569" s="4"/>
      <c r="EM569" s="4"/>
      <c r="EN569" s="4"/>
      <c r="EO569" s="4"/>
      <c r="EP569" s="4"/>
      <c r="EQ569" s="4"/>
      <c r="ER569" s="4"/>
      <c r="ES569" s="4"/>
      <c r="ET569" s="4"/>
      <c r="EU569" s="4"/>
      <c r="EV569" s="4"/>
      <c r="EW569" s="4"/>
      <c r="EX569" s="4"/>
      <c r="EY569" s="4"/>
      <c r="EZ569" s="4"/>
      <c r="FA569" s="4"/>
      <c r="FB569" s="4"/>
      <c r="FC569" s="4"/>
      <c r="FD569" s="4"/>
      <c r="FE569" s="4"/>
      <c r="FF569" s="4"/>
      <c r="FG569" s="4"/>
      <c r="FH569" s="4"/>
      <c r="FI569" s="4"/>
      <c r="FJ569" s="4"/>
      <c r="FK569" s="4"/>
      <c r="FL569" s="4"/>
      <c r="FM569" s="4"/>
      <c r="FN569" s="4"/>
      <c r="FO569" s="4"/>
      <c r="FP569" s="4"/>
      <c r="FQ569" s="4"/>
      <c r="FR569" s="4"/>
      <c r="FS569" s="4"/>
      <c r="FT569" s="4"/>
      <c r="FU569" s="4"/>
      <c r="FV569" s="4"/>
      <c r="FW569" s="4"/>
      <c r="FX569" s="4"/>
      <c r="FY569" s="4"/>
      <c r="FZ569" s="4"/>
      <c r="GA569" s="4"/>
      <c r="GB569" s="4"/>
      <c r="GC569" s="4"/>
      <c r="GD569" s="4"/>
      <c r="GE569" s="4"/>
      <c r="GF569" s="4"/>
      <c r="GG569" s="4"/>
      <c r="GH569" s="4"/>
      <c r="GI569" s="4"/>
      <c r="GJ569" s="4"/>
      <c r="GK569" s="4"/>
      <c r="GL569" s="4"/>
      <c r="GM569" s="4"/>
      <c r="GN569" s="4"/>
      <c r="GO569" s="4"/>
      <c r="GP569" s="4"/>
      <c r="GQ569" s="4"/>
      <c r="GR569" s="4"/>
      <c r="GS569" s="4"/>
      <c r="GT569" s="4"/>
      <c r="GU569" s="4"/>
      <c r="GV569" s="4"/>
      <c r="GW569" s="4"/>
      <c r="GX569" s="4"/>
      <c r="GY569" s="4"/>
      <c r="GZ569" s="4"/>
      <c r="HA569" s="4"/>
      <c r="HB569" s="4"/>
      <c r="HC569" s="4"/>
      <c r="HD569" s="4"/>
      <c r="HE569" s="4"/>
      <c r="HF569" s="4"/>
      <c r="HG569" s="4"/>
      <c r="HH569" s="4"/>
      <c r="HI569" s="4"/>
      <c r="HJ569" s="4"/>
    </row>
    <row r="570" spans="1:218" hidden="1">
      <c r="A570" t="s">
        <v>2995</v>
      </c>
      <c r="B570" t="s">
        <v>2996</v>
      </c>
      <c r="C570" t="s">
        <v>2997</v>
      </c>
      <c r="D570" t="s">
        <v>2998</v>
      </c>
      <c r="E570" t="s">
        <v>1641</v>
      </c>
      <c r="F570" s="3">
        <v>1</v>
      </c>
      <c r="G570" s="12">
        <f t="shared" si="16"/>
        <v>2.2200000000000002</v>
      </c>
      <c r="H570" s="12" t="e">
        <f t="shared" si="17"/>
        <v>#NUM!</v>
      </c>
      <c r="I570" s="3">
        <v>2.2187700000000001</v>
      </c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  <c r="DQ570" s="4"/>
      <c r="DR570" s="4"/>
      <c r="DS570" s="4"/>
      <c r="DT570" s="4"/>
      <c r="DU570" s="4"/>
      <c r="DV570" s="4"/>
      <c r="DW570" s="4"/>
      <c r="DX570" s="4"/>
      <c r="DY570" s="4"/>
      <c r="DZ570" s="4"/>
      <c r="EA570" s="4"/>
      <c r="EB570" s="4"/>
      <c r="EC570" s="4"/>
      <c r="ED570" s="4"/>
      <c r="EE570" s="4"/>
      <c r="EF570" s="4"/>
      <c r="EG570" s="4"/>
      <c r="EH570" s="4"/>
      <c r="EI570" s="4">
        <v>2.2200000000000002</v>
      </c>
      <c r="EJ570" s="4"/>
      <c r="EK570" s="4"/>
      <c r="EL570" s="4"/>
      <c r="EM570" s="4"/>
      <c r="EN570" s="4"/>
      <c r="EO570" s="4"/>
      <c r="EP570" s="4"/>
      <c r="EQ570" s="4"/>
      <c r="ER570" s="4"/>
      <c r="ES570" s="4"/>
      <c r="ET570" s="4"/>
      <c r="EU570" s="4"/>
      <c r="EV570" s="4"/>
      <c r="EW570" s="4"/>
      <c r="EX570" s="4"/>
      <c r="EY570" s="4"/>
      <c r="EZ570" s="4"/>
      <c r="FA570" s="4"/>
      <c r="FB570" s="4"/>
      <c r="FC570" s="4"/>
      <c r="FD570" s="4"/>
      <c r="FE570" s="4"/>
      <c r="FF570" s="4"/>
      <c r="FG570" s="4"/>
      <c r="FH570" s="4"/>
      <c r="FI570" s="4"/>
      <c r="FJ570" s="4"/>
      <c r="FK570" s="4"/>
      <c r="FL570" s="4"/>
      <c r="FM570" s="4"/>
      <c r="FN570" s="4"/>
      <c r="FO570" s="4"/>
      <c r="FP570" s="4"/>
      <c r="FQ570" s="4"/>
      <c r="FR570" s="4"/>
      <c r="FS570" s="4"/>
      <c r="FT570" s="4"/>
      <c r="FU570" s="4"/>
      <c r="FV570" s="4"/>
      <c r="FW570" s="4"/>
      <c r="FX570" s="4"/>
      <c r="FY570" s="4"/>
      <c r="FZ570" s="4"/>
      <c r="GA570" s="4"/>
      <c r="GB570" s="4"/>
      <c r="GC570" s="4"/>
      <c r="GD570" s="4"/>
      <c r="GE570" s="4"/>
      <c r="GF570" s="4"/>
      <c r="GG570" s="4"/>
      <c r="GH570" s="4"/>
      <c r="GI570" s="4"/>
      <c r="GJ570" s="4"/>
      <c r="GK570" s="4"/>
      <c r="GL570" s="4"/>
      <c r="GM570" s="4"/>
      <c r="GN570" s="4"/>
      <c r="GO570" s="4"/>
      <c r="GP570" s="4"/>
      <c r="GQ570" s="4"/>
      <c r="GR570" s="4"/>
      <c r="GS570" s="4"/>
      <c r="GT570" s="4"/>
      <c r="GU570" s="4"/>
      <c r="GV570" s="4"/>
      <c r="GW570" s="4"/>
      <c r="GX570" s="4"/>
      <c r="GY570" s="4"/>
      <c r="GZ570" s="4"/>
      <c r="HA570" s="4"/>
      <c r="HB570" s="4"/>
      <c r="HC570" s="4"/>
      <c r="HD570" s="4"/>
      <c r="HE570" s="4"/>
      <c r="HF570" s="4"/>
      <c r="HG570" s="4"/>
      <c r="HH570" s="4"/>
      <c r="HI570" s="4"/>
      <c r="HJ570" s="4"/>
    </row>
    <row r="571" spans="1:218" hidden="1">
      <c r="A571" t="s">
        <v>2987</v>
      </c>
      <c r="B571" t="s">
        <v>2988</v>
      </c>
      <c r="C571" t="s">
        <v>443</v>
      </c>
      <c r="D571" t="s">
        <v>2989</v>
      </c>
      <c r="E571" t="s">
        <v>2990</v>
      </c>
      <c r="F571" s="3">
        <v>1</v>
      </c>
      <c r="G571" s="12">
        <f t="shared" si="16"/>
        <v>2.25</v>
      </c>
      <c r="H571" s="12" t="e">
        <f t="shared" si="17"/>
        <v>#NUM!</v>
      </c>
      <c r="I571" s="3">
        <v>2.2459199999999999</v>
      </c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>
        <v>2.25</v>
      </c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  <c r="DQ571" s="4"/>
      <c r="DR571" s="4"/>
      <c r="DS571" s="4"/>
      <c r="DT571" s="4"/>
      <c r="DU571" s="4"/>
      <c r="DV571" s="4"/>
      <c r="DW571" s="4"/>
      <c r="DX571" s="4"/>
      <c r="DY571" s="4"/>
      <c r="DZ571" s="4"/>
      <c r="EA571" s="4"/>
      <c r="EB571" s="4"/>
      <c r="EC571" s="4"/>
      <c r="ED571" s="4"/>
      <c r="EE571" s="4"/>
      <c r="EF571" s="4"/>
      <c r="EG571" s="4"/>
      <c r="EH571" s="4"/>
      <c r="EI571" s="4"/>
      <c r="EJ571" s="4"/>
      <c r="EK571" s="4"/>
      <c r="EL571" s="4"/>
      <c r="EM571" s="4"/>
      <c r="EN571" s="4"/>
      <c r="EO571" s="4"/>
      <c r="EP571" s="4"/>
      <c r="EQ571" s="4"/>
      <c r="ER571" s="4"/>
      <c r="ES571" s="4"/>
      <c r="ET571" s="4"/>
      <c r="EU571" s="4"/>
      <c r="EV571" s="4"/>
      <c r="EW571" s="4"/>
      <c r="EX571" s="4"/>
      <c r="EY571" s="4"/>
      <c r="EZ571" s="4"/>
      <c r="FA571" s="4"/>
      <c r="FB571" s="4"/>
      <c r="FC571" s="4"/>
      <c r="FD571" s="4"/>
      <c r="FE571" s="4"/>
      <c r="FF571" s="4"/>
      <c r="FG571" s="4"/>
      <c r="FH571" s="4"/>
      <c r="FI571" s="4"/>
      <c r="FJ571" s="4"/>
      <c r="FK571" s="4"/>
      <c r="FL571" s="4"/>
      <c r="FM571" s="4"/>
      <c r="FN571" s="4"/>
      <c r="FO571" s="4"/>
      <c r="FP571" s="4"/>
      <c r="FQ571" s="4"/>
      <c r="FR571" s="4"/>
      <c r="FS571" s="4"/>
      <c r="FT571" s="4"/>
      <c r="FU571" s="4"/>
      <c r="FV571" s="4"/>
      <c r="FW571" s="4"/>
      <c r="FX571" s="4"/>
      <c r="FY571" s="4"/>
      <c r="FZ571" s="4"/>
      <c r="GA571" s="4"/>
      <c r="GB571" s="4"/>
      <c r="GC571" s="4"/>
      <c r="GD571" s="4"/>
      <c r="GE571" s="4"/>
      <c r="GF571" s="4"/>
      <c r="GG571" s="4"/>
      <c r="GH571" s="4"/>
      <c r="GI571" s="4"/>
      <c r="GJ571" s="4"/>
      <c r="GK571" s="4"/>
      <c r="GL571" s="4"/>
      <c r="GM571" s="4"/>
      <c r="GN571" s="4"/>
      <c r="GO571" s="4"/>
      <c r="GP571" s="4"/>
      <c r="GQ571" s="4"/>
      <c r="GR571" s="4"/>
      <c r="GS571" s="4"/>
      <c r="GT571" s="4"/>
      <c r="GU571" s="4"/>
      <c r="GV571" s="4"/>
      <c r="GW571" s="4"/>
      <c r="GX571" s="4"/>
      <c r="GY571" s="4"/>
      <c r="GZ571" s="4"/>
      <c r="HA571" s="4"/>
      <c r="HB571" s="4"/>
      <c r="HC571" s="4"/>
      <c r="HD571" s="4"/>
      <c r="HE571" s="4"/>
      <c r="HF571" s="4"/>
      <c r="HG571" s="4"/>
      <c r="HH571" s="4"/>
      <c r="HI571" s="4"/>
      <c r="HJ571" s="4"/>
    </row>
    <row r="572" spans="1:218" hidden="1">
      <c r="A572" t="s">
        <v>3003</v>
      </c>
      <c r="B572" t="s">
        <v>3004</v>
      </c>
      <c r="C572" t="s">
        <v>783</v>
      </c>
      <c r="D572" t="s">
        <v>3005</v>
      </c>
      <c r="E572" t="s">
        <v>3006</v>
      </c>
      <c r="F572" s="3">
        <v>1</v>
      </c>
      <c r="G572" s="12">
        <f t="shared" si="16"/>
        <v>2.2000000000000002</v>
      </c>
      <c r="H572" s="12" t="e">
        <f t="shared" si="17"/>
        <v>#NUM!</v>
      </c>
      <c r="I572" s="3">
        <v>2.2030699999999999</v>
      </c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>
        <v>2.2000000000000002</v>
      </c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  <c r="DQ572" s="4"/>
      <c r="DR572" s="4"/>
      <c r="DS572" s="4"/>
      <c r="DT572" s="4"/>
      <c r="DU572" s="4"/>
      <c r="DV572" s="4"/>
      <c r="DW572" s="4"/>
      <c r="DX572" s="4"/>
      <c r="DY572" s="4"/>
      <c r="DZ572" s="4"/>
      <c r="EA572" s="4"/>
      <c r="EB572" s="4"/>
      <c r="EC572" s="4"/>
      <c r="ED572" s="4"/>
      <c r="EE572" s="4"/>
      <c r="EF572" s="4"/>
      <c r="EG572" s="4"/>
      <c r="EH572" s="4"/>
      <c r="EI572" s="4"/>
      <c r="EJ572" s="4"/>
      <c r="EK572" s="4"/>
      <c r="EL572" s="4"/>
      <c r="EM572" s="4"/>
      <c r="EN572" s="4"/>
      <c r="EO572" s="4"/>
      <c r="EP572" s="4"/>
      <c r="EQ572" s="4"/>
      <c r="ER572" s="4"/>
      <c r="ES572" s="4"/>
      <c r="ET572" s="4"/>
      <c r="EU572" s="4"/>
      <c r="EV572" s="4"/>
      <c r="EW572" s="4"/>
      <c r="EX572" s="4"/>
      <c r="EY572" s="4"/>
      <c r="EZ572" s="4"/>
      <c r="FA572" s="4"/>
      <c r="FB572" s="4"/>
      <c r="FC572" s="4"/>
      <c r="FD572" s="4"/>
      <c r="FE572" s="4"/>
      <c r="FF572" s="4"/>
      <c r="FG572" s="4"/>
      <c r="FH572" s="4"/>
      <c r="FI572" s="4"/>
      <c r="FJ572" s="4"/>
      <c r="FK572" s="4"/>
      <c r="FL572" s="4"/>
      <c r="FM572" s="4"/>
      <c r="FN572" s="4"/>
      <c r="FO572" s="4"/>
      <c r="FP572" s="4"/>
      <c r="FQ572" s="4"/>
      <c r="FR572" s="4"/>
      <c r="FS572" s="4"/>
      <c r="FT572" s="4"/>
      <c r="FU572" s="4"/>
      <c r="FV572" s="4"/>
      <c r="FW572" s="4"/>
      <c r="FX572" s="4"/>
      <c r="FY572" s="4"/>
      <c r="FZ572" s="4"/>
      <c r="GA572" s="4"/>
      <c r="GB572" s="4"/>
      <c r="GC572" s="4"/>
      <c r="GD572" s="4"/>
      <c r="GE572" s="4"/>
      <c r="GF572" s="4"/>
      <c r="GG572" s="4"/>
      <c r="GH572" s="4"/>
      <c r="GI572" s="4"/>
      <c r="GJ572" s="4"/>
      <c r="GK572" s="4"/>
      <c r="GL572" s="4"/>
      <c r="GM572" s="4"/>
      <c r="GN572" s="4"/>
      <c r="GO572" s="4"/>
      <c r="GP572" s="4"/>
      <c r="GQ572" s="4"/>
      <c r="GR572" s="4"/>
      <c r="GS572" s="4"/>
      <c r="GT572" s="4"/>
      <c r="GU572" s="4"/>
      <c r="GV572" s="4"/>
      <c r="GW572" s="4"/>
      <c r="GX572" s="4"/>
      <c r="GY572" s="4"/>
      <c r="GZ572" s="4"/>
      <c r="HA572" s="4"/>
      <c r="HB572" s="4"/>
      <c r="HC572" s="4"/>
      <c r="HD572" s="4"/>
      <c r="HE572" s="4"/>
      <c r="HF572" s="4"/>
      <c r="HG572" s="4"/>
      <c r="HH572" s="4"/>
      <c r="HI572" s="4"/>
      <c r="HJ572" s="4"/>
    </row>
    <row r="573" spans="1:218" hidden="1">
      <c r="A573" t="s">
        <v>2561</v>
      </c>
      <c r="B573" t="s">
        <v>2562</v>
      </c>
      <c r="C573" t="s">
        <v>505</v>
      </c>
      <c r="D573" t="s">
        <v>2563</v>
      </c>
      <c r="E573" t="s">
        <v>2564</v>
      </c>
      <c r="F573" s="3">
        <v>1</v>
      </c>
      <c r="G573" s="12">
        <f t="shared" si="16"/>
        <v>3.48</v>
      </c>
      <c r="H573" s="12" t="e">
        <f t="shared" si="17"/>
        <v>#NUM!</v>
      </c>
      <c r="I573" s="3">
        <v>3.4763000000000002</v>
      </c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>
        <v>3.48</v>
      </c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  <c r="DQ573" s="4"/>
      <c r="DR573" s="4"/>
      <c r="DS573" s="4"/>
      <c r="DT573" s="4"/>
      <c r="DU573" s="4"/>
      <c r="DV573" s="4"/>
      <c r="DW573" s="4"/>
      <c r="DX573" s="4"/>
      <c r="DY573" s="4"/>
      <c r="DZ573" s="4"/>
      <c r="EA573" s="4"/>
      <c r="EB573" s="4"/>
      <c r="EC573" s="4"/>
      <c r="ED573" s="4"/>
      <c r="EE573" s="4"/>
      <c r="EF573" s="4"/>
      <c r="EG573" s="4"/>
      <c r="EH573" s="4"/>
      <c r="EI573" s="4"/>
      <c r="EJ573" s="4"/>
      <c r="EK573" s="4"/>
      <c r="EL573" s="4"/>
      <c r="EM573" s="4"/>
      <c r="EN573" s="4"/>
      <c r="EO573" s="4"/>
      <c r="EP573" s="4"/>
      <c r="EQ573" s="4"/>
      <c r="ER573" s="4"/>
      <c r="ES573" s="4"/>
      <c r="ET573" s="4"/>
      <c r="EU573" s="4"/>
      <c r="EV573" s="4"/>
      <c r="EW573" s="4"/>
      <c r="EX573" s="4"/>
      <c r="EY573" s="4"/>
      <c r="EZ573" s="4"/>
      <c r="FA573" s="4"/>
      <c r="FB573" s="4"/>
      <c r="FC573" s="4"/>
      <c r="FD573" s="4"/>
      <c r="FE573" s="4"/>
      <c r="FF573" s="4"/>
      <c r="FG573" s="4"/>
      <c r="FH573" s="4"/>
      <c r="FI573" s="4"/>
      <c r="FJ573" s="4"/>
      <c r="FK573" s="4"/>
      <c r="FL573" s="4"/>
      <c r="FM573" s="4"/>
      <c r="FN573" s="4"/>
      <c r="FO573" s="4"/>
      <c r="FP573" s="4"/>
      <c r="FQ573" s="4"/>
      <c r="FR573" s="4"/>
      <c r="FS573" s="4"/>
      <c r="FT573" s="4"/>
      <c r="FU573" s="4"/>
      <c r="FV573" s="4"/>
      <c r="FW573" s="4"/>
      <c r="FX573" s="4"/>
      <c r="FY573" s="4"/>
      <c r="FZ573" s="4"/>
      <c r="GA573" s="4"/>
      <c r="GB573" s="4"/>
      <c r="GC573" s="4"/>
      <c r="GD573" s="4"/>
      <c r="GE573" s="4"/>
      <c r="GF573" s="4"/>
      <c r="GG573" s="4"/>
      <c r="GH573" s="4"/>
      <c r="GI573" s="4"/>
      <c r="GJ573" s="4"/>
      <c r="GK573" s="4"/>
      <c r="GL573" s="4"/>
      <c r="GM573" s="4"/>
      <c r="GN573" s="4"/>
      <c r="GO573" s="4"/>
      <c r="GP573" s="4"/>
      <c r="GQ573" s="4"/>
      <c r="GR573" s="4"/>
      <c r="GS573" s="4"/>
      <c r="GT573" s="4"/>
      <c r="GU573" s="4"/>
      <c r="GV573" s="4"/>
      <c r="GW573" s="4"/>
      <c r="GX573" s="4"/>
      <c r="GY573" s="4"/>
      <c r="GZ573" s="4"/>
      <c r="HA573" s="4"/>
      <c r="HB573" s="4"/>
      <c r="HC573" s="4"/>
      <c r="HD573" s="4"/>
      <c r="HE573" s="4"/>
      <c r="HF573" s="4"/>
      <c r="HG573" s="4"/>
      <c r="HH573" s="4"/>
      <c r="HI573" s="4"/>
      <c r="HJ573" s="4"/>
    </row>
    <row r="574" spans="1:218" hidden="1">
      <c r="A574" t="s">
        <v>2543</v>
      </c>
      <c r="B574" t="s">
        <v>2544</v>
      </c>
      <c r="C574" t="s">
        <v>484</v>
      </c>
      <c r="D574" t="s">
        <v>2545</v>
      </c>
      <c r="E574" t="s">
        <v>2546</v>
      </c>
      <c r="F574" s="3">
        <v>1</v>
      </c>
      <c r="G574" s="12">
        <f t="shared" si="16"/>
        <v>3.54</v>
      </c>
      <c r="H574" s="12" t="e">
        <f t="shared" si="17"/>
        <v>#NUM!</v>
      </c>
      <c r="I574" s="3">
        <v>3.5409199999999998</v>
      </c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>
        <v>3.54</v>
      </c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  <c r="DQ574" s="4"/>
      <c r="DR574" s="4"/>
      <c r="DS574" s="4"/>
      <c r="DT574" s="4"/>
      <c r="DU574" s="4"/>
      <c r="DV574" s="4"/>
      <c r="DW574" s="4"/>
      <c r="DX574" s="4"/>
      <c r="DY574" s="4"/>
      <c r="DZ574" s="4"/>
      <c r="EA574" s="4"/>
      <c r="EB574" s="4"/>
      <c r="EC574" s="4"/>
      <c r="ED574" s="4"/>
      <c r="EE574" s="4"/>
      <c r="EF574" s="4"/>
      <c r="EG574" s="4"/>
      <c r="EH574" s="4"/>
      <c r="EI574" s="4"/>
      <c r="EJ574" s="4"/>
      <c r="EK574" s="4"/>
      <c r="EL574" s="4"/>
      <c r="EM574" s="4"/>
      <c r="EN574" s="4"/>
      <c r="EO574" s="4"/>
      <c r="EP574" s="4"/>
      <c r="EQ574" s="4"/>
      <c r="ER574" s="4"/>
      <c r="ES574" s="4"/>
      <c r="ET574" s="4"/>
      <c r="EU574" s="4"/>
      <c r="EV574" s="4"/>
      <c r="EW574" s="4"/>
      <c r="EX574" s="4"/>
      <c r="EY574" s="4"/>
      <c r="EZ574" s="4"/>
      <c r="FA574" s="4"/>
      <c r="FB574" s="4"/>
      <c r="FC574" s="4"/>
      <c r="FD574" s="4"/>
      <c r="FE574" s="4"/>
      <c r="FF574" s="4"/>
      <c r="FG574" s="4"/>
      <c r="FH574" s="4"/>
      <c r="FI574" s="4"/>
      <c r="FJ574" s="4"/>
      <c r="FK574" s="4"/>
      <c r="FL574" s="4"/>
      <c r="FM574" s="4"/>
      <c r="FN574" s="4"/>
      <c r="FO574" s="4"/>
      <c r="FP574" s="4"/>
      <c r="FQ574" s="4"/>
      <c r="FR574" s="4"/>
      <c r="FS574" s="4"/>
      <c r="FT574" s="4"/>
      <c r="FU574" s="4"/>
      <c r="FV574" s="4"/>
      <c r="FW574" s="4"/>
      <c r="FX574" s="4"/>
      <c r="FY574" s="4"/>
      <c r="FZ574" s="4"/>
      <c r="GA574" s="4"/>
      <c r="GB574" s="4"/>
      <c r="GC574" s="4"/>
      <c r="GD574" s="4"/>
      <c r="GE574" s="4"/>
      <c r="GF574" s="4"/>
      <c r="GG574" s="4"/>
      <c r="GH574" s="4"/>
      <c r="GI574" s="4"/>
      <c r="GJ574" s="4"/>
      <c r="GK574" s="4"/>
      <c r="GL574" s="4"/>
      <c r="GM574" s="4"/>
      <c r="GN574" s="4"/>
      <c r="GO574" s="4"/>
      <c r="GP574" s="4"/>
      <c r="GQ574" s="4"/>
      <c r="GR574" s="4"/>
      <c r="GS574" s="4"/>
      <c r="GT574" s="4"/>
      <c r="GU574" s="4"/>
      <c r="GV574" s="4"/>
      <c r="GW574" s="4"/>
      <c r="GX574" s="4"/>
      <c r="GY574" s="4"/>
      <c r="GZ574" s="4"/>
      <c r="HA574" s="4"/>
      <c r="HB574" s="4"/>
      <c r="HC574" s="4"/>
      <c r="HD574" s="4"/>
      <c r="HE574" s="4"/>
      <c r="HF574" s="4"/>
      <c r="HG574" s="4"/>
      <c r="HH574" s="4"/>
      <c r="HI574" s="4"/>
      <c r="HJ574" s="4"/>
    </row>
    <row r="575" spans="1:218" hidden="1">
      <c r="A575" t="s">
        <v>2365</v>
      </c>
      <c r="B575" t="s">
        <v>2366</v>
      </c>
      <c r="C575" t="s">
        <v>2367</v>
      </c>
      <c r="D575" t="s">
        <v>2368</v>
      </c>
      <c r="E575" t="s">
        <v>2369</v>
      </c>
      <c r="F575" s="3">
        <v>1</v>
      </c>
      <c r="G575" s="12">
        <f t="shared" si="16"/>
        <v>4</v>
      </c>
      <c r="H575" s="12" t="e">
        <f t="shared" si="17"/>
        <v>#NUM!</v>
      </c>
      <c r="I575" s="3">
        <v>3.9975000000000001</v>
      </c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>
        <v>4</v>
      </c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  <c r="DQ575" s="4"/>
      <c r="DR575" s="4"/>
      <c r="DS575" s="4"/>
      <c r="DT575" s="4"/>
      <c r="DU575" s="4"/>
      <c r="DV575" s="4"/>
      <c r="DW575" s="4"/>
      <c r="DX575" s="4"/>
      <c r="DY575" s="4"/>
      <c r="DZ575" s="4"/>
      <c r="EA575" s="4"/>
      <c r="EB575" s="4"/>
      <c r="EC575" s="4"/>
      <c r="ED575" s="4"/>
      <c r="EE575" s="4"/>
      <c r="EF575" s="4"/>
      <c r="EG575" s="4"/>
      <c r="EH575" s="4"/>
      <c r="EI575" s="4"/>
      <c r="EJ575" s="4"/>
      <c r="EK575" s="4"/>
      <c r="EL575" s="4"/>
      <c r="EM575" s="4"/>
      <c r="EN575" s="4"/>
      <c r="EO575" s="4"/>
      <c r="EP575" s="4"/>
      <c r="EQ575" s="4"/>
      <c r="ER575" s="4"/>
      <c r="ES575" s="4"/>
      <c r="ET575" s="4"/>
      <c r="EU575" s="4"/>
      <c r="EV575" s="4"/>
      <c r="EW575" s="4"/>
      <c r="EX575" s="4"/>
      <c r="EY575" s="4"/>
      <c r="EZ575" s="4"/>
      <c r="FA575" s="4"/>
      <c r="FB575" s="4"/>
      <c r="FC575" s="4"/>
      <c r="FD575" s="4"/>
      <c r="FE575" s="4"/>
      <c r="FF575" s="4"/>
      <c r="FG575" s="4"/>
      <c r="FH575" s="4"/>
      <c r="FI575" s="4"/>
      <c r="FJ575" s="4"/>
      <c r="FK575" s="4"/>
      <c r="FL575" s="4"/>
      <c r="FM575" s="4"/>
      <c r="FN575" s="4"/>
      <c r="FO575" s="4"/>
      <c r="FP575" s="4"/>
      <c r="FQ575" s="4"/>
      <c r="FR575" s="4"/>
      <c r="FS575" s="4"/>
      <c r="FT575" s="4"/>
      <c r="FU575" s="4"/>
      <c r="FV575" s="4"/>
      <c r="FW575" s="4"/>
      <c r="FX575" s="4"/>
      <c r="FY575" s="4"/>
      <c r="FZ575" s="4"/>
      <c r="GA575" s="4"/>
      <c r="GB575" s="4"/>
      <c r="GC575" s="4"/>
      <c r="GD575" s="4"/>
      <c r="GE575" s="4"/>
      <c r="GF575" s="4"/>
      <c r="GG575" s="4"/>
      <c r="GH575" s="4"/>
      <c r="GI575" s="4"/>
      <c r="GJ575" s="4"/>
      <c r="GK575" s="4"/>
      <c r="GL575" s="4"/>
      <c r="GM575" s="4"/>
      <c r="GN575" s="4"/>
      <c r="GO575" s="4"/>
      <c r="GP575" s="4"/>
      <c r="GQ575" s="4"/>
      <c r="GR575" s="4"/>
      <c r="GS575" s="4"/>
      <c r="GT575" s="4"/>
      <c r="GU575" s="4"/>
      <c r="GV575" s="4"/>
      <c r="GW575" s="4"/>
      <c r="GX575" s="4"/>
      <c r="GY575" s="4"/>
      <c r="GZ575" s="4"/>
      <c r="HA575" s="4"/>
      <c r="HB575" s="4"/>
      <c r="HC575" s="4"/>
      <c r="HD575" s="4"/>
      <c r="HE575" s="4"/>
      <c r="HF575" s="4"/>
      <c r="HG575" s="4"/>
      <c r="HH575" s="4"/>
      <c r="HI575" s="4"/>
      <c r="HJ575" s="4"/>
    </row>
    <row r="576" spans="1:218" hidden="1">
      <c r="A576" t="s">
        <v>3117</v>
      </c>
      <c r="B576" t="s">
        <v>3118</v>
      </c>
      <c r="C576" t="s">
        <v>850</v>
      </c>
      <c r="D576" t="s">
        <v>3119</v>
      </c>
      <c r="E576" t="s">
        <v>3120</v>
      </c>
      <c r="F576" s="3">
        <v>1</v>
      </c>
      <c r="G576" s="12">
        <f t="shared" si="16"/>
        <v>1.29</v>
      </c>
      <c r="H576" s="12" t="e">
        <f t="shared" si="17"/>
        <v>#NUM!</v>
      </c>
      <c r="I576" s="3">
        <v>1.2945800000000001</v>
      </c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>
        <v>1.29</v>
      </c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  <c r="DQ576" s="4"/>
      <c r="DR576" s="4"/>
      <c r="DS576" s="4"/>
      <c r="DT576" s="4"/>
      <c r="DU576" s="4"/>
      <c r="DV576" s="4"/>
      <c r="DW576" s="4"/>
      <c r="DX576" s="4"/>
      <c r="DY576" s="4"/>
      <c r="DZ576" s="4"/>
      <c r="EA576" s="4"/>
      <c r="EB576" s="4"/>
      <c r="EC576" s="4"/>
      <c r="ED576" s="4"/>
      <c r="EE576" s="4"/>
      <c r="EF576" s="4"/>
      <c r="EG576" s="4"/>
      <c r="EH576" s="4"/>
      <c r="EI576" s="4"/>
      <c r="EJ576" s="4"/>
      <c r="EK576" s="4"/>
      <c r="EL576" s="4"/>
      <c r="EM576" s="4"/>
      <c r="EN576" s="4"/>
      <c r="EO576" s="4"/>
      <c r="EP576" s="4"/>
      <c r="EQ576" s="4"/>
      <c r="ER576" s="4"/>
      <c r="ES576" s="4"/>
      <c r="ET576" s="4"/>
      <c r="EU576" s="4"/>
      <c r="EV576" s="4"/>
      <c r="EW576" s="4"/>
      <c r="EX576" s="4"/>
      <c r="EY576" s="4"/>
      <c r="EZ576" s="4"/>
      <c r="FA576" s="4"/>
      <c r="FB576" s="4"/>
      <c r="FC576" s="4"/>
      <c r="FD576" s="4"/>
      <c r="FE576" s="4"/>
      <c r="FF576" s="4"/>
      <c r="FG576" s="4"/>
      <c r="FH576" s="4"/>
      <c r="FI576" s="4"/>
      <c r="FJ576" s="4"/>
      <c r="FK576" s="4"/>
      <c r="FL576" s="4"/>
      <c r="FM576" s="4"/>
      <c r="FN576" s="4"/>
      <c r="FO576" s="4"/>
      <c r="FP576" s="4"/>
      <c r="FQ576" s="4"/>
      <c r="FR576" s="4"/>
      <c r="FS576" s="4"/>
      <c r="FT576" s="4"/>
      <c r="FU576" s="4"/>
      <c r="FV576" s="4"/>
      <c r="FW576" s="4"/>
      <c r="FX576" s="4"/>
      <c r="FY576" s="4"/>
      <c r="FZ576" s="4"/>
      <c r="GA576" s="4"/>
      <c r="GB576" s="4"/>
      <c r="GC576" s="4"/>
      <c r="GD576" s="4"/>
      <c r="GE576" s="4"/>
      <c r="GF576" s="4"/>
      <c r="GG576" s="4"/>
      <c r="GH576" s="4"/>
      <c r="GI576" s="4"/>
      <c r="GJ576" s="4"/>
      <c r="GK576" s="4"/>
      <c r="GL576" s="4"/>
      <c r="GM576" s="4"/>
      <c r="GN576" s="4"/>
      <c r="GO576" s="4"/>
      <c r="GP576" s="4"/>
      <c r="GQ576" s="4"/>
      <c r="GR576" s="4"/>
      <c r="GS576" s="4"/>
      <c r="GT576" s="4"/>
      <c r="GU576" s="4"/>
      <c r="GV576" s="4"/>
      <c r="GW576" s="4"/>
      <c r="GX576" s="4"/>
      <c r="GY576" s="4"/>
      <c r="GZ576" s="4"/>
      <c r="HA576" s="4"/>
      <c r="HB576" s="4"/>
      <c r="HC576" s="4"/>
      <c r="HD576" s="4"/>
      <c r="HE576" s="4"/>
      <c r="HF576" s="4"/>
      <c r="HG576" s="4"/>
      <c r="HH576" s="4"/>
      <c r="HI576" s="4"/>
      <c r="HJ576" s="4"/>
    </row>
    <row r="577" spans="1:218" hidden="1">
      <c r="A577" t="s">
        <v>1871</v>
      </c>
      <c r="B577" t="s">
        <v>1872</v>
      </c>
      <c r="C577" t="s">
        <v>443</v>
      </c>
      <c r="D577" t="s">
        <v>1873</v>
      </c>
      <c r="E577" t="s">
        <v>1874</v>
      </c>
      <c r="F577" s="3">
        <v>1</v>
      </c>
      <c r="G577" s="12">
        <f t="shared" si="16"/>
        <v>5.55</v>
      </c>
      <c r="H577" s="12" t="e">
        <f t="shared" si="17"/>
        <v>#NUM!</v>
      </c>
      <c r="I577" s="3">
        <v>5.5510804</v>
      </c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>
        <v>5.55</v>
      </c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  <c r="DQ577" s="4"/>
      <c r="DR577" s="4"/>
      <c r="DS577" s="4"/>
      <c r="DT577" s="4"/>
      <c r="DU577" s="4"/>
      <c r="DV577" s="4"/>
      <c r="DW577" s="4"/>
      <c r="DX577" s="4"/>
      <c r="DY577" s="4"/>
      <c r="DZ577" s="4"/>
      <c r="EA577" s="4"/>
      <c r="EB577" s="4"/>
      <c r="EC577" s="4"/>
      <c r="ED577" s="4"/>
      <c r="EE577" s="4"/>
      <c r="EF577" s="4"/>
      <c r="EG577" s="4"/>
      <c r="EH577" s="4"/>
      <c r="EI577" s="4"/>
      <c r="EJ577" s="4"/>
      <c r="EK577" s="4"/>
      <c r="EL577" s="4"/>
      <c r="EM577" s="4"/>
      <c r="EN577" s="4"/>
      <c r="EO577" s="4"/>
      <c r="EP577" s="4"/>
      <c r="EQ577" s="4"/>
      <c r="ER577" s="4"/>
      <c r="ES577" s="4"/>
      <c r="ET577" s="4"/>
      <c r="EU577" s="4"/>
      <c r="EV577" s="4"/>
      <c r="EW577" s="4"/>
      <c r="EX577" s="4"/>
      <c r="EY577" s="4"/>
      <c r="EZ577" s="4"/>
      <c r="FA577" s="4"/>
      <c r="FB577" s="4"/>
      <c r="FC577" s="4"/>
      <c r="FD577" s="4"/>
      <c r="FE577" s="4"/>
      <c r="FF577" s="4"/>
      <c r="FG577" s="4"/>
      <c r="FH577" s="4"/>
      <c r="FI577" s="4"/>
      <c r="FJ577" s="4"/>
      <c r="FK577" s="4"/>
      <c r="FL577" s="4"/>
      <c r="FM577" s="4"/>
      <c r="FN577" s="4"/>
      <c r="FO577" s="4"/>
      <c r="FP577" s="4"/>
      <c r="FQ577" s="4"/>
      <c r="FR577" s="4"/>
      <c r="FS577" s="4"/>
      <c r="FT577" s="4"/>
      <c r="FU577" s="4"/>
      <c r="FV577" s="4"/>
      <c r="FW577" s="4"/>
      <c r="FX577" s="4"/>
      <c r="FY577" s="4"/>
      <c r="FZ577" s="4"/>
      <c r="GA577" s="4"/>
      <c r="GB577" s="4"/>
      <c r="GC577" s="4"/>
      <c r="GD577" s="4"/>
      <c r="GE577" s="4"/>
      <c r="GF577" s="4"/>
      <c r="GG577" s="4"/>
      <c r="GH577" s="4"/>
      <c r="GI577" s="4"/>
      <c r="GJ577" s="4"/>
      <c r="GK577" s="4"/>
      <c r="GL577" s="4"/>
      <c r="GM577" s="4"/>
      <c r="GN577" s="4"/>
      <c r="GO577" s="4"/>
      <c r="GP577" s="4"/>
      <c r="GQ577" s="4"/>
      <c r="GR577" s="4"/>
      <c r="GS577" s="4"/>
      <c r="GT577" s="4"/>
      <c r="GU577" s="4"/>
      <c r="GV577" s="4"/>
      <c r="GW577" s="4"/>
      <c r="GX577" s="4"/>
      <c r="GY577" s="4"/>
      <c r="GZ577" s="4"/>
      <c r="HA577" s="4"/>
      <c r="HB577" s="4"/>
      <c r="HC577" s="4"/>
      <c r="HD577" s="4"/>
      <c r="HE577" s="4"/>
      <c r="HF577" s="4"/>
      <c r="HG577" s="4"/>
      <c r="HH577" s="4"/>
      <c r="HI577" s="4"/>
      <c r="HJ577" s="4"/>
    </row>
    <row r="578" spans="1:218" hidden="1">
      <c r="A578" t="s">
        <v>2131</v>
      </c>
      <c r="B578" t="s">
        <v>2132</v>
      </c>
      <c r="C578" t="s">
        <v>443</v>
      </c>
      <c r="D578" t="s">
        <v>2133</v>
      </c>
      <c r="E578" t="s">
        <v>2134</v>
      </c>
      <c r="F578" s="3">
        <v>1</v>
      </c>
      <c r="G578" s="12">
        <f t="shared" si="16"/>
        <v>4.46</v>
      </c>
      <c r="H578" s="12" t="e">
        <f t="shared" si="17"/>
        <v>#NUM!</v>
      </c>
      <c r="I578" s="3">
        <v>4.4609297000000003</v>
      </c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  <c r="DQ578" s="4"/>
      <c r="DR578" s="4"/>
      <c r="DS578" s="4"/>
      <c r="DT578" s="4"/>
      <c r="DU578" s="4"/>
      <c r="DV578" s="4"/>
      <c r="DW578" s="4"/>
      <c r="DX578" s="4"/>
      <c r="DY578" s="4"/>
      <c r="DZ578" s="4"/>
      <c r="EA578" s="4"/>
      <c r="EB578" s="4"/>
      <c r="EC578" s="4"/>
      <c r="ED578" s="4"/>
      <c r="EE578" s="4"/>
      <c r="EF578" s="4"/>
      <c r="EG578" s="4"/>
      <c r="EH578" s="4"/>
      <c r="EI578" s="4"/>
      <c r="EJ578" s="4"/>
      <c r="EK578" s="4"/>
      <c r="EL578" s="4"/>
      <c r="EM578" s="4"/>
      <c r="EN578" s="4"/>
      <c r="EO578" s="4"/>
      <c r="EP578" s="4"/>
      <c r="EQ578" s="4"/>
      <c r="ER578" s="4"/>
      <c r="ES578" s="4"/>
      <c r="ET578" s="4"/>
      <c r="EU578" s="4"/>
      <c r="EV578" s="4"/>
      <c r="EW578" s="4"/>
      <c r="EX578" s="4"/>
      <c r="EY578" s="4"/>
      <c r="EZ578" s="4"/>
      <c r="FA578" s="4"/>
      <c r="FB578" s="4"/>
      <c r="FC578" s="4"/>
      <c r="FD578" s="4"/>
      <c r="FE578" s="4"/>
      <c r="FF578" s="4"/>
      <c r="FG578" s="4"/>
      <c r="FH578" s="4"/>
      <c r="FI578" s="4"/>
      <c r="FJ578" s="4"/>
      <c r="FK578" s="4"/>
      <c r="FL578" s="4"/>
      <c r="FM578" s="4"/>
      <c r="FN578" s="4"/>
      <c r="FO578" s="4"/>
      <c r="FP578" s="4"/>
      <c r="FQ578" s="4"/>
      <c r="FR578" s="4"/>
      <c r="FS578" s="4"/>
      <c r="FT578" s="4"/>
      <c r="FU578" s="4"/>
      <c r="FV578" s="4"/>
      <c r="FW578" s="4"/>
      <c r="FX578" s="4"/>
      <c r="FY578" s="4"/>
      <c r="FZ578" s="4"/>
      <c r="GA578" s="4"/>
      <c r="GB578" s="4"/>
      <c r="GC578" s="4"/>
      <c r="GD578" s="4"/>
      <c r="GE578" s="4"/>
      <c r="GF578" s="4"/>
      <c r="GG578" s="4"/>
      <c r="GH578" s="4"/>
      <c r="GI578" s="4"/>
      <c r="GJ578" s="4"/>
      <c r="GK578" s="4"/>
      <c r="GL578" s="4"/>
      <c r="GM578" s="4"/>
      <c r="GN578" s="4"/>
      <c r="GO578" s="4"/>
      <c r="GP578" s="4"/>
      <c r="GQ578" s="4"/>
      <c r="GR578" s="4"/>
      <c r="GS578" s="4"/>
      <c r="GT578" s="4"/>
      <c r="GU578" s="4"/>
      <c r="GV578" s="4">
        <v>4.46</v>
      </c>
      <c r="GW578" s="4"/>
      <c r="GX578" s="4"/>
      <c r="GY578" s="4"/>
      <c r="GZ578" s="4"/>
      <c r="HA578" s="4"/>
      <c r="HB578" s="4"/>
      <c r="HC578" s="4"/>
      <c r="HD578" s="4"/>
      <c r="HE578" s="4"/>
      <c r="HF578" s="4"/>
      <c r="HG578" s="4"/>
      <c r="HH578" s="4"/>
      <c r="HI578" s="4"/>
      <c r="HJ578" s="4"/>
    </row>
    <row r="579" spans="1:218" hidden="1">
      <c r="A579" t="s">
        <v>1661</v>
      </c>
      <c r="B579" t="s">
        <v>1662</v>
      </c>
      <c r="C579" t="s">
        <v>505</v>
      </c>
      <c r="D579" t="s">
        <v>1663</v>
      </c>
      <c r="E579" t="s">
        <v>1664</v>
      </c>
      <c r="F579" s="3">
        <v>1</v>
      </c>
      <c r="G579" s="12">
        <f t="shared" si="16"/>
        <v>12.93</v>
      </c>
      <c r="H579" s="12" t="e">
        <f t="shared" si="17"/>
        <v>#NUM!</v>
      </c>
      <c r="I579" s="3">
        <v>12.930949999999999</v>
      </c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  <c r="DQ579" s="4"/>
      <c r="DR579" s="4"/>
      <c r="DS579" s="4"/>
      <c r="DT579" s="4"/>
      <c r="DU579" s="4"/>
      <c r="DV579" s="4"/>
      <c r="DW579" s="4"/>
      <c r="DX579" s="4"/>
      <c r="DY579" s="4"/>
      <c r="DZ579" s="4"/>
      <c r="EA579" s="4"/>
      <c r="EB579" s="4"/>
      <c r="EC579" s="4"/>
      <c r="ED579" s="4"/>
      <c r="EE579" s="4"/>
      <c r="EF579" s="4"/>
      <c r="EG579" s="4"/>
      <c r="EH579" s="4"/>
      <c r="EI579" s="4"/>
      <c r="EJ579" s="4"/>
      <c r="EK579" s="4"/>
      <c r="EL579" s="4"/>
      <c r="EM579" s="4"/>
      <c r="EN579" s="4"/>
      <c r="EO579" s="4"/>
      <c r="EP579" s="4"/>
      <c r="EQ579" s="4"/>
      <c r="ER579" s="4"/>
      <c r="ES579" s="4"/>
      <c r="ET579" s="4"/>
      <c r="EU579" s="4"/>
      <c r="EV579" s="4"/>
      <c r="EW579" s="4"/>
      <c r="EX579" s="4"/>
      <c r="EY579" s="4"/>
      <c r="EZ579" s="4"/>
      <c r="FA579" s="4"/>
      <c r="FB579" s="4"/>
      <c r="FC579" s="4"/>
      <c r="FD579" s="4"/>
      <c r="FE579" s="4"/>
      <c r="FF579" s="4"/>
      <c r="FG579" s="4"/>
      <c r="FH579" s="4"/>
      <c r="FI579" s="4"/>
      <c r="FJ579" s="4"/>
      <c r="FK579" s="4"/>
      <c r="FL579" s="4"/>
      <c r="FM579" s="4"/>
      <c r="FN579" s="4"/>
      <c r="FO579" s="4"/>
      <c r="FP579" s="4"/>
      <c r="FQ579" s="4"/>
      <c r="FR579" s="4"/>
      <c r="FS579" s="4"/>
      <c r="FT579" s="4"/>
      <c r="FU579" s="4"/>
      <c r="FV579" s="4"/>
      <c r="FW579" s="4"/>
      <c r="FX579" s="4"/>
      <c r="FY579" s="4"/>
      <c r="FZ579" s="4"/>
      <c r="GA579" s="4"/>
      <c r="GB579" s="4"/>
      <c r="GC579" s="4"/>
      <c r="GD579" s="4"/>
      <c r="GE579" s="4"/>
      <c r="GF579" s="4"/>
      <c r="GG579" s="4"/>
      <c r="GH579" s="4"/>
      <c r="GI579" s="4"/>
      <c r="GJ579" s="4">
        <v>12.93</v>
      </c>
      <c r="GK579" s="4"/>
      <c r="GL579" s="4"/>
      <c r="GM579" s="4"/>
      <c r="GN579" s="4"/>
      <c r="GO579" s="4"/>
      <c r="GP579" s="4"/>
      <c r="GQ579" s="4"/>
      <c r="GR579" s="4"/>
      <c r="GS579" s="4"/>
      <c r="GT579" s="4"/>
      <c r="GU579" s="4"/>
      <c r="GV579" s="4"/>
      <c r="GW579" s="4"/>
      <c r="GX579" s="4"/>
      <c r="GY579" s="4"/>
      <c r="GZ579" s="4"/>
      <c r="HA579" s="4"/>
      <c r="HB579" s="4"/>
      <c r="HC579" s="4"/>
      <c r="HD579" s="4"/>
      <c r="HE579" s="4"/>
      <c r="HF579" s="4"/>
      <c r="HG579" s="4"/>
      <c r="HH579" s="4"/>
      <c r="HI579" s="4"/>
      <c r="HJ579" s="4"/>
    </row>
    <row r="580" spans="1:218" hidden="1">
      <c r="A580" t="s">
        <v>2021</v>
      </c>
      <c r="B580" t="s">
        <v>2022</v>
      </c>
      <c r="C580" t="s">
        <v>845</v>
      </c>
      <c r="D580" t="s">
        <v>2023</v>
      </c>
      <c r="E580" t="s">
        <v>2024</v>
      </c>
      <c r="F580" s="3">
        <v>1</v>
      </c>
      <c r="G580" s="12">
        <f t="shared" si="16"/>
        <v>4.71</v>
      </c>
      <c r="H580" s="12" t="e">
        <f t="shared" si="17"/>
        <v>#NUM!</v>
      </c>
      <c r="I580" s="3">
        <v>4.7138600000000004</v>
      </c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>
        <v>4.71</v>
      </c>
      <c r="DP580" s="4"/>
      <c r="DQ580" s="4"/>
      <c r="DR580" s="4"/>
      <c r="DS580" s="4"/>
      <c r="DT580" s="4"/>
      <c r="DU580" s="4"/>
      <c r="DV580" s="4"/>
      <c r="DW580" s="4"/>
      <c r="DX580" s="4"/>
      <c r="DY580" s="4"/>
      <c r="DZ580" s="4"/>
      <c r="EA580" s="4"/>
      <c r="EB580" s="4"/>
      <c r="EC580" s="4"/>
      <c r="ED580" s="4"/>
      <c r="EE580" s="4"/>
      <c r="EF580" s="4"/>
      <c r="EG580" s="4"/>
      <c r="EH580" s="4"/>
      <c r="EI580" s="4"/>
      <c r="EJ580" s="4"/>
      <c r="EK580" s="4"/>
      <c r="EL580" s="4"/>
      <c r="EM580" s="4"/>
      <c r="EN580" s="4"/>
      <c r="EO580" s="4"/>
      <c r="EP580" s="4"/>
      <c r="EQ580" s="4"/>
      <c r="ER580" s="4"/>
      <c r="ES580" s="4"/>
      <c r="ET580" s="4"/>
      <c r="EU580" s="4"/>
      <c r="EV580" s="4"/>
      <c r="EW580" s="4"/>
      <c r="EX580" s="4"/>
      <c r="EY580" s="4"/>
      <c r="EZ580" s="4"/>
      <c r="FA580" s="4"/>
      <c r="FB580" s="4"/>
      <c r="FC580" s="4"/>
      <c r="FD580" s="4"/>
      <c r="FE580" s="4"/>
      <c r="FF580" s="4"/>
      <c r="FG580" s="4"/>
      <c r="FH580" s="4"/>
      <c r="FI580" s="4"/>
      <c r="FJ580" s="4"/>
      <c r="FK580" s="4"/>
      <c r="FL580" s="4"/>
      <c r="FM580" s="4"/>
      <c r="FN580" s="4"/>
      <c r="FO580" s="4"/>
      <c r="FP580" s="4"/>
      <c r="FQ580" s="4"/>
      <c r="FR580" s="4"/>
      <c r="FS580" s="4"/>
      <c r="FT580" s="4"/>
      <c r="FU580" s="4"/>
      <c r="FV580" s="4"/>
      <c r="FW580" s="4"/>
      <c r="FX580" s="4"/>
      <c r="FY580" s="4"/>
      <c r="FZ580" s="4"/>
      <c r="GA580" s="4"/>
      <c r="GB580" s="4"/>
      <c r="GC580" s="4"/>
      <c r="GD580" s="4"/>
      <c r="GE580" s="4"/>
      <c r="GF580" s="4"/>
      <c r="GG580" s="4"/>
      <c r="GH580" s="4"/>
      <c r="GI580" s="4"/>
      <c r="GJ580" s="4"/>
      <c r="GK580" s="4"/>
      <c r="GL580" s="4"/>
      <c r="GM580" s="4"/>
      <c r="GN580" s="4"/>
      <c r="GO580" s="4"/>
      <c r="GP580" s="4"/>
      <c r="GQ580" s="4"/>
      <c r="GR580" s="4"/>
      <c r="GS580" s="4"/>
      <c r="GT580" s="4"/>
      <c r="GU580" s="4"/>
      <c r="GV580" s="4"/>
      <c r="GW580" s="4"/>
      <c r="GX580" s="4"/>
      <c r="GY580" s="4"/>
      <c r="GZ580" s="4"/>
      <c r="HA580" s="4"/>
      <c r="HB580" s="4"/>
      <c r="HC580" s="4"/>
      <c r="HD580" s="4"/>
      <c r="HE580" s="4"/>
      <c r="HF580" s="4"/>
      <c r="HG580" s="4"/>
      <c r="HH580" s="4"/>
      <c r="HI580" s="4"/>
      <c r="HJ580" s="4"/>
    </row>
    <row r="581" spans="1:218" hidden="1">
      <c r="A581" t="s">
        <v>2757</v>
      </c>
      <c r="B581" t="s">
        <v>2758</v>
      </c>
      <c r="C581" t="s">
        <v>505</v>
      </c>
      <c r="D581" t="s">
        <v>2759</v>
      </c>
      <c r="E581" t="s">
        <v>2760</v>
      </c>
      <c r="F581" s="3">
        <v>1</v>
      </c>
      <c r="G581" s="12">
        <f t="shared" si="16"/>
        <v>2.97</v>
      </c>
      <c r="H581" s="12" t="e">
        <f t="shared" si="17"/>
        <v>#NUM!</v>
      </c>
      <c r="I581" s="3">
        <v>2.9701399999999998</v>
      </c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>
        <v>2.97</v>
      </c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  <c r="DQ581" s="4"/>
      <c r="DR581" s="4"/>
      <c r="DS581" s="4"/>
      <c r="DT581" s="4"/>
      <c r="DU581" s="4"/>
      <c r="DV581" s="4"/>
      <c r="DW581" s="4"/>
      <c r="DX581" s="4"/>
      <c r="DY581" s="4"/>
      <c r="DZ581" s="4"/>
      <c r="EA581" s="4"/>
      <c r="EB581" s="4"/>
      <c r="EC581" s="4"/>
      <c r="ED581" s="4"/>
      <c r="EE581" s="4"/>
      <c r="EF581" s="4"/>
      <c r="EG581" s="4"/>
      <c r="EH581" s="4"/>
      <c r="EI581" s="4"/>
      <c r="EJ581" s="4"/>
      <c r="EK581" s="4"/>
      <c r="EL581" s="4"/>
      <c r="EM581" s="4"/>
      <c r="EN581" s="4"/>
      <c r="EO581" s="4"/>
      <c r="EP581" s="4"/>
      <c r="EQ581" s="4"/>
      <c r="ER581" s="4"/>
      <c r="ES581" s="4"/>
      <c r="ET581" s="4"/>
      <c r="EU581" s="4"/>
      <c r="EV581" s="4"/>
      <c r="EW581" s="4"/>
      <c r="EX581" s="4"/>
      <c r="EY581" s="4"/>
      <c r="EZ581" s="4"/>
      <c r="FA581" s="4"/>
      <c r="FB581" s="4"/>
      <c r="FC581" s="4"/>
      <c r="FD581" s="4"/>
      <c r="FE581" s="4"/>
      <c r="FF581" s="4"/>
      <c r="FG581" s="4"/>
      <c r="FH581" s="4"/>
      <c r="FI581" s="4"/>
      <c r="FJ581" s="4"/>
      <c r="FK581" s="4"/>
      <c r="FL581" s="4"/>
      <c r="FM581" s="4"/>
      <c r="FN581" s="4"/>
      <c r="FO581" s="4"/>
      <c r="FP581" s="4"/>
      <c r="FQ581" s="4"/>
      <c r="FR581" s="4"/>
      <c r="FS581" s="4"/>
      <c r="FT581" s="4"/>
      <c r="FU581" s="4"/>
      <c r="FV581" s="4"/>
      <c r="FW581" s="4"/>
      <c r="FX581" s="4"/>
      <c r="FY581" s="4"/>
      <c r="FZ581" s="4"/>
      <c r="GA581" s="4"/>
      <c r="GB581" s="4"/>
      <c r="GC581" s="4"/>
      <c r="GD581" s="4"/>
      <c r="GE581" s="4"/>
      <c r="GF581" s="4"/>
      <c r="GG581" s="4"/>
      <c r="GH581" s="4"/>
      <c r="GI581" s="4"/>
      <c r="GJ581" s="4"/>
      <c r="GK581" s="4"/>
      <c r="GL581" s="4"/>
      <c r="GM581" s="4"/>
      <c r="GN581" s="4"/>
      <c r="GO581" s="4"/>
      <c r="GP581" s="4"/>
      <c r="GQ581" s="4"/>
      <c r="GR581" s="4"/>
      <c r="GS581" s="4"/>
      <c r="GT581" s="4"/>
      <c r="GU581" s="4"/>
      <c r="GV581" s="4"/>
      <c r="GW581" s="4"/>
      <c r="GX581" s="4"/>
      <c r="GY581" s="4"/>
      <c r="GZ581" s="4"/>
      <c r="HA581" s="4"/>
      <c r="HB581" s="4"/>
      <c r="HC581" s="4"/>
      <c r="HD581" s="4"/>
      <c r="HE581" s="4"/>
      <c r="HF581" s="4"/>
      <c r="HG581" s="4"/>
      <c r="HH581" s="4"/>
      <c r="HI581" s="4"/>
      <c r="HJ581" s="4"/>
    </row>
    <row r="582" spans="1:218" hidden="1">
      <c r="A582" t="s">
        <v>1735</v>
      </c>
      <c r="B582" t="s">
        <v>1736</v>
      </c>
      <c r="C582" t="s">
        <v>826</v>
      </c>
      <c r="D582" t="s">
        <v>1737</v>
      </c>
      <c r="E582" t="s">
        <v>1738</v>
      </c>
      <c r="F582" s="3">
        <v>1</v>
      </c>
      <c r="G582" s="12">
        <f t="shared" si="16"/>
        <v>7.15</v>
      </c>
      <c r="H582" s="12" t="e">
        <f t="shared" si="17"/>
        <v>#NUM!</v>
      </c>
      <c r="I582" s="3">
        <v>7.1513800000000014</v>
      </c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>
        <v>7.15</v>
      </c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  <c r="DQ582" s="4"/>
      <c r="DR582" s="4"/>
      <c r="DS582" s="4"/>
      <c r="DT582" s="4"/>
      <c r="DU582" s="4"/>
      <c r="DV582" s="4"/>
      <c r="DW582" s="4"/>
      <c r="DX582" s="4"/>
      <c r="DY582" s="4"/>
      <c r="DZ582" s="4"/>
      <c r="EA582" s="4"/>
      <c r="EB582" s="4"/>
      <c r="EC582" s="4"/>
      <c r="ED582" s="4"/>
      <c r="EE582" s="4"/>
      <c r="EF582" s="4"/>
      <c r="EG582" s="4"/>
      <c r="EH582" s="4"/>
      <c r="EI582" s="4"/>
      <c r="EJ582" s="4"/>
      <c r="EK582" s="4"/>
      <c r="EL582" s="4"/>
      <c r="EM582" s="4"/>
      <c r="EN582" s="4"/>
      <c r="EO582" s="4"/>
      <c r="EP582" s="4"/>
      <c r="EQ582" s="4"/>
      <c r="ER582" s="4"/>
      <c r="ES582" s="4"/>
      <c r="ET582" s="4"/>
      <c r="EU582" s="4"/>
      <c r="EV582" s="4"/>
      <c r="EW582" s="4"/>
      <c r="EX582" s="4"/>
      <c r="EY582" s="4"/>
      <c r="EZ582" s="4"/>
      <c r="FA582" s="4"/>
      <c r="FB582" s="4"/>
      <c r="FC582" s="4"/>
      <c r="FD582" s="4"/>
      <c r="FE582" s="4"/>
      <c r="FF582" s="4"/>
      <c r="FG582" s="4"/>
      <c r="FH582" s="4"/>
      <c r="FI582" s="4"/>
      <c r="FJ582" s="4"/>
      <c r="FK582" s="4"/>
      <c r="FL582" s="4"/>
      <c r="FM582" s="4"/>
      <c r="FN582" s="4"/>
      <c r="FO582" s="4"/>
      <c r="FP582" s="4"/>
      <c r="FQ582" s="4"/>
      <c r="FR582" s="4"/>
      <c r="FS582" s="4"/>
      <c r="FT582" s="4"/>
      <c r="FU582" s="4"/>
      <c r="FV582" s="4"/>
      <c r="FW582" s="4"/>
      <c r="FX582" s="4"/>
      <c r="FY582" s="4"/>
      <c r="FZ582" s="4"/>
      <c r="GA582" s="4"/>
      <c r="GB582" s="4"/>
      <c r="GC582" s="4"/>
      <c r="GD582" s="4"/>
      <c r="GE582" s="4"/>
      <c r="GF582" s="4"/>
      <c r="GG582" s="4"/>
      <c r="GH582" s="4"/>
      <c r="GI582" s="4"/>
      <c r="GJ582" s="4"/>
      <c r="GK582" s="4"/>
      <c r="GL582" s="4"/>
      <c r="GM582" s="4"/>
      <c r="GN582" s="4"/>
      <c r="GO582" s="4"/>
      <c r="GP582" s="4"/>
      <c r="GQ582" s="4"/>
      <c r="GR582" s="4"/>
      <c r="GS582" s="4"/>
      <c r="GT582" s="4"/>
      <c r="GU582" s="4"/>
      <c r="GV582" s="4"/>
      <c r="GW582" s="4"/>
      <c r="GX582" s="4"/>
      <c r="GY582" s="4"/>
      <c r="GZ582" s="4"/>
      <c r="HA582" s="4"/>
      <c r="HB582" s="4"/>
      <c r="HC582" s="4"/>
      <c r="HD582" s="4"/>
      <c r="HE582" s="4"/>
      <c r="HF582" s="4"/>
      <c r="HG582" s="4"/>
      <c r="HH582" s="4"/>
      <c r="HI582" s="4"/>
      <c r="HJ582" s="4"/>
    </row>
    <row r="583" spans="1:218" hidden="1">
      <c r="A583" t="s">
        <v>2610</v>
      </c>
      <c r="B583" t="s">
        <v>2611</v>
      </c>
      <c r="C583" t="s">
        <v>505</v>
      </c>
      <c r="D583" t="s">
        <v>2612</v>
      </c>
      <c r="E583" t="s">
        <v>2613</v>
      </c>
      <c r="F583" s="3">
        <v>1</v>
      </c>
      <c r="G583" s="12">
        <f t="shared" ref="G583:G646" si="18">LARGE($J583:$HJ583,1)</f>
        <v>3.39</v>
      </c>
      <c r="H583" s="12" t="e">
        <f t="shared" ref="H583:H646" si="19">LARGE($J583:$HJ583,2)</f>
        <v>#NUM!</v>
      </c>
      <c r="I583" s="3">
        <v>3.3898000000000001</v>
      </c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  <c r="DQ583" s="4"/>
      <c r="DR583" s="4"/>
      <c r="DS583" s="4"/>
      <c r="DT583" s="4"/>
      <c r="DU583" s="4"/>
      <c r="DV583" s="4"/>
      <c r="DW583" s="4"/>
      <c r="DX583" s="4"/>
      <c r="DY583" s="4"/>
      <c r="DZ583" s="4"/>
      <c r="EA583" s="4"/>
      <c r="EB583" s="4"/>
      <c r="EC583" s="4"/>
      <c r="ED583" s="4">
        <v>3.39</v>
      </c>
      <c r="EE583" s="4"/>
      <c r="EF583" s="4"/>
      <c r="EG583" s="4"/>
      <c r="EH583" s="4"/>
      <c r="EI583" s="4"/>
      <c r="EJ583" s="4"/>
      <c r="EK583" s="4"/>
      <c r="EL583" s="4"/>
      <c r="EM583" s="4"/>
      <c r="EN583" s="4"/>
      <c r="EO583" s="4"/>
      <c r="EP583" s="4"/>
      <c r="EQ583" s="4"/>
      <c r="ER583" s="4"/>
      <c r="ES583" s="4"/>
      <c r="ET583" s="4"/>
      <c r="EU583" s="4"/>
      <c r="EV583" s="4"/>
      <c r="EW583" s="4"/>
      <c r="EX583" s="4"/>
      <c r="EY583" s="4"/>
      <c r="EZ583" s="4"/>
      <c r="FA583" s="4"/>
      <c r="FB583" s="4"/>
      <c r="FC583" s="4"/>
      <c r="FD583" s="4"/>
      <c r="FE583" s="4"/>
      <c r="FF583" s="4"/>
      <c r="FG583" s="4"/>
      <c r="FH583" s="4"/>
      <c r="FI583" s="4"/>
      <c r="FJ583" s="4"/>
      <c r="FK583" s="4"/>
      <c r="FL583" s="4"/>
      <c r="FM583" s="4"/>
      <c r="FN583" s="4"/>
      <c r="FO583" s="4"/>
      <c r="FP583" s="4"/>
      <c r="FQ583" s="4"/>
      <c r="FR583" s="4"/>
      <c r="FS583" s="4"/>
      <c r="FT583" s="4"/>
      <c r="FU583" s="4"/>
      <c r="FV583" s="4"/>
      <c r="FW583" s="4"/>
      <c r="FX583" s="4"/>
      <c r="FY583" s="4"/>
      <c r="FZ583" s="4"/>
      <c r="GA583" s="4"/>
      <c r="GB583" s="4"/>
      <c r="GC583" s="4"/>
      <c r="GD583" s="4"/>
      <c r="GE583" s="4"/>
      <c r="GF583" s="4"/>
      <c r="GG583" s="4"/>
      <c r="GH583" s="4"/>
      <c r="GI583" s="4"/>
      <c r="GJ583" s="4"/>
      <c r="GK583" s="4"/>
      <c r="GL583" s="4"/>
      <c r="GM583" s="4"/>
      <c r="GN583" s="4"/>
      <c r="GO583" s="4"/>
      <c r="GP583" s="4"/>
      <c r="GQ583" s="4"/>
      <c r="GR583" s="4"/>
      <c r="GS583" s="4"/>
      <c r="GT583" s="4"/>
      <c r="GU583" s="4"/>
      <c r="GV583" s="4"/>
      <c r="GW583" s="4"/>
      <c r="GX583" s="4"/>
      <c r="GY583" s="4"/>
      <c r="GZ583" s="4"/>
      <c r="HA583" s="4"/>
      <c r="HB583" s="4"/>
      <c r="HC583" s="4"/>
      <c r="HD583" s="4"/>
      <c r="HE583" s="4"/>
      <c r="HF583" s="4"/>
      <c r="HG583" s="4"/>
      <c r="HH583" s="4"/>
      <c r="HI583" s="4"/>
      <c r="HJ583" s="4"/>
    </row>
    <row r="584" spans="1:218" hidden="1">
      <c r="A584" t="s">
        <v>1833</v>
      </c>
      <c r="B584" t="s">
        <v>1834</v>
      </c>
      <c r="C584" t="s">
        <v>590</v>
      </c>
      <c r="D584" t="s">
        <v>1835</v>
      </c>
      <c r="E584" t="s">
        <v>1836</v>
      </c>
      <c r="F584" s="3">
        <v>1</v>
      </c>
      <c r="G584" s="12">
        <f t="shared" si="18"/>
        <v>5.85</v>
      </c>
      <c r="H584" s="12" t="e">
        <f t="shared" si="19"/>
        <v>#NUM!</v>
      </c>
      <c r="I584" s="3">
        <v>5.8500200000000007</v>
      </c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>
        <v>5.85</v>
      </c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  <c r="DQ584" s="4"/>
      <c r="DR584" s="4"/>
      <c r="DS584" s="4"/>
      <c r="DT584" s="4"/>
      <c r="DU584" s="4"/>
      <c r="DV584" s="4"/>
      <c r="DW584" s="4"/>
      <c r="DX584" s="4"/>
      <c r="DY584" s="4"/>
      <c r="DZ584" s="4"/>
      <c r="EA584" s="4"/>
      <c r="EB584" s="4"/>
      <c r="EC584" s="4"/>
      <c r="ED584" s="4"/>
      <c r="EE584" s="4"/>
      <c r="EF584" s="4"/>
      <c r="EG584" s="4"/>
      <c r="EH584" s="4"/>
      <c r="EI584" s="4"/>
      <c r="EJ584" s="4"/>
      <c r="EK584" s="4"/>
      <c r="EL584" s="4"/>
      <c r="EM584" s="4"/>
      <c r="EN584" s="4"/>
      <c r="EO584" s="4"/>
      <c r="EP584" s="4"/>
      <c r="EQ584" s="4"/>
      <c r="ER584" s="4"/>
      <c r="ES584" s="4"/>
      <c r="ET584" s="4"/>
      <c r="EU584" s="4"/>
      <c r="EV584" s="4"/>
      <c r="EW584" s="4"/>
      <c r="EX584" s="4"/>
      <c r="EY584" s="4"/>
      <c r="EZ584" s="4"/>
      <c r="FA584" s="4"/>
      <c r="FB584" s="4"/>
      <c r="FC584" s="4"/>
      <c r="FD584" s="4"/>
      <c r="FE584" s="4"/>
      <c r="FF584" s="4"/>
      <c r="FG584" s="4"/>
      <c r="FH584" s="4"/>
      <c r="FI584" s="4"/>
      <c r="FJ584" s="4"/>
      <c r="FK584" s="4"/>
      <c r="FL584" s="4"/>
      <c r="FM584" s="4"/>
      <c r="FN584" s="4"/>
      <c r="FO584" s="4"/>
      <c r="FP584" s="4"/>
      <c r="FQ584" s="4"/>
      <c r="FR584" s="4"/>
      <c r="FS584" s="4"/>
      <c r="FT584" s="4"/>
      <c r="FU584" s="4"/>
      <c r="FV584" s="4"/>
      <c r="FW584" s="4"/>
      <c r="FX584" s="4"/>
      <c r="FY584" s="4"/>
      <c r="FZ584" s="4"/>
      <c r="GA584" s="4"/>
      <c r="GB584" s="4"/>
      <c r="GC584" s="4"/>
      <c r="GD584" s="4"/>
      <c r="GE584" s="4"/>
      <c r="GF584" s="4"/>
      <c r="GG584" s="4"/>
      <c r="GH584" s="4"/>
      <c r="GI584" s="4"/>
      <c r="GJ584" s="4"/>
      <c r="GK584" s="4"/>
      <c r="GL584" s="4"/>
      <c r="GM584" s="4"/>
      <c r="GN584" s="4"/>
      <c r="GO584" s="4"/>
      <c r="GP584" s="4"/>
      <c r="GQ584" s="4"/>
      <c r="GR584" s="4"/>
      <c r="GS584" s="4"/>
      <c r="GT584" s="4"/>
      <c r="GU584" s="4"/>
      <c r="GV584" s="4"/>
      <c r="GW584" s="4"/>
      <c r="GX584" s="4"/>
      <c r="GY584" s="4"/>
      <c r="GZ584" s="4"/>
      <c r="HA584" s="4"/>
      <c r="HB584" s="4"/>
      <c r="HC584" s="4"/>
      <c r="HD584" s="4"/>
      <c r="HE584" s="4"/>
      <c r="HF584" s="4"/>
      <c r="HG584" s="4"/>
      <c r="HH584" s="4"/>
      <c r="HI584" s="4"/>
      <c r="HJ584" s="4"/>
    </row>
    <row r="585" spans="1:218" hidden="1">
      <c r="A585" t="s">
        <v>3113</v>
      </c>
      <c r="B585" t="s">
        <v>3114</v>
      </c>
      <c r="C585" t="s">
        <v>850</v>
      </c>
      <c r="D585" t="s">
        <v>3115</v>
      </c>
      <c r="E585" t="s">
        <v>3116</v>
      </c>
      <c r="F585" s="3">
        <v>1</v>
      </c>
      <c r="G585" s="12">
        <f t="shared" si="18"/>
        <v>1.42</v>
      </c>
      <c r="H585" s="12" t="e">
        <f t="shared" si="19"/>
        <v>#NUM!</v>
      </c>
      <c r="I585" s="3">
        <v>1.4166700000000001</v>
      </c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>
        <v>1.42</v>
      </c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  <c r="DQ585" s="4"/>
      <c r="DR585" s="4"/>
      <c r="DS585" s="4"/>
      <c r="DT585" s="4"/>
      <c r="DU585" s="4"/>
      <c r="DV585" s="4"/>
      <c r="DW585" s="4"/>
      <c r="DX585" s="4"/>
      <c r="DY585" s="4"/>
      <c r="DZ585" s="4"/>
      <c r="EA585" s="4"/>
      <c r="EB585" s="4"/>
      <c r="EC585" s="4"/>
      <c r="ED585" s="4"/>
      <c r="EE585" s="4"/>
      <c r="EF585" s="4"/>
      <c r="EG585" s="4"/>
      <c r="EH585" s="4"/>
      <c r="EI585" s="4"/>
      <c r="EJ585" s="4"/>
      <c r="EK585" s="4"/>
      <c r="EL585" s="4"/>
      <c r="EM585" s="4"/>
      <c r="EN585" s="4"/>
      <c r="EO585" s="4"/>
      <c r="EP585" s="4"/>
      <c r="EQ585" s="4"/>
      <c r="ER585" s="4"/>
      <c r="ES585" s="4"/>
      <c r="ET585" s="4"/>
      <c r="EU585" s="4"/>
      <c r="EV585" s="4"/>
      <c r="EW585" s="4"/>
      <c r="EX585" s="4"/>
      <c r="EY585" s="4"/>
      <c r="EZ585" s="4"/>
      <c r="FA585" s="4"/>
      <c r="FB585" s="4"/>
      <c r="FC585" s="4"/>
      <c r="FD585" s="4"/>
      <c r="FE585" s="4"/>
      <c r="FF585" s="4"/>
      <c r="FG585" s="4"/>
      <c r="FH585" s="4"/>
      <c r="FI585" s="4"/>
      <c r="FJ585" s="4"/>
      <c r="FK585" s="4"/>
      <c r="FL585" s="4"/>
      <c r="FM585" s="4"/>
      <c r="FN585" s="4"/>
      <c r="FO585" s="4"/>
      <c r="FP585" s="4"/>
      <c r="FQ585" s="4"/>
      <c r="FR585" s="4"/>
      <c r="FS585" s="4"/>
      <c r="FT585" s="4"/>
      <c r="FU585" s="4"/>
      <c r="FV585" s="4"/>
      <c r="FW585" s="4"/>
      <c r="FX585" s="4"/>
      <c r="FY585" s="4"/>
      <c r="FZ585" s="4"/>
      <c r="GA585" s="4"/>
      <c r="GB585" s="4"/>
      <c r="GC585" s="4"/>
      <c r="GD585" s="4"/>
      <c r="GE585" s="4"/>
      <c r="GF585" s="4"/>
      <c r="GG585" s="4"/>
      <c r="GH585" s="4"/>
      <c r="GI585" s="4"/>
      <c r="GJ585" s="4"/>
      <c r="GK585" s="4"/>
      <c r="GL585" s="4"/>
      <c r="GM585" s="4"/>
      <c r="GN585" s="4"/>
      <c r="GO585" s="4"/>
      <c r="GP585" s="4"/>
      <c r="GQ585" s="4"/>
      <c r="GR585" s="4"/>
      <c r="GS585" s="4"/>
      <c r="GT585" s="4"/>
      <c r="GU585" s="4"/>
      <c r="GV585" s="4"/>
      <c r="GW585" s="4"/>
      <c r="GX585" s="4"/>
      <c r="GY585" s="4"/>
      <c r="GZ585" s="4"/>
      <c r="HA585" s="4"/>
      <c r="HB585" s="4"/>
      <c r="HC585" s="4"/>
      <c r="HD585" s="4"/>
      <c r="HE585" s="4"/>
      <c r="HF585" s="4"/>
      <c r="HG585" s="4"/>
      <c r="HH585" s="4"/>
      <c r="HI585" s="4"/>
      <c r="HJ585" s="4"/>
    </row>
    <row r="586" spans="1:218" hidden="1">
      <c r="A586" t="s">
        <v>3007</v>
      </c>
      <c r="B586" t="s">
        <v>3008</v>
      </c>
      <c r="C586" t="s">
        <v>3009</v>
      </c>
      <c r="D586" t="s">
        <v>1755</v>
      </c>
      <c r="E586" t="s">
        <v>3010</v>
      </c>
      <c r="F586" s="3">
        <v>1</v>
      </c>
      <c r="G586" s="12">
        <f t="shared" si="18"/>
        <v>2.19</v>
      </c>
      <c r="H586" s="12" t="e">
        <f t="shared" si="19"/>
        <v>#NUM!</v>
      </c>
      <c r="I586" s="3">
        <v>2.1876799999999998</v>
      </c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>
        <v>2.19</v>
      </c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  <c r="DQ586" s="4"/>
      <c r="DR586" s="4"/>
      <c r="DS586" s="4"/>
      <c r="DT586" s="4"/>
      <c r="DU586" s="4"/>
      <c r="DV586" s="4"/>
      <c r="DW586" s="4"/>
      <c r="DX586" s="4"/>
      <c r="DY586" s="4"/>
      <c r="DZ586" s="4"/>
      <c r="EA586" s="4"/>
      <c r="EB586" s="4"/>
      <c r="EC586" s="4"/>
      <c r="ED586" s="4"/>
      <c r="EE586" s="4"/>
      <c r="EF586" s="4"/>
      <c r="EG586" s="4"/>
      <c r="EH586" s="4"/>
      <c r="EI586" s="4"/>
      <c r="EJ586" s="4"/>
      <c r="EK586" s="4"/>
      <c r="EL586" s="4"/>
      <c r="EM586" s="4"/>
      <c r="EN586" s="4"/>
      <c r="EO586" s="4"/>
      <c r="EP586" s="4"/>
      <c r="EQ586" s="4"/>
      <c r="ER586" s="4"/>
      <c r="ES586" s="4"/>
      <c r="ET586" s="4"/>
      <c r="EU586" s="4"/>
      <c r="EV586" s="4"/>
      <c r="EW586" s="4"/>
      <c r="EX586" s="4"/>
      <c r="EY586" s="4"/>
      <c r="EZ586" s="4"/>
      <c r="FA586" s="4"/>
      <c r="FB586" s="4"/>
      <c r="FC586" s="4"/>
      <c r="FD586" s="4"/>
      <c r="FE586" s="4"/>
      <c r="FF586" s="4"/>
      <c r="FG586" s="4"/>
      <c r="FH586" s="4"/>
      <c r="FI586" s="4"/>
      <c r="FJ586" s="4"/>
      <c r="FK586" s="4"/>
      <c r="FL586" s="4"/>
      <c r="FM586" s="4"/>
      <c r="FN586" s="4"/>
      <c r="FO586" s="4"/>
      <c r="FP586" s="4"/>
      <c r="FQ586" s="4"/>
      <c r="FR586" s="4"/>
      <c r="FS586" s="4"/>
      <c r="FT586" s="4"/>
      <c r="FU586" s="4"/>
      <c r="FV586" s="4"/>
      <c r="FW586" s="4"/>
      <c r="FX586" s="4"/>
      <c r="FY586" s="4"/>
      <c r="FZ586" s="4"/>
      <c r="GA586" s="4"/>
      <c r="GB586" s="4"/>
      <c r="GC586" s="4"/>
      <c r="GD586" s="4"/>
      <c r="GE586" s="4"/>
      <c r="GF586" s="4"/>
      <c r="GG586" s="4"/>
      <c r="GH586" s="4"/>
      <c r="GI586" s="4"/>
      <c r="GJ586" s="4"/>
      <c r="GK586" s="4"/>
      <c r="GL586" s="4"/>
      <c r="GM586" s="4"/>
      <c r="GN586" s="4"/>
      <c r="GO586" s="4"/>
      <c r="GP586" s="4"/>
      <c r="GQ586" s="4"/>
      <c r="GR586" s="4"/>
      <c r="GS586" s="4"/>
      <c r="GT586" s="4"/>
      <c r="GU586" s="4"/>
      <c r="GV586" s="4"/>
      <c r="GW586" s="4"/>
      <c r="GX586" s="4"/>
      <c r="GY586" s="4"/>
      <c r="GZ586" s="4"/>
      <c r="HA586" s="4"/>
      <c r="HB586" s="4"/>
      <c r="HC586" s="4"/>
      <c r="HD586" s="4"/>
      <c r="HE586" s="4"/>
      <c r="HF586" s="4"/>
      <c r="HG586" s="4"/>
      <c r="HH586" s="4"/>
      <c r="HI586" s="4"/>
      <c r="HJ586" s="4"/>
    </row>
    <row r="587" spans="1:218" hidden="1">
      <c r="A587" t="s">
        <v>1845</v>
      </c>
      <c r="B587" t="s">
        <v>1846</v>
      </c>
      <c r="C587" t="s">
        <v>505</v>
      </c>
      <c r="D587" t="s">
        <v>1847</v>
      </c>
      <c r="E587" t="s">
        <v>1848</v>
      </c>
      <c r="F587" s="3">
        <v>1</v>
      </c>
      <c r="G587" s="12">
        <f t="shared" si="18"/>
        <v>5.79</v>
      </c>
      <c r="H587" s="12" t="e">
        <f t="shared" si="19"/>
        <v>#NUM!</v>
      </c>
      <c r="I587" s="3">
        <v>5.7905100000000003</v>
      </c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>
        <v>5.79</v>
      </c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  <c r="DQ587" s="4"/>
      <c r="DR587" s="4"/>
      <c r="DS587" s="4"/>
      <c r="DT587" s="4"/>
      <c r="DU587" s="4"/>
      <c r="DV587" s="4"/>
      <c r="DW587" s="4"/>
      <c r="DX587" s="4"/>
      <c r="DY587" s="4"/>
      <c r="DZ587" s="4"/>
      <c r="EA587" s="4"/>
      <c r="EB587" s="4"/>
      <c r="EC587" s="4"/>
      <c r="ED587" s="4"/>
      <c r="EE587" s="4"/>
      <c r="EF587" s="4"/>
      <c r="EG587" s="4"/>
      <c r="EH587" s="4"/>
      <c r="EI587" s="4"/>
      <c r="EJ587" s="4"/>
      <c r="EK587" s="4"/>
      <c r="EL587" s="4"/>
      <c r="EM587" s="4"/>
      <c r="EN587" s="4"/>
      <c r="EO587" s="4"/>
      <c r="EP587" s="4"/>
      <c r="EQ587" s="4"/>
      <c r="ER587" s="4"/>
      <c r="ES587" s="4"/>
      <c r="ET587" s="4"/>
      <c r="EU587" s="4"/>
      <c r="EV587" s="4"/>
      <c r="EW587" s="4"/>
      <c r="EX587" s="4"/>
      <c r="EY587" s="4"/>
      <c r="EZ587" s="4"/>
      <c r="FA587" s="4"/>
      <c r="FB587" s="4"/>
      <c r="FC587" s="4"/>
      <c r="FD587" s="4"/>
      <c r="FE587" s="4"/>
      <c r="FF587" s="4"/>
      <c r="FG587" s="4"/>
      <c r="FH587" s="4"/>
      <c r="FI587" s="4"/>
      <c r="FJ587" s="4"/>
      <c r="FK587" s="4"/>
      <c r="FL587" s="4"/>
      <c r="FM587" s="4"/>
      <c r="FN587" s="4"/>
      <c r="FO587" s="4"/>
      <c r="FP587" s="4"/>
      <c r="FQ587" s="4"/>
      <c r="FR587" s="4"/>
      <c r="FS587" s="4"/>
      <c r="FT587" s="4"/>
      <c r="FU587" s="4"/>
      <c r="FV587" s="4"/>
      <c r="FW587" s="4"/>
      <c r="FX587" s="4"/>
      <c r="FY587" s="4"/>
      <c r="FZ587" s="4"/>
      <c r="GA587" s="4"/>
      <c r="GB587" s="4"/>
      <c r="GC587" s="4"/>
      <c r="GD587" s="4"/>
      <c r="GE587" s="4"/>
      <c r="GF587" s="4"/>
      <c r="GG587" s="4"/>
      <c r="GH587" s="4"/>
      <c r="GI587" s="4"/>
      <c r="GJ587" s="4"/>
      <c r="GK587" s="4"/>
      <c r="GL587" s="4"/>
      <c r="GM587" s="4"/>
      <c r="GN587" s="4"/>
      <c r="GO587" s="4"/>
      <c r="GP587" s="4"/>
      <c r="GQ587" s="4"/>
      <c r="GR587" s="4"/>
      <c r="GS587" s="4"/>
      <c r="GT587" s="4"/>
      <c r="GU587" s="4"/>
      <c r="GV587" s="4"/>
      <c r="GW587" s="4"/>
      <c r="GX587" s="4"/>
      <c r="GY587" s="4"/>
      <c r="GZ587" s="4"/>
      <c r="HA587" s="4"/>
      <c r="HB587" s="4"/>
      <c r="HC587" s="4"/>
      <c r="HD587" s="4"/>
      <c r="HE587" s="4"/>
      <c r="HF587" s="4"/>
      <c r="HG587" s="4"/>
      <c r="HH587" s="4"/>
      <c r="HI587" s="4"/>
      <c r="HJ587" s="4"/>
    </row>
    <row r="588" spans="1:218" hidden="1">
      <c r="A588" t="s">
        <v>2111</v>
      </c>
      <c r="B588" t="s">
        <v>2112</v>
      </c>
      <c r="C588" t="s">
        <v>505</v>
      </c>
      <c r="D588" t="s">
        <v>2113</v>
      </c>
      <c r="E588" t="s">
        <v>2114</v>
      </c>
      <c r="F588" s="3">
        <v>1</v>
      </c>
      <c r="G588" s="12">
        <f t="shared" si="18"/>
        <v>4.5</v>
      </c>
      <c r="H588" s="12" t="e">
        <f t="shared" si="19"/>
        <v>#NUM!</v>
      </c>
      <c r="I588" s="3">
        <v>4.4958900000000002</v>
      </c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>
        <v>4.5</v>
      </c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  <c r="DQ588" s="4"/>
      <c r="DR588" s="4"/>
      <c r="DS588" s="4"/>
      <c r="DT588" s="4"/>
      <c r="DU588" s="4"/>
      <c r="DV588" s="4"/>
      <c r="DW588" s="4"/>
      <c r="DX588" s="4"/>
      <c r="DY588" s="4"/>
      <c r="DZ588" s="4"/>
      <c r="EA588" s="4"/>
      <c r="EB588" s="4"/>
      <c r="EC588" s="4"/>
      <c r="ED588" s="4"/>
      <c r="EE588" s="4"/>
      <c r="EF588" s="4"/>
      <c r="EG588" s="4"/>
      <c r="EH588" s="4"/>
      <c r="EI588" s="4"/>
      <c r="EJ588" s="4"/>
      <c r="EK588" s="4"/>
      <c r="EL588" s="4"/>
      <c r="EM588" s="4"/>
      <c r="EN588" s="4"/>
      <c r="EO588" s="4"/>
      <c r="EP588" s="4"/>
      <c r="EQ588" s="4"/>
      <c r="ER588" s="4"/>
      <c r="ES588" s="4"/>
      <c r="ET588" s="4"/>
      <c r="EU588" s="4"/>
      <c r="EV588" s="4"/>
      <c r="EW588" s="4"/>
      <c r="EX588" s="4"/>
      <c r="EY588" s="4"/>
      <c r="EZ588" s="4"/>
      <c r="FA588" s="4"/>
      <c r="FB588" s="4"/>
      <c r="FC588" s="4"/>
      <c r="FD588" s="4"/>
      <c r="FE588" s="4"/>
      <c r="FF588" s="4"/>
      <c r="FG588" s="4"/>
      <c r="FH588" s="4"/>
      <c r="FI588" s="4"/>
      <c r="FJ588" s="4"/>
      <c r="FK588" s="4"/>
      <c r="FL588" s="4"/>
      <c r="FM588" s="4"/>
      <c r="FN588" s="4"/>
      <c r="FO588" s="4"/>
      <c r="FP588" s="4"/>
      <c r="FQ588" s="4"/>
      <c r="FR588" s="4"/>
      <c r="FS588" s="4"/>
      <c r="FT588" s="4"/>
      <c r="FU588" s="4"/>
      <c r="FV588" s="4"/>
      <c r="FW588" s="4"/>
      <c r="FX588" s="4"/>
      <c r="FY588" s="4"/>
      <c r="FZ588" s="4"/>
      <c r="GA588" s="4"/>
      <c r="GB588" s="4"/>
      <c r="GC588" s="4"/>
      <c r="GD588" s="4"/>
      <c r="GE588" s="4"/>
      <c r="GF588" s="4"/>
      <c r="GG588" s="4"/>
      <c r="GH588" s="4"/>
      <c r="GI588" s="4"/>
      <c r="GJ588" s="4"/>
      <c r="GK588" s="4"/>
      <c r="GL588" s="4"/>
      <c r="GM588" s="4"/>
      <c r="GN588" s="4"/>
      <c r="GO588" s="4"/>
      <c r="GP588" s="4"/>
      <c r="GQ588" s="4"/>
      <c r="GR588" s="4"/>
      <c r="GS588" s="4"/>
      <c r="GT588" s="4"/>
      <c r="GU588" s="4"/>
      <c r="GV588" s="4"/>
      <c r="GW588" s="4"/>
      <c r="GX588" s="4"/>
      <c r="GY588" s="4"/>
      <c r="GZ588" s="4"/>
      <c r="HA588" s="4"/>
      <c r="HB588" s="4"/>
      <c r="HC588" s="4"/>
      <c r="HD588" s="4"/>
      <c r="HE588" s="4"/>
      <c r="HF588" s="4"/>
      <c r="HG588" s="4"/>
      <c r="HH588" s="4"/>
      <c r="HI588" s="4"/>
      <c r="HJ588" s="4"/>
    </row>
    <row r="589" spans="1:218" hidden="1">
      <c r="A589" t="s">
        <v>2266</v>
      </c>
      <c r="B589" t="s">
        <v>2267</v>
      </c>
      <c r="C589" t="s">
        <v>826</v>
      </c>
      <c r="D589" t="s">
        <v>2268</v>
      </c>
      <c r="E589" t="s">
        <v>2269</v>
      </c>
      <c r="F589" s="3">
        <v>1</v>
      </c>
      <c r="G589" s="12">
        <f t="shared" si="18"/>
        <v>4.2</v>
      </c>
      <c r="H589" s="12" t="e">
        <f t="shared" si="19"/>
        <v>#NUM!</v>
      </c>
      <c r="I589" s="3">
        <v>4.1960600000000001</v>
      </c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  <c r="DQ589" s="4"/>
      <c r="DR589" s="4"/>
      <c r="DS589" s="4"/>
      <c r="DT589" s="4"/>
      <c r="DU589" s="4"/>
      <c r="DV589" s="4"/>
      <c r="DW589" s="4">
        <v>4.2</v>
      </c>
      <c r="DX589" s="4"/>
      <c r="DY589" s="4"/>
      <c r="DZ589" s="4"/>
      <c r="EA589" s="4"/>
      <c r="EB589" s="4"/>
      <c r="EC589" s="4"/>
      <c r="ED589" s="4"/>
      <c r="EE589" s="4"/>
      <c r="EF589" s="4"/>
      <c r="EG589" s="4"/>
      <c r="EH589" s="4"/>
      <c r="EI589" s="4"/>
      <c r="EJ589" s="4"/>
      <c r="EK589" s="4"/>
      <c r="EL589" s="4"/>
      <c r="EM589" s="4"/>
      <c r="EN589" s="4"/>
      <c r="EO589" s="4"/>
      <c r="EP589" s="4"/>
      <c r="EQ589" s="4"/>
      <c r="ER589" s="4"/>
      <c r="ES589" s="4"/>
      <c r="ET589" s="4"/>
      <c r="EU589" s="4"/>
      <c r="EV589" s="4"/>
      <c r="EW589" s="4"/>
      <c r="EX589" s="4"/>
      <c r="EY589" s="4"/>
      <c r="EZ589" s="4"/>
      <c r="FA589" s="4"/>
      <c r="FB589" s="4"/>
      <c r="FC589" s="4"/>
      <c r="FD589" s="4"/>
      <c r="FE589" s="4"/>
      <c r="FF589" s="4"/>
      <c r="FG589" s="4"/>
      <c r="FH589" s="4"/>
      <c r="FI589" s="4"/>
      <c r="FJ589" s="4"/>
      <c r="FK589" s="4"/>
      <c r="FL589" s="4"/>
      <c r="FM589" s="4"/>
      <c r="FN589" s="4"/>
      <c r="FO589" s="4"/>
      <c r="FP589" s="4"/>
      <c r="FQ589" s="4"/>
      <c r="FR589" s="4"/>
      <c r="FS589" s="4"/>
      <c r="FT589" s="4"/>
      <c r="FU589" s="4"/>
      <c r="FV589" s="4"/>
      <c r="FW589" s="4"/>
      <c r="FX589" s="4"/>
      <c r="FY589" s="4"/>
      <c r="FZ589" s="4"/>
      <c r="GA589" s="4"/>
      <c r="GB589" s="4"/>
      <c r="GC589" s="4"/>
      <c r="GD589" s="4"/>
      <c r="GE589" s="4"/>
      <c r="GF589" s="4"/>
      <c r="GG589" s="4"/>
      <c r="GH589" s="4"/>
      <c r="GI589" s="4"/>
      <c r="GJ589" s="4"/>
      <c r="GK589" s="4"/>
      <c r="GL589" s="4"/>
      <c r="GM589" s="4"/>
      <c r="GN589" s="4"/>
      <c r="GO589" s="4"/>
      <c r="GP589" s="4"/>
      <c r="GQ589" s="4"/>
      <c r="GR589" s="4"/>
      <c r="GS589" s="4"/>
      <c r="GT589" s="4"/>
      <c r="GU589" s="4"/>
      <c r="GV589" s="4"/>
      <c r="GW589" s="4"/>
      <c r="GX589" s="4"/>
      <c r="GY589" s="4"/>
      <c r="GZ589" s="4"/>
      <c r="HA589" s="4"/>
      <c r="HB589" s="4"/>
      <c r="HC589" s="4"/>
      <c r="HD589" s="4"/>
      <c r="HE589" s="4"/>
      <c r="HF589" s="4"/>
      <c r="HG589" s="4"/>
      <c r="HH589" s="4"/>
      <c r="HI589" s="4"/>
      <c r="HJ589" s="4"/>
    </row>
    <row r="590" spans="1:218" hidden="1">
      <c r="A590" t="s">
        <v>2164</v>
      </c>
      <c r="B590" t="s">
        <v>2165</v>
      </c>
      <c r="C590" t="s">
        <v>1269</v>
      </c>
      <c r="D590" t="s">
        <v>2166</v>
      </c>
      <c r="E590" t="s">
        <v>2167</v>
      </c>
      <c r="F590" s="3">
        <v>1</v>
      </c>
      <c r="G590" s="12">
        <f t="shared" si="18"/>
        <v>4.41</v>
      </c>
      <c r="H590" s="12" t="e">
        <f t="shared" si="19"/>
        <v>#NUM!</v>
      </c>
      <c r="I590" s="3">
        <v>4.4122000000000003</v>
      </c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>
        <v>4.41</v>
      </c>
      <c r="DG590" s="4"/>
      <c r="DH590" s="4"/>
      <c r="DI590" s="4"/>
      <c r="DJ590" s="4"/>
      <c r="DK590" s="4"/>
      <c r="DL590" s="4"/>
      <c r="DM590" s="4"/>
      <c r="DN590" s="4"/>
      <c r="DO590" s="4"/>
      <c r="DP590" s="4"/>
      <c r="DQ590" s="4"/>
      <c r="DR590" s="4"/>
      <c r="DS590" s="4"/>
      <c r="DT590" s="4"/>
      <c r="DU590" s="4"/>
      <c r="DV590" s="4"/>
      <c r="DW590" s="4"/>
      <c r="DX590" s="4"/>
      <c r="DY590" s="4"/>
      <c r="DZ590" s="4"/>
      <c r="EA590" s="4"/>
      <c r="EB590" s="4"/>
      <c r="EC590" s="4"/>
      <c r="ED590" s="4"/>
      <c r="EE590" s="4"/>
      <c r="EF590" s="4"/>
      <c r="EG590" s="4"/>
      <c r="EH590" s="4"/>
      <c r="EI590" s="4"/>
      <c r="EJ590" s="4"/>
      <c r="EK590" s="4"/>
      <c r="EL590" s="4"/>
      <c r="EM590" s="4"/>
      <c r="EN590" s="4"/>
      <c r="EO590" s="4"/>
      <c r="EP590" s="4"/>
      <c r="EQ590" s="4"/>
      <c r="ER590" s="4"/>
      <c r="ES590" s="4"/>
      <c r="ET590" s="4"/>
      <c r="EU590" s="4"/>
      <c r="EV590" s="4"/>
      <c r="EW590" s="4"/>
      <c r="EX590" s="4"/>
      <c r="EY590" s="4"/>
      <c r="EZ590" s="4"/>
      <c r="FA590" s="4"/>
      <c r="FB590" s="4"/>
      <c r="FC590" s="4"/>
      <c r="FD590" s="4"/>
      <c r="FE590" s="4"/>
      <c r="FF590" s="4"/>
      <c r="FG590" s="4"/>
      <c r="FH590" s="4"/>
      <c r="FI590" s="4"/>
      <c r="FJ590" s="4"/>
      <c r="FK590" s="4"/>
      <c r="FL590" s="4"/>
      <c r="FM590" s="4"/>
      <c r="FN590" s="4"/>
      <c r="FO590" s="4"/>
      <c r="FP590" s="4"/>
      <c r="FQ590" s="4"/>
      <c r="FR590" s="4"/>
      <c r="FS590" s="4"/>
      <c r="FT590" s="4"/>
      <c r="FU590" s="4"/>
      <c r="FV590" s="4"/>
      <c r="FW590" s="4"/>
      <c r="FX590" s="4"/>
      <c r="FY590" s="4"/>
      <c r="FZ590" s="4"/>
      <c r="GA590" s="4"/>
      <c r="GB590" s="4"/>
      <c r="GC590" s="4"/>
      <c r="GD590" s="4"/>
      <c r="GE590" s="4"/>
      <c r="GF590" s="4"/>
      <c r="GG590" s="4"/>
      <c r="GH590" s="4"/>
      <c r="GI590" s="4"/>
      <c r="GJ590" s="4"/>
      <c r="GK590" s="4"/>
      <c r="GL590" s="4"/>
      <c r="GM590" s="4"/>
      <c r="GN590" s="4"/>
      <c r="GO590" s="4"/>
      <c r="GP590" s="4"/>
      <c r="GQ590" s="4"/>
      <c r="GR590" s="4"/>
      <c r="GS590" s="4"/>
      <c r="GT590" s="4"/>
      <c r="GU590" s="4"/>
      <c r="GV590" s="4"/>
      <c r="GW590" s="4"/>
      <c r="GX590" s="4"/>
      <c r="GY590" s="4"/>
      <c r="GZ590" s="4"/>
      <c r="HA590" s="4"/>
      <c r="HB590" s="4"/>
      <c r="HC590" s="4"/>
      <c r="HD590" s="4"/>
      <c r="HE590" s="4"/>
      <c r="HF590" s="4"/>
      <c r="HG590" s="4"/>
      <c r="HH590" s="4"/>
      <c r="HI590" s="4"/>
      <c r="HJ590" s="4"/>
    </row>
    <row r="591" spans="1:218" hidden="1">
      <c r="A591" t="s">
        <v>2761</v>
      </c>
      <c r="B591" t="s">
        <v>2762</v>
      </c>
      <c r="C591" t="s">
        <v>443</v>
      </c>
      <c r="D591" t="s">
        <v>2763</v>
      </c>
      <c r="E591" t="s">
        <v>2764</v>
      </c>
      <c r="F591" s="3">
        <v>1</v>
      </c>
      <c r="G591" s="12">
        <f t="shared" si="18"/>
        <v>2.93</v>
      </c>
      <c r="H591" s="12" t="e">
        <f t="shared" si="19"/>
        <v>#NUM!</v>
      </c>
      <c r="I591" s="3">
        <v>2.9314699000000002</v>
      </c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>
        <v>2.93</v>
      </c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  <c r="DQ591" s="4"/>
      <c r="DR591" s="4"/>
      <c r="DS591" s="4"/>
      <c r="DT591" s="4"/>
      <c r="DU591" s="4"/>
      <c r="DV591" s="4"/>
      <c r="DW591" s="4"/>
      <c r="DX591" s="4"/>
      <c r="DY591" s="4"/>
      <c r="DZ591" s="4"/>
      <c r="EA591" s="4"/>
      <c r="EB591" s="4"/>
      <c r="EC591" s="4"/>
      <c r="ED591" s="4"/>
      <c r="EE591" s="4"/>
      <c r="EF591" s="4"/>
      <c r="EG591" s="4"/>
      <c r="EH591" s="4"/>
      <c r="EI591" s="4"/>
      <c r="EJ591" s="4"/>
      <c r="EK591" s="4"/>
      <c r="EL591" s="4"/>
      <c r="EM591" s="4"/>
      <c r="EN591" s="4"/>
      <c r="EO591" s="4"/>
      <c r="EP591" s="4"/>
      <c r="EQ591" s="4"/>
      <c r="ER591" s="4"/>
      <c r="ES591" s="4"/>
      <c r="ET591" s="4"/>
      <c r="EU591" s="4"/>
      <c r="EV591" s="4"/>
      <c r="EW591" s="4"/>
      <c r="EX591" s="4"/>
      <c r="EY591" s="4"/>
      <c r="EZ591" s="4"/>
      <c r="FA591" s="4"/>
      <c r="FB591" s="4"/>
      <c r="FC591" s="4"/>
      <c r="FD591" s="4"/>
      <c r="FE591" s="4"/>
      <c r="FF591" s="4"/>
      <c r="FG591" s="4"/>
      <c r="FH591" s="4"/>
      <c r="FI591" s="4"/>
      <c r="FJ591" s="4"/>
      <c r="FK591" s="4"/>
      <c r="FL591" s="4"/>
      <c r="FM591" s="4"/>
      <c r="FN591" s="4"/>
      <c r="FO591" s="4"/>
      <c r="FP591" s="4"/>
      <c r="FQ591" s="4"/>
      <c r="FR591" s="4"/>
      <c r="FS591" s="4"/>
      <c r="FT591" s="4"/>
      <c r="FU591" s="4"/>
      <c r="FV591" s="4"/>
      <c r="FW591" s="4"/>
      <c r="FX591" s="4"/>
      <c r="FY591" s="4"/>
      <c r="FZ591" s="4"/>
      <c r="GA591" s="4"/>
      <c r="GB591" s="4"/>
      <c r="GC591" s="4"/>
      <c r="GD591" s="4"/>
      <c r="GE591" s="4"/>
      <c r="GF591" s="4"/>
      <c r="GG591" s="4"/>
      <c r="GH591" s="4"/>
      <c r="GI591" s="4"/>
      <c r="GJ591" s="4"/>
      <c r="GK591" s="4"/>
      <c r="GL591" s="4"/>
      <c r="GM591" s="4"/>
      <c r="GN591" s="4"/>
      <c r="GO591" s="4"/>
      <c r="GP591" s="4"/>
      <c r="GQ591" s="4"/>
      <c r="GR591" s="4"/>
      <c r="GS591" s="4"/>
      <c r="GT591" s="4"/>
      <c r="GU591" s="4"/>
      <c r="GV591" s="4"/>
      <c r="GW591" s="4"/>
      <c r="GX591" s="4"/>
      <c r="GY591" s="4"/>
      <c r="GZ591" s="4"/>
      <c r="HA591" s="4"/>
      <c r="HB591" s="4"/>
      <c r="HC591" s="4"/>
      <c r="HD591" s="4"/>
      <c r="HE591" s="4"/>
      <c r="HF591" s="4"/>
      <c r="HG591" s="4"/>
      <c r="HH591" s="4"/>
      <c r="HI591" s="4"/>
      <c r="HJ591" s="4"/>
    </row>
    <row r="592" spans="1:218" hidden="1">
      <c r="A592" t="s">
        <v>2090</v>
      </c>
      <c r="B592" t="s">
        <v>2091</v>
      </c>
      <c r="C592" t="s">
        <v>505</v>
      </c>
      <c r="D592" t="s">
        <v>2092</v>
      </c>
      <c r="E592" t="s">
        <v>2093</v>
      </c>
      <c r="F592" s="3">
        <v>1</v>
      </c>
      <c r="G592" s="12">
        <f t="shared" si="18"/>
        <v>4.5599999999999996</v>
      </c>
      <c r="H592" s="12" t="e">
        <f t="shared" si="19"/>
        <v>#NUM!</v>
      </c>
      <c r="I592" s="3">
        <v>4.5627598000000003</v>
      </c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  <c r="DQ592" s="4"/>
      <c r="DR592" s="4"/>
      <c r="DS592" s="4"/>
      <c r="DT592" s="4"/>
      <c r="DU592" s="4"/>
      <c r="DV592" s="4"/>
      <c r="DW592" s="4"/>
      <c r="DX592" s="4"/>
      <c r="DY592" s="4"/>
      <c r="DZ592" s="4"/>
      <c r="EA592" s="4"/>
      <c r="EB592" s="4"/>
      <c r="EC592" s="4"/>
      <c r="ED592" s="4"/>
      <c r="EE592" s="4"/>
      <c r="EF592" s="4"/>
      <c r="EG592" s="4"/>
      <c r="EH592" s="4"/>
      <c r="EI592" s="4"/>
      <c r="EJ592" s="4"/>
      <c r="EK592" s="4"/>
      <c r="EL592" s="4"/>
      <c r="EM592" s="4"/>
      <c r="EN592" s="4"/>
      <c r="EO592" s="4"/>
      <c r="EP592" s="4"/>
      <c r="EQ592" s="4"/>
      <c r="ER592" s="4"/>
      <c r="ES592" s="4"/>
      <c r="ET592" s="4"/>
      <c r="EU592" s="4"/>
      <c r="EV592" s="4"/>
      <c r="EW592" s="4"/>
      <c r="EX592" s="4"/>
      <c r="EY592" s="4"/>
      <c r="EZ592" s="4"/>
      <c r="FA592" s="4"/>
      <c r="FB592" s="4"/>
      <c r="FC592" s="4"/>
      <c r="FD592" s="4"/>
      <c r="FE592" s="4">
        <v>4.5599999999999996</v>
      </c>
      <c r="FF592" s="4"/>
      <c r="FG592" s="4"/>
      <c r="FH592" s="4"/>
      <c r="FI592" s="4"/>
      <c r="FJ592" s="4"/>
      <c r="FK592" s="4"/>
      <c r="FL592" s="4"/>
      <c r="FM592" s="4"/>
      <c r="FN592" s="4"/>
      <c r="FO592" s="4"/>
      <c r="FP592" s="4"/>
      <c r="FQ592" s="4"/>
      <c r="FR592" s="4"/>
      <c r="FS592" s="4"/>
      <c r="FT592" s="4"/>
      <c r="FU592" s="4"/>
      <c r="FV592" s="4"/>
      <c r="FW592" s="4"/>
      <c r="FX592" s="4"/>
      <c r="FY592" s="4"/>
      <c r="FZ592" s="4"/>
      <c r="GA592" s="4"/>
      <c r="GB592" s="4"/>
      <c r="GC592" s="4"/>
      <c r="GD592" s="4"/>
      <c r="GE592" s="4"/>
      <c r="GF592" s="4"/>
      <c r="GG592" s="4"/>
      <c r="GH592" s="4"/>
      <c r="GI592" s="4"/>
      <c r="GJ592" s="4"/>
      <c r="GK592" s="4"/>
      <c r="GL592" s="4"/>
      <c r="GM592" s="4"/>
      <c r="GN592" s="4"/>
      <c r="GO592" s="4"/>
      <c r="GP592" s="4"/>
      <c r="GQ592" s="4"/>
      <c r="GR592" s="4"/>
      <c r="GS592" s="4"/>
      <c r="GT592" s="4"/>
      <c r="GU592" s="4"/>
      <c r="GV592" s="4"/>
      <c r="GW592" s="4"/>
      <c r="GX592" s="4"/>
      <c r="GY592" s="4"/>
      <c r="GZ592" s="4"/>
      <c r="HA592" s="4"/>
      <c r="HB592" s="4"/>
      <c r="HC592" s="4"/>
      <c r="HD592" s="4"/>
      <c r="HE592" s="4"/>
      <c r="HF592" s="4"/>
      <c r="HG592" s="4"/>
      <c r="HH592" s="4"/>
      <c r="HI592" s="4"/>
      <c r="HJ592" s="4"/>
    </row>
    <row r="593" spans="1:218" hidden="1">
      <c r="A593" t="s">
        <v>2056</v>
      </c>
      <c r="B593" t="s">
        <v>2057</v>
      </c>
      <c r="C593" t="s">
        <v>505</v>
      </c>
      <c r="D593" t="s">
        <v>2058</v>
      </c>
      <c r="E593" t="s">
        <v>2059</v>
      </c>
      <c r="F593" s="3">
        <v>1</v>
      </c>
      <c r="G593" s="12">
        <f t="shared" si="18"/>
        <v>4.6100000000000003</v>
      </c>
      <c r="H593" s="12" t="e">
        <f t="shared" si="19"/>
        <v>#NUM!</v>
      </c>
      <c r="I593" s="3">
        <v>4.6148999999999996</v>
      </c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>
        <v>4.6100000000000003</v>
      </c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  <c r="DQ593" s="4"/>
      <c r="DR593" s="4"/>
      <c r="DS593" s="4"/>
      <c r="DT593" s="4"/>
      <c r="DU593" s="4"/>
      <c r="DV593" s="4"/>
      <c r="DW593" s="4"/>
      <c r="DX593" s="4"/>
      <c r="DY593" s="4"/>
      <c r="DZ593" s="4"/>
      <c r="EA593" s="4"/>
      <c r="EB593" s="4"/>
      <c r="EC593" s="4"/>
      <c r="ED593" s="4"/>
      <c r="EE593" s="4"/>
      <c r="EF593" s="4"/>
      <c r="EG593" s="4"/>
      <c r="EH593" s="4"/>
      <c r="EI593" s="4"/>
      <c r="EJ593" s="4"/>
      <c r="EK593" s="4"/>
      <c r="EL593" s="4"/>
      <c r="EM593" s="4"/>
      <c r="EN593" s="4"/>
      <c r="EO593" s="4"/>
      <c r="EP593" s="4"/>
      <c r="EQ593" s="4"/>
      <c r="ER593" s="4"/>
      <c r="ES593" s="4"/>
      <c r="ET593" s="4"/>
      <c r="EU593" s="4"/>
      <c r="EV593" s="4"/>
      <c r="EW593" s="4"/>
      <c r="EX593" s="4"/>
      <c r="EY593" s="4"/>
      <c r="EZ593" s="4"/>
      <c r="FA593" s="4"/>
      <c r="FB593" s="4"/>
      <c r="FC593" s="4"/>
      <c r="FD593" s="4"/>
      <c r="FE593" s="4"/>
      <c r="FF593" s="4"/>
      <c r="FG593" s="4"/>
      <c r="FH593" s="4"/>
      <c r="FI593" s="4"/>
      <c r="FJ593" s="4"/>
      <c r="FK593" s="4"/>
      <c r="FL593" s="4"/>
      <c r="FM593" s="4"/>
      <c r="FN593" s="4"/>
      <c r="FO593" s="4"/>
      <c r="FP593" s="4"/>
      <c r="FQ593" s="4"/>
      <c r="FR593" s="4"/>
      <c r="FS593" s="4"/>
      <c r="FT593" s="4"/>
      <c r="FU593" s="4"/>
      <c r="FV593" s="4"/>
      <c r="FW593" s="4"/>
      <c r="FX593" s="4"/>
      <c r="FY593" s="4"/>
      <c r="FZ593" s="4"/>
      <c r="GA593" s="4"/>
      <c r="GB593" s="4"/>
      <c r="GC593" s="4"/>
      <c r="GD593" s="4"/>
      <c r="GE593" s="4"/>
      <c r="GF593" s="4"/>
      <c r="GG593" s="4"/>
      <c r="GH593" s="4"/>
      <c r="GI593" s="4"/>
      <c r="GJ593" s="4"/>
      <c r="GK593" s="4"/>
      <c r="GL593" s="4"/>
      <c r="GM593" s="4"/>
      <c r="GN593" s="4"/>
      <c r="GO593" s="4"/>
      <c r="GP593" s="4"/>
      <c r="GQ593" s="4"/>
      <c r="GR593" s="4"/>
      <c r="GS593" s="4"/>
      <c r="GT593" s="4"/>
      <c r="GU593" s="4"/>
      <c r="GV593" s="4"/>
      <c r="GW593" s="4"/>
      <c r="GX593" s="4"/>
      <c r="GY593" s="4"/>
      <c r="GZ593" s="4"/>
      <c r="HA593" s="4"/>
      <c r="HB593" s="4"/>
      <c r="HC593" s="4"/>
      <c r="HD593" s="4"/>
      <c r="HE593" s="4"/>
      <c r="HF593" s="4"/>
      <c r="HG593" s="4"/>
      <c r="HH593" s="4"/>
      <c r="HI593" s="4"/>
      <c r="HJ593" s="4"/>
    </row>
    <row r="594" spans="1:218" hidden="1">
      <c r="A594" t="s">
        <v>1715</v>
      </c>
      <c r="B594" t="s">
        <v>1716</v>
      </c>
      <c r="C594" t="s">
        <v>443</v>
      </c>
      <c r="D594" t="s">
        <v>1717</v>
      </c>
      <c r="E594" t="s">
        <v>1718</v>
      </c>
      <c r="F594" s="3">
        <v>1</v>
      </c>
      <c r="G594" s="12">
        <f t="shared" si="18"/>
        <v>7.47</v>
      </c>
      <c r="H594" s="12" t="e">
        <f t="shared" si="19"/>
        <v>#NUM!</v>
      </c>
      <c r="I594" s="3">
        <v>7.46807</v>
      </c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>
        <v>7.47</v>
      </c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  <c r="DQ594" s="4"/>
      <c r="DR594" s="4"/>
      <c r="DS594" s="4"/>
      <c r="DT594" s="4"/>
      <c r="DU594" s="4"/>
      <c r="DV594" s="4"/>
      <c r="DW594" s="4"/>
      <c r="DX594" s="4"/>
      <c r="DY594" s="4"/>
      <c r="DZ594" s="4"/>
      <c r="EA594" s="4"/>
      <c r="EB594" s="4"/>
      <c r="EC594" s="4"/>
      <c r="ED594" s="4"/>
      <c r="EE594" s="4"/>
      <c r="EF594" s="4"/>
      <c r="EG594" s="4"/>
      <c r="EH594" s="4"/>
      <c r="EI594" s="4"/>
      <c r="EJ594" s="4"/>
      <c r="EK594" s="4"/>
      <c r="EL594" s="4"/>
      <c r="EM594" s="4"/>
      <c r="EN594" s="4"/>
      <c r="EO594" s="4"/>
      <c r="EP594" s="4"/>
      <c r="EQ594" s="4"/>
      <c r="ER594" s="4"/>
      <c r="ES594" s="4"/>
      <c r="ET594" s="4"/>
      <c r="EU594" s="4"/>
      <c r="EV594" s="4"/>
      <c r="EW594" s="4"/>
      <c r="EX594" s="4"/>
      <c r="EY594" s="4"/>
      <c r="EZ594" s="4"/>
      <c r="FA594" s="4"/>
      <c r="FB594" s="4"/>
      <c r="FC594" s="4"/>
      <c r="FD594" s="4"/>
      <c r="FE594" s="4"/>
      <c r="FF594" s="4"/>
      <c r="FG594" s="4"/>
      <c r="FH594" s="4"/>
      <c r="FI594" s="4"/>
      <c r="FJ594" s="4"/>
      <c r="FK594" s="4"/>
      <c r="FL594" s="4"/>
      <c r="FM594" s="4"/>
      <c r="FN594" s="4"/>
      <c r="FO594" s="4"/>
      <c r="FP594" s="4"/>
      <c r="FQ594" s="4"/>
      <c r="FR594" s="4"/>
      <c r="FS594" s="4"/>
      <c r="FT594" s="4"/>
      <c r="FU594" s="4"/>
      <c r="FV594" s="4"/>
      <c r="FW594" s="4"/>
      <c r="FX594" s="4"/>
      <c r="FY594" s="4"/>
      <c r="FZ594" s="4"/>
      <c r="GA594" s="4"/>
      <c r="GB594" s="4"/>
      <c r="GC594" s="4"/>
      <c r="GD594" s="4"/>
      <c r="GE594" s="4"/>
      <c r="GF594" s="4"/>
      <c r="GG594" s="4"/>
      <c r="GH594" s="4"/>
      <c r="GI594" s="4"/>
      <c r="GJ594" s="4"/>
      <c r="GK594" s="4"/>
      <c r="GL594" s="4"/>
      <c r="GM594" s="4"/>
      <c r="GN594" s="4"/>
      <c r="GO594" s="4"/>
      <c r="GP594" s="4"/>
      <c r="GQ594" s="4"/>
      <c r="GR594" s="4"/>
      <c r="GS594" s="4"/>
      <c r="GT594" s="4"/>
      <c r="GU594" s="4"/>
      <c r="GV594" s="4"/>
      <c r="GW594" s="4"/>
      <c r="GX594" s="4"/>
      <c r="GY594" s="4"/>
      <c r="GZ594" s="4"/>
      <c r="HA594" s="4"/>
      <c r="HB594" s="4"/>
      <c r="HC594" s="4"/>
      <c r="HD594" s="4"/>
      <c r="HE594" s="4"/>
      <c r="HF594" s="4"/>
      <c r="HG594" s="4"/>
      <c r="HH594" s="4"/>
      <c r="HI594" s="4"/>
      <c r="HJ594" s="4"/>
    </row>
    <row r="595" spans="1:218" hidden="1">
      <c r="A595" t="s">
        <v>2626</v>
      </c>
      <c r="B595" t="s">
        <v>2627</v>
      </c>
      <c r="C595" t="s">
        <v>1499</v>
      </c>
      <c r="D595" t="s">
        <v>2628</v>
      </c>
      <c r="E595" t="s">
        <v>2629</v>
      </c>
      <c r="F595" s="3">
        <v>1</v>
      </c>
      <c r="G595" s="12">
        <f t="shared" si="18"/>
        <v>3.35</v>
      </c>
      <c r="H595" s="12" t="e">
        <f t="shared" si="19"/>
        <v>#NUM!</v>
      </c>
      <c r="I595" s="3">
        <v>3.3544198000000001</v>
      </c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>
        <v>3.35</v>
      </c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  <c r="DQ595" s="4"/>
      <c r="DR595" s="4"/>
      <c r="DS595" s="4"/>
      <c r="DT595" s="4"/>
      <c r="DU595" s="4"/>
      <c r="DV595" s="4"/>
      <c r="DW595" s="4"/>
      <c r="DX595" s="4"/>
      <c r="DY595" s="4"/>
      <c r="DZ595" s="4"/>
      <c r="EA595" s="4"/>
      <c r="EB595" s="4"/>
      <c r="EC595" s="4"/>
      <c r="ED595" s="4"/>
      <c r="EE595" s="4"/>
      <c r="EF595" s="4"/>
      <c r="EG595" s="4"/>
      <c r="EH595" s="4"/>
      <c r="EI595" s="4"/>
      <c r="EJ595" s="4"/>
      <c r="EK595" s="4"/>
      <c r="EL595" s="4"/>
      <c r="EM595" s="4"/>
      <c r="EN595" s="4"/>
      <c r="EO595" s="4"/>
      <c r="EP595" s="4"/>
      <c r="EQ595" s="4"/>
      <c r="ER595" s="4"/>
      <c r="ES595" s="4"/>
      <c r="ET595" s="4"/>
      <c r="EU595" s="4"/>
      <c r="EV595" s="4"/>
      <c r="EW595" s="4"/>
      <c r="EX595" s="4"/>
      <c r="EY595" s="4"/>
      <c r="EZ595" s="4"/>
      <c r="FA595" s="4"/>
      <c r="FB595" s="4"/>
      <c r="FC595" s="4"/>
      <c r="FD595" s="4"/>
      <c r="FE595" s="4"/>
      <c r="FF595" s="4"/>
      <c r="FG595" s="4"/>
      <c r="FH595" s="4"/>
      <c r="FI595" s="4"/>
      <c r="FJ595" s="4"/>
      <c r="FK595" s="4"/>
      <c r="FL595" s="4"/>
      <c r="FM595" s="4"/>
      <c r="FN595" s="4"/>
      <c r="FO595" s="4"/>
      <c r="FP595" s="4"/>
      <c r="FQ595" s="4"/>
      <c r="FR595" s="4"/>
      <c r="FS595" s="4"/>
      <c r="FT595" s="4"/>
      <c r="FU595" s="4"/>
      <c r="FV595" s="4"/>
      <c r="FW595" s="4"/>
      <c r="FX595" s="4"/>
      <c r="FY595" s="4"/>
      <c r="FZ595" s="4"/>
      <c r="GA595" s="4"/>
      <c r="GB595" s="4"/>
      <c r="GC595" s="4"/>
      <c r="GD595" s="4"/>
      <c r="GE595" s="4"/>
      <c r="GF595" s="4"/>
      <c r="GG595" s="4"/>
      <c r="GH595" s="4"/>
      <c r="GI595" s="4"/>
      <c r="GJ595" s="4"/>
      <c r="GK595" s="4"/>
      <c r="GL595" s="4"/>
      <c r="GM595" s="4"/>
      <c r="GN595" s="4"/>
      <c r="GO595" s="4"/>
      <c r="GP595" s="4"/>
      <c r="GQ595" s="4"/>
      <c r="GR595" s="4"/>
      <c r="GS595" s="4"/>
      <c r="GT595" s="4"/>
      <c r="GU595" s="4"/>
      <c r="GV595" s="4"/>
      <c r="GW595" s="4"/>
      <c r="GX595" s="4"/>
      <c r="GY595" s="4"/>
      <c r="GZ595" s="4"/>
      <c r="HA595" s="4"/>
      <c r="HB595" s="4"/>
      <c r="HC595" s="4"/>
      <c r="HD595" s="4"/>
      <c r="HE595" s="4"/>
      <c r="HF595" s="4"/>
      <c r="HG595" s="4"/>
      <c r="HH595" s="4"/>
      <c r="HI595" s="4"/>
      <c r="HJ595" s="4"/>
    </row>
    <row r="596" spans="1:218" hidden="1">
      <c r="A596" t="s">
        <v>2667</v>
      </c>
      <c r="B596" t="s">
        <v>2668</v>
      </c>
      <c r="C596" t="s">
        <v>505</v>
      </c>
      <c r="D596" t="s">
        <v>2669</v>
      </c>
      <c r="E596" t="s">
        <v>2670</v>
      </c>
      <c r="F596" s="3">
        <v>1</v>
      </c>
      <c r="G596" s="12">
        <f t="shared" si="18"/>
        <v>3.18</v>
      </c>
      <c r="H596" s="12" t="e">
        <f t="shared" si="19"/>
        <v>#NUM!</v>
      </c>
      <c r="I596" s="3">
        <v>3.17957</v>
      </c>
      <c r="K596" s="4"/>
      <c r="L596" s="4"/>
      <c r="M596" s="4"/>
      <c r="N596" s="4"/>
      <c r="O596" s="4"/>
      <c r="P596" s="4"/>
      <c r="Q596" s="4">
        <v>3.18</v>
      </c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  <c r="DQ596" s="4"/>
      <c r="DR596" s="4"/>
      <c r="DS596" s="4"/>
      <c r="DT596" s="4"/>
      <c r="DU596" s="4"/>
      <c r="DV596" s="4"/>
      <c r="DW596" s="4"/>
      <c r="DX596" s="4"/>
      <c r="DY596" s="4"/>
      <c r="DZ596" s="4"/>
      <c r="EA596" s="4"/>
      <c r="EB596" s="4"/>
      <c r="EC596" s="4"/>
      <c r="ED596" s="4"/>
      <c r="EE596" s="4"/>
      <c r="EF596" s="4"/>
      <c r="EG596" s="4"/>
      <c r="EH596" s="4"/>
      <c r="EI596" s="4"/>
      <c r="EJ596" s="4"/>
      <c r="EK596" s="4"/>
      <c r="EL596" s="4"/>
      <c r="EM596" s="4"/>
      <c r="EN596" s="4"/>
      <c r="EO596" s="4"/>
      <c r="EP596" s="4"/>
      <c r="EQ596" s="4"/>
      <c r="ER596" s="4"/>
      <c r="ES596" s="4"/>
      <c r="ET596" s="4"/>
      <c r="EU596" s="4"/>
      <c r="EV596" s="4"/>
      <c r="EW596" s="4"/>
      <c r="EX596" s="4"/>
      <c r="EY596" s="4"/>
      <c r="EZ596" s="4"/>
      <c r="FA596" s="4"/>
      <c r="FB596" s="4"/>
      <c r="FC596" s="4"/>
      <c r="FD596" s="4"/>
      <c r="FE596" s="4"/>
      <c r="FF596" s="4"/>
      <c r="FG596" s="4"/>
      <c r="FH596" s="4"/>
      <c r="FI596" s="4"/>
      <c r="FJ596" s="4"/>
      <c r="FK596" s="4"/>
      <c r="FL596" s="4"/>
      <c r="FM596" s="4"/>
      <c r="FN596" s="4"/>
      <c r="FO596" s="4"/>
      <c r="FP596" s="4"/>
      <c r="FQ596" s="4"/>
      <c r="FR596" s="4"/>
      <c r="FS596" s="4"/>
      <c r="FT596" s="4"/>
      <c r="FU596" s="4"/>
      <c r="FV596" s="4"/>
      <c r="FW596" s="4"/>
      <c r="FX596" s="4"/>
      <c r="FY596" s="4"/>
      <c r="FZ596" s="4"/>
      <c r="GA596" s="4"/>
      <c r="GB596" s="4"/>
      <c r="GC596" s="4"/>
      <c r="GD596" s="4"/>
      <c r="GE596" s="4"/>
      <c r="GF596" s="4"/>
      <c r="GG596" s="4"/>
      <c r="GH596" s="4"/>
      <c r="GI596" s="4"/>
      <c r="GJ596" s="4"/>
      <c r="GK596" s="4"/>
      <c r="GL596" s="4"/>
      <c r="GM596" s="4"/>
      <c r="GN596" s="4"/>
      <c r="GO596" s="4"/>
      <c r="GP596" s="4"/>
      <c r="GQ596" s="4"/>
      <c r="GR596" s="4"/>
      <c r="GS596" s="4"/>
      <c r="GT596" s="4"/>
      <c r="GU596" s="4"/>
      <c r="GV596" s="4"/>
      <c r="GW596" s="4"/>
      <c r="GX596" s="4"/>
      <c r="GY596" s="4"/>
      <c r="GZ596" s="4"/>
      <c r="HA596" s="4"/>
      <c r="HB596" s="4"/>
      <c r="HC596" s="4"/>
      <c r="HD596" s="4"/>
      <c r="HE596" s="4"/>
      <c r="HF596" s="4"/>
      <c r="HG596" s="4"/>
      <c r="HH596" s="4"/>
      <c r="HI596" s="4"/>
      <c r="HJ596" s="4"/>
    </row>
    <row r="597" spans="1:218" hidden="1">
      <c r="A597" t="s">
        <v>3041</v>
      </c>
      <c r="B597" t="s">
        <v>3042</v>
      </c>
      <c r="C597" t="s">
        <v>505</v>
      </c>
      <c r="D597" t="s">
        <v>3043</v>
      </c>
      <c r="E597" t="s">
        <v>3044</v>
      </c>
      <c r="F597" s="3">
        <v>1</v>
      </c>
      <c r="G597" s="12">
        <f t="shared" si="18"/>
        <v>1.95</v>
      </c>
      <c r="H597" s="12" t="e">
        <f t="shared" si="19"/>
        <v>#NUM!</v>
      </c>
      <c r="I597" s="3">
        <v>1.9506699999999999</v>
      </c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  <c r="DQ597" s="4"/>
      <c r="DR597" s="4"/>
      <c r="DS597" s="4"/>
      <c r="DT597" s="4"/>
      <c r="DU597" s="4"/>
      <c r="DV597" s="4"/>
      <c r="DW597" s="4"/>
      <c r="DX597" s="4"/>
      <c r="DY597" s="4"/>
      <c r="DZ597" s="4"/>
      <c r="EA597" s="4"/>
      <c r="EB597" s="4"/>
      <c r="EC597" s="4"/>
      <c r="ED597" s="4"/>
      <c r="EE597" s="4"/>
      <c r="EF597" s="4"/>
      <c r="EG597" s="4"/>
      <c r="EH597" s="4"/>
      <c r="EI597" s="4"/>
      <c r="EJ597" s="4"/>
      <c r="EK597" s="4"/>
      <c r="EL597" s="4"/>
      <c r="EM597" s="4"/>
      <c r="EN597" s="4"/>
      <c r="EO597" s="4"/>
      <c r="EP597" s="4"/>
      <c r="EQ597" s="4"/>
      <c r="ER597" s="4"/>
      <c r="ES597" s="4"/>
      <c r="ET597" s="4"/>
      <c r="EU597" s="4"/>
      <c r="EV597" s="4"/>
      <c r="EW597" s="4"/>
      <c r="EX597" s="4"/>
      <c r="EY597" s="4"/>
      <c r="EZ597" s="4"/>
      <c r="FA597" s="4"/>
      <c r="FB597" s="4"/>
      <c r="FC597" s="4"/>
      <c r="FD597" s="4"/>
      <c r="FE597" s="4"/>
      <c r="FF597" s="4"/>
      <c r="FG597" s="4"/>
      <c r="FH597" s="4"/>
      <c r="FI597" s="4"/>
      <c r="FJ597" s="4"/>
      <c r="FK597" s="4"/>
      <c r="FL597" s="4"/>
      <c r="FM597" s="4"/>
      <c r="FN597" s="4"/>
      <c r="FO597" s="4"/>
      <c r="FP597" s="4"/>
      <c r="FQ597" s="4"/>
      <c r="FR597" s="4"/>
      <c r="FS597" s="4"/>
      <c r="FT597" s="4"/>
      <c r="FU597" s="4"/>
      <c r="FV597" s="4"/>
      <c r="FW597" s="4"/>
      <c r="FX597" s="4"/>
      <c r="FY597" s="4"/>
      <c r="FZ597" s="4"/>
      <c r="GA597" s="4"/>
      <c r="GB597" s="4"/>
      <c r="GC597" s="4"/>
      <c r="GD597" s="4"/>
      <c r="GE597" s="4"/>
      <c r="GF597" s="4"/>
      <c r="GG597" s="4"/>
      <c r="GH597" s="4"/>
      <c r="GI597" s="4"/>
      <c r="GJ597" s="4"/>
      <c r="GK597" s="4"/>
      <c r="GL597" s="4"/>
      <c r="GM597" s="4"/>
      <c r="GN597" s="4"/>
      <c r="GO597" s="4"/>
      <c r="GP597" s="4"/>
      <c r="GQ597" s="4"/>
      <c r="GR597" s="4"/>
      <c r="GS597" s="4"/>
      <c r="GT597" s="4"/>
      <c r="GU597" s="4"/>
      <c r="GV597" s="4"/>
      <c r="GW597" s="4">
        <v>1.95</v>
      </c>
      <c r="GX597" s="4"/>
      <c r="GY597" s="4"/>
      <c r="GZ597" s="4"/>
      <c r="HA597" s="4"/>
      <c r="HB597" s="4"/>
      <c r="HC597" s="4"/>
      <c r="HD597" s="4"/>
      <c r="HE597" s="4"/>
      <c r="HF597" s="4"/>
      <c r="HG597" s="4"/>
      <c r="HH597" s="4"/>
      <c r="HI597" s="4"/>
      <c r="HJ597" s="4"/>
    </row>
    <row r="598" spans="1:218" hidden="1">
      <c r="A598" t="s">
        <v>1908</v>
      </c>
      <c r="B598" t="s">
        <v>1909</v>
      </c>
      <c r="C598" t="s">
        <v>576</v>
      </c>
      <c r="D598" t="s">
        <v>1910</v>
      </c>
      <c r="E598" t="s">
        <v>1911</v>
      </c>
      <c r="F598" s="3">
        <v>1</v>
      </c>
      <c r="G598" s="12">
        <f t="shared" si="18"/>
        <v>5.14</v>
      </c>
      <c r="H598" s="12" t="e">
        <f t="shared" si="19"/>
        <v>#NUM!</v>
      </c>
      <c r="I598" s="3">
        <v>5.1420700000000004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>
        <v>5.14</v>
      </c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  <c r="DQ598" s="4"/>
      <c r="DR598" s="4"/>
      <c r="DS598" s="4"/>
      <c r="DT598" s="4"/>
      <c r="DU598" s="4"/>
      <c r="DV598" s="4"/>
      <c r="DW598" s="4"/>
      <c r="DX598" s="4"/>
      <c r="DY598" s="4"/>
      <c r="DZ598" s="4"/>
      <c r="EA598" s="4"/>
      <c r="EB598" s="4"/>
      <c r="EC598" s="4"/>
      <c r="ED598" s="4"/>
      <c r="EE598" s="4"/>
      <c r="EF598" s="4"/>
      <c r="EG598" s="4"/>
      <c r="EH598" s="4"/>
      <c r="EI598" s="4"/>
      <c r="EJ598" s="4"/>
      <c r="EK598" s="4"/>
      <c r="EL598" s="4"/>
      <c r="EM598" s="4"/>
      <c r="EN598" s="4"/>
      <c r="EO598" s="4"/>
      <c r="EP598" s="4"/>
      <c r="EQ598" s="4"/>
      <c r="ER598" s="4"/>
      <c r="ES598" s="4"/>
      <c r="ET598" s="4"/>
      <c r="EU598" s="4"/>
      <c r="EV598" s="4"/>
      <c r="EW598" s="4"/>
      <c r="EX598" s="4"/>
      <c r="EY598" s="4"/>
      <c r="EZ598" s="4"/>
      <c r="FA598" s="4"/>
      <c r="FB598" s="4"/>
      <c r="FC598" s="4"/>
      <c r="FD598" s="4"/>
      <c r="FE598" s="4"/>
      <c r="FF598" s="4"/>
      <c r="FG598" s="4"/>
      <c r="FH598" s="4"/>
      <c r="FI598" s="4"/>
      <c r="FJ598" s="4"/>
      <c r="FK598" s="4"/>
      <c r="FL598" s="4"/>
      <c r="FM598" s="4"/>
      <c r="FN598" s="4"/>
      <c r="FO598" s="4"/>
      <c r="FP598" s="4"/>
      <c r="FQ598" s="4"/>
      <c r="FR598" s="4"/>
      <c r="FS598" s="4"/>
      <c r="FT598" s="4"/>
      <c r="FU598" s="4"/>
      <c r="FV598" s="4"/>
      <c r="FW598" s="4"/>
      <c r="FX598" s="4"/>
      <c r="FY598" s="4"/>
      <c r="FZ598" s="4"/>
      <c r="GA598" s="4"/>
      <c r="GB598" s="4"/>
      <c r="GC598" s="4"/>
      <c r="GD598" s="4"/>
      <c r="GE598" s="4"/>
      <c r="GF598" s="4"/>
      <c r="GG598" s="4"/>
      <c r="GH598" s="4"/>
      <c r="GI598" s="4"/>
      <c r="GJ598" s="4"/>
      <c r="GK598" s="4"/>
      <c r="GL598" s="4"/>
      <c r="GM598" s="4"/>
      <c r="GN598" s="4"/>
      <c r="GO598" s="4"/>
      <c r="GP598" s="4"/>
      <c r="GQ598" s="4"/>
      <c r="GR598" s="4"/>
      <c r="GS598" s="4"/>
      <c r="GT598" s="4"/>
      <c r="GU598" s="4"/>
      <c r="GV598" s="4"/>
      <c r="GW598" s="4"/>
      <c r="GX598" s="4"/>
      <c r="GY598" s="4"/>
      <c r="GZ598" s="4"/>
      <c r="HA598" s="4"/>
      <c r="HB598" s="4"/>
      <c r="HC598" s="4"/>
      <c r="HD598" s="4"/>
      <c r="HE598" s="4"/>
      <c r="HF598" s="4"/>
      <c r="HG598" s="4"/>
      <c r="HH598" s="4"/>
      <c r="HI598" s="4"/>
      <c r="HJ598" s="4"/>
    </row>
    <row r="599" spans="1:218" hidden="1">
      <c r="A599" t="s">
        <v>2486</v>
      </c>
      <c r="B599" t="s">
        <v>2487</v>
      </c>
      <c r="C599" t="s">
        <v>505</v>
      </c>
      <c r="D599" t="s">
        <v>2488</v>
      </c>
      <c r="E599" t="s">
        <v>2489</v>
      </c>
      <c r="F599" s="3">
        <v>1</v>
      </c>
      <c r="G599" s="12">
        <f t="shared" si="18"/>
        <v>3.71</v>
      </c>
      <c r="H599" s="12" t="e">
        <f t="shared" si="19"/>
        <v>#NUM!</v>
      </c>
      <c r="I599" s="3">
        <v>3.7082701999999998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>
        <v>3.71</v>
      </c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  <c r="DQ599" s="4"/>
      <c r="DR599" s="4"/>
      <c r="DS599" s="4"/>
      <c r="DT599" s="4"/>
      <c r="DU599" s="4"/>
      <c r="DV599" s="4"/>
      <c r="DW599" s="4"/>
      <c r="DX599" s="4"/>
      <c r="DY599" s="4"/>
      <c r="DZ599" s="4"/>
      <c r="EA599" s="4"/>
      <c r="EB599" s="4"/>
      <c r="EC599" s="4"/>
      <c r="ED599" s="4"/>
      <c r="EE599" s="4"/>
      <c r="EF599" s="4"/>
      <c r="EG599" s="4"/>
      <c r="EH599" s="4"/>
      <c r="EI599" s="4"/>
      <c r="EJ599" s="4"/>
      <c r="EK599" s="4"/>
      <c r="EL599" s="4"/>
      <c r="EM599" s="4"/>
      <c r="EN599" s="4"/>
      <c r="EO599" s="4"/>
      <c r="EP599" s="4"/>
      <c r="EQ599" s="4"/>
      <c r="ER599" s="4"/>
      <c r="ES599" s="4"/>
      <c r="ET599" s="4"/>
      <c r="EU599" s="4"/>
      <c r="EV599" s="4"/>
      <c r="EW599" s="4"/>
      <c r="EX599" s="4"/>
      <c r="EY599" s="4"/>
      <c r="EZ599" s="4"/>
      <c r="FA599" s="4"/>
      <c r="FB599" s="4"/>
      <c r="FC599" s="4"/>
      <c r="FD599" s="4"/>
      <c r="FE599" s="4"/>
      <c r="FF599" s="4"/>
      <c r="FG599" s="4"/>
      <c r="FH599" s="4"/>
      <c r="FI599" s="4"/>
      <c r="FJ599" s="4"/>
      <c r="FK599" s="4"/>
      <c r="FL599" s="4"/>
      <c r="FM599" s="4"/>
      <c r="FN599" s="4"/>
      <c r="FO599" s="4"/>
      <c r="FP599" s="4"/>
      <c r="FQ599" s="4"/>
      <c r="FR599" s="4"/>
      <c r="FS599" s="4"/>
      <c r="FT599" s="4"/>
      <c r="FU599" s="4"/>
      <c r="FV599" s="4"/>
      <c r="FW599" s="4"/>
      <c r="FX599" s="4"/>
      <c r="FY599" s="4"/>
      <c r="FZ599" s="4"/>
      <c r="GA599" s="4"/>
      <c r="GB599" s="4"/>
      <c r="GC599" s="4"/>
      <c r="GD599" s="4"/>
      <c r="GE599" s="4"/>
      <c r="GF599" s="4"/>
      <c r="GG599" s="4"/>
      <c r="GH599" s="4"/>
      <c r="GI599" s="4"/>
      <c r="GJ599" s="4"/>
      <c r="GK599" s="4"/>
      <c r="GL599" s="4"/>
      <c r="GM599" s="4"/>
      <c r="GN599" s="4"/>
      <c r="GO599" s="4"/>
      <c r="GP599" s="4"/>
      <c r="GQ599" s="4"/>
      <c r="GR599" s="4"/>
      <c r="GS599" s="4"/>
      <c r="GT599" s="4"/>
      <c r="GU599" s="4"/>
      <c r="GV599" s="4"/>
      <c r="GW599" s="4"/>
      <c r="GX599" s="4"/>
      <c r="GY599" s="4"/>
      <c r="GZ599" s="4"/>
      <c r="HA599" s="4"/>
      <c r="HB599" s="4"/>
      <c r="HC599" s="4"/>
      <c r="HD599" s="4"/>
      <c r="HE599" s="4"/>
      <c r="HF599" s="4"/>
      <c r="HG599" s="4"/>
      <c r="HH599" s="4"/>
      <c r="HI599" s="4"/>
      <c r="HJ599" s="4"/>
    </row>
    <row r="600" spans="1:218" hidden="1">
      <c r="A600" t="s">
        <v>1765</v>
      </c>
      <c r="B600" t="s">
        <v>1766</v>
      </c>
      <c r="C600" t="s">
        <v>1269</v>
      </c>
      <c r="D600" t="s">
        <v>1767</v>
      </c>
      <c r="E600" t="s">
        <v>1768</v>
      </c>
      <c r="F600" s="3">
        <v>1</v>
      </c>
      <c r="G600" s="12">
        <f t="shared" si="18"/>
        <v>6.5</v>
      </c>
      <c r="H600" s="12" t="e">
        <f t="shared" si="19"/>
        <v>#NUM!</v>
      </c>
      <c r="I600" s="3">
        <v>6.5005295000000007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>
        <v>6.5</v>
      </c>
      <c r="DG600" s="4"/>
      <c r="DH600" s="4"/>
      <c r="DI600" s="4"/>
      <c r="DJ600" s="4"/>
      <c r="DK600" s="4"/>
      <c r="DL600" s="4"/>
      <c r="DM600" s="4"/>
      <c r="DN600" s="4"/>
      <c r="DO600" s="4"/>
      <c r="DP600" s="4"/>
      <c r="DQ600" s="4"/>
      <c r="DR600" s="4"/>
      <c r="DS600" s="4"/>
      <c r="DT600" s="4"/>
      <c r="DU600" s="4"/>
      <c r="DV600" s="4"/>
      <c r="DW600" s="4"/>
      <c r="DX600" s="4"/>
      <c r="DY600" s="4"/>
      <c r="DZ600" s="4"/>
      <c r="EA600" s="4"/>
      <c r="EB600" s="4"/>
      <c r="EC600" s="4"/>
      <c r="ED600" s="4"/>
      <c r="EE600" s="4"/>
      <c r="EF600" s="4"/>
      <c r="EG600" s="4"/>
      <c r="EH600" s="4"/>
      <c r="EI600" s="4"/>
      <c r="EJ600" s="4"/>
      <c r="EK600" s="4"/>
      <c r="EL600" s="4"/>
      <c r="EM600" s="4"/>
      <c r="EN600" s="4"/>
      <c r="EO600" s="4"/>
      <c r="EP600" s="4"/>
      <c r="EQ600" s="4"/>
      <c r="ER600" s="4"/>
      <c r="ES600" s="4"/>
      <c r="ET600" s="4"/>
      <c r="EU600" s="4"/>
      <c r="EV600" s="4"/>
      <c r="EW600" s="4"/>
      <c r="EX600" s="4"/>
      <c r="EY600" s="4"/>
      <c r="EZ600" s="4"/>
      <c r="FA600" s="4"/>
      <c r="FB600" s="4"/>
      <c r="FC600" s="4"/>
      <c r="FD600" s="4"/>
      <c r="FE600" s="4"/>
      <c r="FF600" s="4"/>
      <c r="FG600" s="4"/>
      <c r="FH600" s="4"/>
      <c r="FI600" s="4"/>
      <c r="FJ600" s="4"/>
      <c r="FK600" s="4"/>
      <c r="FL600" s="4"/>
      <c r="FM600" s="4"/>
      <c r="FN600" s="4"/>
      <c r="FO600" s="4"/>
      <c r="FP600" s="4"/>
      <c r="FQ600" s="4"/>
      <c r="FR600" s="4"/>
      <c r="FS600" s="4"/>
      <c r="FT600" s="4"/>
      <c r="FU600" s="4"/>
      <c r="FV600" s="4"/>
      <c r="FW600" s="4"/>
      <c r="FX600" s="4"/>
      <c r="FY600" s="4"/>
      <c r="FZ600" s="4"/>
      <c r="GA600" s="4"/>
      <c r="GB600" s="4"/>
      <c r="GC600" s="4"/>
      <c r="GD600" s="4"/>
      <c r="GE600" s="4"/>
      <c r="GF600" s="4"/>
      <c r="GG600" s="4"/>
      <c r="GH600" s="4"/>
      <c r="GI600" s="4"/>
      <c r="GJ600" s="4"/>
      <c r="GK600" s="4"/>
      <c r="GL600" s="4"/>
      <c r="GM600" s="4"/>
      <c r="GN600" s="4"/>
      <c r="GO600" s="4"/>
      <c r="GP600" s="4"/>
      <c r="GQ600" s="4"/>
      <c r="GR600" s="4"/>
      <c r="GS600" s="4"/>
      <c r="GT600" s="4"/>
      <c r="GU600" s="4"/>
      <c r="GV600" s="4"/>
      <c r="GW600" s="4"/>
      <c r="GX600" s="4"/>
      <c r="GY600" s="4"/>
      <c r="GZ600" s="4"/>
      <c r="HA600" s="4"/>
      <c r="HB600" s="4"/>
      <c r="HC600" s="4"/>
      <c r="HD600" s="4"/>
      <c r="HE600" s="4"/>
      <c r="HF600" s="4"/>
      <c r="HG600" s="4"/>
      <c r="HH600" s="4"/>
      <c r="HI600" s="4"/>
      <c r="HJ600" s="4"/>
    </row>
    <row r="601" spans="1:218" hidden="1">
      <c r="A601" t="s">
        <v>2622</v>
      </c>
      <c r="B601" t="s">
        <v>2623</v>
      </c>
      <c r="C601" t="s">
        <v>505</v>
      </c>
      <c r="D601" t="s">
        <v>2624</v>
      </c>
      <c r="E601" t="s">
        <v>2625</v>
      </c>
      <c r="F601" s="3">
        <v>1</v>
      </c>
      <c r="G601" s="12">
        <f t="shared" si="18"/>
        <v>3.36</v>
      </c>
      <c r="H601" s="12" t="e">
        <f t="shared" si="19"/>
        <v>#NUM!</v>
      </c>
      <c r="I601" s="3">
        <v>3.3601899999999998</v>
      </c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  <c r="DQ601" s="4"/>
      <c r="DR601" s="4"/>
      <c r="DS601" s="4"/>
      <c r="DT601" s="4"/>
      <c r="DU601" s="4"/>
      <c r="DV601" s="4"/>
      <c r="DW601" s="4"/>
      <c r="DX601" s="4"/>
      <c r="DY601" s="4"/>
      <c r="DZ601" s="4"/>
      <c r="EA601" s="4"/>
      <c r="EB601" s="4"/>
      <c r="EC601" s="4"/>
      <c r="ED601" s="4"/>
      <c r="EE601" s="4"/>
      <c r="EF601" s="4"/>
      <c r="EG601" s="4"/>
      <c r="EH601" s="4"/>
      <c r="EI601" s="4"/>
      <c r="EJ601" s="4"/>
      <c r="EK601" s="4"/>
      <c r="EL601" s="4"/>
      <c r="EM601" s="4"/>
      <c r="EN601" s="4"/>
      <c r="EO601" s="4"/>
      <c r="EP601" s="4"/>
      <c r="EQ601" s="4"/>
      <c r="ER601" s="4"/>
      <c r="ES601" s="4"/>
      <c r="ET601" s="4"/>
      <c r="EU601" s="4"/>
      <c r="EV601" s="4"/>
      <c r="EW601" s="4">
        <v>3.36</v>
      </c>
      <c r="EX601" s="4"/>
      <c r="EY601" s="4"/>
      <c r="EZ601" s="4"/>
      <c r="FA601" s="4"/>
      <c r="FB601" s="4"/>
      <c r="FC601" s="4"/>
      <c r="FD601" s="4"/>
      <c r="FE601" s="4"/>
      <c r="FF601" s="4"/>
      <c r="FG601" s="4"/>
      <c r="FH601" s="4"/>
      <c r="FI601" s="4"/>
      <c r="FJ601" s="4"/>
      <c r="FK601" s="4"/>
      <c r="FL601" s="4"/>
      <c r="FM601" s="4"/>
      <c r="FN601" s="4"/>
      <c r="FO601" s="4"/>
      <c r="FP601" s="4"/>
      <c r="FQ601" s="4"/>
      <c r="FR601" s="4"/>
      <c r="FS601" s="4"/>
      <c r="FT601" s="4"/>
      <c r="FU601" s="4"/>
      <c r="FV601" s="4"/>
      <c r="FW601" s="4"/>
      <c r="FX601" s="4"/>
      <c r="FY601" s="4"/>
      <c r="FZ601" s="4"/>
      <c r="GA601" s="4"/>
      <c r="GB601" s="4"/>
      <c r="GC601" s="4"/>
      <c r="GD601" s="4"/>
      <c r="GE601" s="4"/>
      <c r="GF601" s="4"/>
      <c r="GG601" s="4"/>
      <c r="GH601" s="4"/>
      <c r="GI601" s="4"/>
      <c r="GJ601" s="4"/>
      <c r="GK601" s="4"/>
      <c r="GL601" s="4"/>
      <c r="GM601" s="4"/>
      <c r="GN601" s="4"/>
      <c r="GO601" s="4"/>
      <c r="GP601" s="4"/>
      <c r="GQ601" s="4"/>
      <c r="GR601" s="4"/>
      <c r="GS601" s="4"/>
      <c r="GT601" s="4"/>
      <c r="GU601" s="4"/>
      <c r="GV601" s="4"/>
      <c r="GW601" s="4"/>
      <c r="GX601" s="4"/>
      <c r="GY601" s="4"/>
      <c r="GZ601" s="4"/>
      <c r="HA601" s="4"/>
      <c r="HB601" s="4"/>
      <c r="HC601" s="4"/>
      <c r="HD601" s="4"/>
      <c r="HE601" s="4"/>
      <c r="HF601" s="4"/>
      <c r="HG601" s="4"/>
      <c r="HH601" s="4"/>
      <c r="HI601" s="4"/>
      <c r="HJ601" s="4"/>
    </row>
    <row r="602" spans="1:218" hidden="1">
      <c r="A602" t="s">
        <v>2747</v>
      </c>
      <c r="B602" t="s">
        <v>2748</v>
      </c>
      <c r="C602" t="s">
        <v>443</v>
      </c>
      <c r="D602" t="s">
        <v>2749</v>
      </c>
      <c r="E602" t="s">
        <v>2750</v>
      </c>
      <c r="F602" s="3">
        <v>1</v>
      </c>
      <c r="G602" s="12">
        <f t="shared" si="18"/>
        <v>2.98</v>
      </c>
      <c r="H602" s="12" t="e">
        <f t="shared" si="19"/>
        <v>#NUM!</v>
      </c>
      <c r="I602" s="3">
        <v>2.9810699999999999</v>
      </c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>
        <v>2.98</v>
      </c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  <c r="DQ602" s="4"/>
      <c r="DR602" s="4"/>
      <c r="DS602" s="4"/>
      <c r="DT602" s="4"/>
      <c r="DU602" s="4"/>
      <c r="DV602" s="4"/>
      <c r="DW602" s="4"/>
      <c r="DX602" s="4"/>
      <c r="DY602" s="4"/>
      <c r="DZ602" s="4"/>
      <c r="EA602" s="4"/>
      <c r="EB602" s="4"/>
      <c r="EC602" s="4"/>
      <c r="ED602" s="4"/>
      <c r="EE602" s="4"/>
      <c r="EF602" s="4"/>
      <c r="EG602" s="4"/>
      <c r="EH602" s="4"/>
      <c r="EI602" s="4"/>
      <c r="EJ602" s="4"/>
      <c r="EK602" s="4"/>
      <c r="EL602" s="4"/>
      <c r="EM602" s="4"/>
      <c r="EN602" s="4"/>
      <c r="EO602" s="4"/>
      <c r="EP602" s="4"/>
      <c r="EQ602" s="4"/>
      <c r="ER602" s="4"/>
      <c r="ES602" s="4"/>
      <c r="ET602" s="4"/>
      <c r="EU602" s="4"/>
      <c r="EV602" s="4"/>
      <c r="EW602" s="4"/>
      <c r="EX602" s="4"/>
      <c r="EY602" s="4"/>
      <c r="EZ602" s="4"/>
      <c r="FA602" s="4"/>
      <c r="FB602" s="4"/>
      <c r="FC602" s="4"/>
      <c r="FD602" s="4"/>
      <c r="FE602" s="4"/>
      <c r="FF602" s="4"/>
      <c r="FG602" s="4"/>
      <c r="FH602" s="4"/>
      <c r="FI602" s="4"/>
      <c r="FJ602" s="4"/>
      <c r="FK602" s="4"/>
      <c r="FL602" s="4"/>
      <c r="FM602" s="4"/>
      <c r="FN602" s="4"/>
      <c r="FO602" s="4"/>
      <c r="FP602" s="4"/>
      <c r="FQ602" s="4"/>
      <c r="FR602" s="4"/>
      <c r="FS602" s="4"/>
      <c r="FT602" s="4"/>
      <c r="FU602" s="4"/>
      <c r="FV602" s="4"/>
      <c r="FW602" s="4"/>
      <c r="FX602" s="4"/>
      <c r="FY602" s="4"/>
      <c r="FZ602" s="4"/>
      <c r="GA602" s="4"/>
      <c r="GB602" s="4"/>
      <c r="GC602" s="4"/>
      <c r="GD602" s="4"/>
      <c r="GE602" s="4"/>
      <c r="GF602" s="4"/>
      <c r="GG602" s="4"/>
      <c r="GH602" s="4"/>
      <c r="GI602" s="4"/>
      <c r="GJ602" s="4"/>
      <c r="GK602" s="4"/>
      <c r="GL602" s="4"/>
      <c r="GM602" s="4"/>
      <c r="GN602" s="4"/>
      <c r="GO602" s="4"/>
      <c r="GP602" s="4"/>
      <c r="GQ602" s="4"/>
      <c r="GR602" s="4"/>
      <c r="GS602" s="4"/>
      <c r="GT602" s="4"/>
      <c r="GU602" s="4"/>
      <c r="GV602" s="4"/>
      <c r="GW602" s="4"/>
      <c r="GX602" s="4"/>
      <c r="GY602" s="4"/>
      <c r="GZ602" s="4"/>
      <c r="HA602" s="4"/>
      <c r="HB602" s="4"/>
      <c r="HC602" s="4"/>
      <c r="HD602" s="4"/>
      <c r="HE602" s="4"/>
      <c r="HF602" s="4"/>
      <c r="HG602" s="4"/>
      <c r="HH602" s="4"/>
      <c r="HI602" s="4"/>
      <c r="HJ602" s="4"/>
    </row>
    <row r="603" spans="1:218" hidden="1">
      <c r="A603" t="s">
        <v>2659</v>
      </c>
      <c r="B603" t="s">
        <v>2660</v>
      </c>
      <c r="C603" t="s">
        <v>1229</v>
      </c>
      <c r="D603" t="s">
        <v>2661</v>
      </c>
      <c r="E603" t="s">
        <v>2662</v>
      </c>
      <c r="F603" s="3">
        <v>1</v>
      </c>
      <c r="G603" s="12">
        <f t="shared" si="18"/>
        <v>3.21</v>
      </c>
      <c r="H603" s="12" t="e">
        <f t="shared" si="19"/>
        <v>#NUM!</v>
      </c>
      <c r="I603" s="3">
        <v>3.2075900000000002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>
        <v>3.21</v>
      </c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  <c r="DQ603" s="4"/>
      <c r="DR603" s="4"/>
      <c r="DS603" s="4"/>
      <c r="DT603" s="4"/>
      <c r="DU603" s="4"/>
      <c r="DV603" s="4"/>
      <c r="DW603" s="4"/>
      <c r="DX603" s="4"/>
      <c r="DY603" s="4"/>
      <c r="DZ603" s="4"/>
      <c r="EA603" s="4"/>
      <c r="EB603" s="4"/>
      <c r="EC603" s="4"/>
      <c r="ED603" s="4"/>
      <c r="EE603" s="4"/>
      <c r="EF603" s="4"/>
      <c r="EG603" s="4"/>
      <c r="EH603" s="4"/>
      <c r="EI603" s="4"/>
      <c r="EJ603" s="4"/>
      <c r="EK603" s="4"/>
      <c r="EL603" s="4"/>
      <c r="EM603" s="4"/>
      <c r="EN603" s="4"/>
      <c r="EO603" s="4"/>
      <c r="EP603" s="4"/>
      <c r="EQ603" s="4"/>
      <c r="ER603" s="4"/>
      <c r="ES603" s="4"/>
      <c r="ET603" s="4"/>
      <c r="EU603" s="4"/>
      <c r="EV603" s="4"/>
      <c r="EW603" s="4"/>
      <c r="EX603" s="4"/>
      <c r="EY603" s="4"/>
      <c r="EZ603" s="4"/>
      <c r="FA603" s="4"/>
      <c r="FB603" s="4"/>
      <c r="FC603" s="4"/>
      <c r="FD603" s="4"/>
      <c r="FE603" s="4"/>
      <c r="FF603" s="4"/>
      <c r="FG603" s="4"/>
      <c r="FH603" s="4"/>
      <c r="FI603" s="4"/>
      <c r="FJ603" s="4"/>
      <c r="FK603" s="4"/>
      <c r="FL603" s="4"/>
      <c r="FM603" s="4"/>
      <c r="FN603" s="4"/>
      <c r="FO603" s="4"/>
      <c r="FP603" s="4"/>
      <c r="FQ603" s="4"/>
      <c r="FR603" s="4"/>
      <c r="FS603" s="4"/>
      <c r="FT603" s="4"/>
      <c r="FU603" s="4"/>
      <c r="FV603" s="4"/>
      <c r="FW603" s="4"/>
      <c r="FX603" s="4"/>
      <c r="FY603" s="4"/>
      <c r="FZ603" s="4"/>
      <c r="GA603" s="4"/>
      <c r="GB603" s="4"/>
      <c r="GC603" s="4"/>
      <c r="GD603" s="4"/>
      <c r="GE603" s="4"/>
      <c r="GF603" s="4"/>
      <c r="GG603" s="4"/>
      <c r="GH603" s="4"/>
      <c r="GI603" s="4"/>
      <c r="GJ603" s="4"/>
      <c r="GK603" s="4"/>
      <c r="GL603" s="4"/>
      <c r="GM603" s="4"/>
      <c r="GN603" s="4"/>
      <c r="GO603" s="4"/>
      <c r="GP603" s="4"/>
      <c r="GQ603" s="4"/>
      <c r="GR603" s="4"/>
      <c r="GS603" s="4"/>
      <c r="GT603" s="4"/>
      <c r="GU603" s="4"/>
      <c r="GV603" s="4"/>
      <c r="GW603" s="4"/>
      <c r="GX603" s="4"/>
      <c r="GY603" s="4"/>
      <c r="GZ603" s="4"/>
      <c r="HA603" s="4"/>
      <c r="HB603" s="4"/>
      <c r="HC603" s="4"/>
      <c r="HD603" s="4"/>
      <c r="HE603" s="4"/>
      <c r="HF603" s="4"/>
      <c r="HG603" s="4"/>
      <c r="HH603" s="4"/>
      <c r="HI603" s="4"/>
      <c r="HJ603" s="4"/>
    </row>
    <row r="604" spans="1:218" hidden="1">
      <c r="A604" t="s">
        <v>2438</v>
      </c>
      <c r="B604" t="s">
        <v>2439</v>
      </c>
      <c r="C604" t="s">
        <v>505</v>
      </c>
      <c r="D604" t="s">
        <v>2440</v>
      </c>
      <c r="E604" t="s">
        <v>2441</v>
      </c>
      <c r="F604" s="3">
        <v>1</v>
      </c>
      <c r="G604" s="12">
        <f t="shared" si="18"/>
        <v>3.83</v>
      </c>
      <c r="H604" s="12" t="e">
        <f t="shared" si="19"/>
        <v>#NUM!</v>
      </c>
      <c r="I604" s="3">
        <v>3.82666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  <c r="DQ604" s="4"/>
      <c r="DR604" s="4"/>
      <c r="DS604" s="4"/>
      <c r="DT604" s="4"/>
      <c r="DU604" s="4"/>
      <c r="DV604" s="4"/>
      <c r="DW604" s="4"/>
      <c r="DX604" s="4"/>
      <c r="DY604" s="4"/>
      <c r="DZ604" s="4"/>
      <c r="EA604" s="4"/>
      <c r="EB604" s="4"/>
      <c r="EC604" s="4"/>
      <c r="ED604" s="4"/>
      <c r="EE604" s="4"/>
      <c r="EF604" s="4"/>
      <c r="EG604" s="4"/>
      <c r="EH604" s="4"/>
      <c r="EI604" s="4"/>
      <c r="EJ604" s="4"/>
      <c r="EK604" s="4"/>
      <c r="EL604" s="4"/>
      <c r="EM604" s="4"/>
      <c r="EN604" s="4"/>
      <c r="EO604" s="4"/>
      <c r="EP604" s="4"/>
      <c r="EQ604" s="4"/>
      <c r="ER604" s="4"/>
      <c r="ES604" s="4"/>
      <c r="ET604" s="4"/>
      <c r="EU604" s="4"/>
      <c r="EV604" s="4"/>
      <c r="EW604" s="4">
        <v>3.83</v>
      </c>
      <c r="EX604" s="4"/>
      <c r="EY604" s="4"/>
      <c r="EZ604" s="4"/>
      <c r="FA604" s="4"/>
      <c r="FB604" s="4"/>
      <c r="FC604" s="4"/>
      <c r="FD604" s="4"/>
      <c r="FE604" s="4"/>
      <c r="FF604" s="4"/>
      <c r="FG604" s="4"/>
      <c r="FH604" s="4"/>
      <c r="FI604" s="4"/>
      <c r="FJ604" s="4"/>
      <c r="FK604" s="4"/>
      <c r="FL604" s="4"/>
      <c r="FM604" s="4"/>
      <c r="FN604" s="4"/>
      <c r="FO604" s="4"/>
      <c r="FP604" s="4"/>
      <c r="FQ604" s="4"/>
      <c r="FR604" s="4"/>
      <c r="FS604" s="4"/>
      <c r="FT604" s="4"/>
      <c r="FU604" s="4"/>
      <c r="FV604" s="4"/>
      <c r="FW604" s="4"/>
      <c r="FX604" s="4"/>
      <c r="FY604" s="4"/>
      <c r="FZ604" s="4"/>
      <c r="GA604" s="4"/>
      <c r="GB604" s="4"/>
      <c r="GC604" s="4"/>
      <c r="GD604" s="4"/>
      <c r="GE604" s="4"/>
      <c r="GF604" s="4"/>
      <c r="GG604" s="4"/>
      <c r="GH604" s="4"/>
      <c r="GI604" s="4"/>
      <c r="GJ604" s="4"/>
      <c r="GK604" s="4"/>
      <c r="GL604" s="4"/>
      <c r="GM604" s="4"/>
      <c r="GN604" s="4"/>
      <c r="GO604" s="4"/>
      <c r="GP604" s="4"/>
      <c r="GQ604" s="4"/>
      <c r="GR604" s="4"/>
      <c r="GS604" s="4"/>
      <c r="GT604" s="4"/>
      <c r="GU604" s="4"/>
      <c r="GV604" s="4"/>
      <c r="GW604" s="4"/>
      <c r="GX604" s="4"/>
      <c r="GY604" s="4"/>
      <c r="GZ604" s="4"/>
      <c r="HA604" s="4"/>
      <c r="HB604" s="4"/>
      <c r="HC604" s="4"/>
      <c r="HD604" s="4"/>
      <c r="HE604" s="4"/>
      <c r="HF604" s="4"/>
      <c r="HG604" s="4"/>
      <c r="HH604" s="4"/>
      <c r="HI604" s="4"/>
      <c r="HJ604" s="4"/>
    </row>
    <row r="605" spans="1:218" hidden="1">
      <c r="A605" t="s">
        <v>1904</v>
      </c>
      <c r="B605" t="s">
        <v>1905</v>
      </c>
      <c r="C605" t="s">
        <v>505</v>
      </c>
      <c r="D605" t="s">
        <v>1906</v>
      </c>
      <c r="E605" t="s">
        <v>1907</v>
      </c>
      <c r="F605" s="3">
        <v>1</v>
      </c>
      <c r="G605" s="12">
        <f t="shared" si="18"/>
        <v>5.17</v>
      </c>
      <c r="H605" s="12" t="e">
        <f t="shared" si="19"/>
        <v>#NUM!</v>
      </c>
      <c r="I605" s="3">
        <v>5.1695500000000001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  <c r="DQ605" s="4"/>
      <c r="DR605" s="4"/>
      <c r="DS605" s="4"/>
      <c r="DT605" s="4"/>
      <c r="DU605" s="4"/>
      <c r="DV605" s="4"/>
      <c r="DW605" s="4"/>
      <c r="DX605" s="4"/>
      <c r="DY605" s="4"/>
      <c r="DZ605" s="4"/>
      <c r="EA605" s="4"/>
      <c r="EB605" s="4"/>
      <c r="EC605" s="4"/>
      <c r="ED605" s="4"/>
      <c r="EE605" s="4"/>
      <c r="EF605" s="4"/>
      <c r="EG605" s="4"/>
      <c r="EH605" s="4">
        <v>5.17</v>
      </c>
      <c r="EI605" s="4"/>
      <c r="EJ605" s="4"/>
      <c r="EK605" s="4"/>
      <c r="EL605" s="4"/>
      <c r="EM605" s="4"/>
      <c r="EN605" s="4"/>
      <c r="EO605" s="4"/>
      <c r="EP605" s="4"/>
      <c r="EQ605" s="4"/>
      <c r="ER605" s="4"/>
      <c r="ES605" s="4"/>
      <c r="ET605" s="4"/>
      <c r="EU605" s="4"/>
      <c r="EV605" s="4"/>
      <c r="EW605" s="4"/>
      <c r="EX605" s="4"/>
      <c r="EY605" s="4"/>
      <c r="EZ605" s="4"/>
      <c r="FA605" s="4"/>
      <c r="FB605" s="4"/>
      <c r="FC605" s="4"/>
      <c r="FD605" s="4"/>
      <c r="FE605" s="4"/>
      <c r="FF605" s="4"/>
      <c r="FG605" s="4"/>
      <c r="FH605" s="4"/>
      <c r="FI605" s="4"/>
      <c r="FJ605" s="4"/>
      <c r="FK605" s="4"/>
      <c r="FL605" s="4"/>
      <c r="FM605" s="4"/>
      <c r="FN605" s="4"/>
      <c r="FO605" s="4"/>
      <c r="FP605" s="4"/>
      <c r="FQ605" s="4"/>
      <c r="FR605" s="4"/>
      <c r="FS605" s="4"/>
      <c r="FT605" s="4"/>
      <c r="FU605" s="4"/>
      <c r="FV605" s="4"/>
      <c r="FW605" s="4"/>
      <c r="FX605" s="4"/>
      <c r="FY605" s="4"/>
      <c r="FZ605" s="4"/>
      <c r="GA605" s="4"/>
      <c r="GB605" s="4"/>
      <c r="GC605" s="4"/>
      <c r="GD605" s="4"/>
      <c r="GE605" s="4"/>
      <c r="GF605" s="4"/>
      <c r="GG605" s="4"/>
      <c r="GH605" s="4"/>
      <c r="GI605" s="4"/>
      <c r="GJ605" s="4"/>
      <c r="GK605" s="4"/>
      <c r="GL605" s="4"/>
      <c r="GM605" s="4"/>
      <c r="GN605" s="4"/>
      <c r="GO605" s="4"/>
      <c r="GP605" s="4"/>
      <c r="GQ605" s="4"/>
      <c r="GR605" s="4"/>
      <c r="GS605" s="4"/>
      <c r="GT605" s="4"/>
      <c r="GU605" s="4"/>
      <c r="GV605" s="4"/>
      <c r="GW605" s="4"/>
      <c r="GX605" s="4"/>
      <c r="GY605" s="4"/>
      <c r="GZ605" s="4"/>
      <c r="HA605" s="4"/>
      <c r="HB605" s="4"/>
      <c r="HC605" s="4"/>
      <c r="HD605" s="4"/>
      <c r="HE605" s="4"/>
      <c r="HF605" s="4"/>
      <c r="HG605" s="4"/>
      <c r="HH605" s="4"/>
      <c r="HI605" s="4"/>
      <c r="HJ605" s="4"/>
    </row>
    <row r="606" spans="1:218" hidden="1">
      <c r="A606" t="s">
        <v>2887</v>
      </c>
      <c r="B606" t="s">
        <v>2888</v>
      </c>
      <c r="C606" t="s">
        <v>2603</v>
      </c>
      <c r="D606" t="s">
        <v>2712</v>
      </c>
      <c r="E606" t="s">
        <v>2889</v>
      </c>
      <c r="F606" s="3">
        <v>1</v>
      </c>
      <c r="G606" s="12">
        <f t="shared" si="18"/>
        <v>2.4500000000000002</v>
      </c>
      <c r="H606" s="12" t="e">
        <f t="shared" si="19"/>
        <v>#NUM!</v>
      </c>
      <c r="I606" s="3">
        <v>2.4547900999999999</v>
      </c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  <c r="DQ606" s="4"/>
      <c r="DR606" s="4"/>
      <c r="DS606" s="4"/>
      <c r="DT606" s="4"/>
      <c r="DU606" s="4"/>
      <c r="DV606" s="4"/>
      <c r="DW606" s="4"/>
      <c r="DX606" s="4"/>
      <c r="DY606" s="4"/>
      <c r="DZ606" s="4"/>
      <c r="EA606" s="4"/>
      <c r="EB606" s="4"/>
      <c r="EC606" s="4"/>
      <c r="ED606" s="4"/>
      <c r="EE606" s="4"/>
      <c r="EF606" s="4"/>
      <c r="EG606" s="4"/>
      <c r="EH606" s="4"/>
      <c r="EI606" s="4">
        <v>2.4500000000000002</v>
      </c>
      <c r="EJ606" s="4"/>
      <c r="EK606" s="4"/>
      <c r="EL606" s="4"/>
      <c r="EM606" s="4"/>
      <c r="EN606" s="4"/>
      <c r="EO606" s="4"/>
      <c r="EP606" s="4"/>
      <c r="EQ606" s="4"/>
      <c r="ER606" s="4"/>
      <c r="ES606" s="4"/>
      <c r="ET606" s="4"/>
      <c r="EU606" s="4"/>
      <c r="EV606" s="4"/>
      <c r="EW606" s="4"/>
      <c r="EX606" s="4"/>
      <c r="EY606" s="4"/>
      <c r="EZ606" s="4"/>
      <c r="FA606" s="4"/>
      <c r="FB606" s="4"/>
      <c r="FC606" s="4"/>
      <c r="FD606" s="4"/>
      <c r="FE606" s="4"/>
      <c r="FF606" s="4"/>
      <c r="FG606" s="4"/>
      <c r="FH606" s="4"/>
      <c r="FI606" s="4"/>
      <c r="FJ606" s="4"/>
      <c r="FK606" s="4"/>
      <c r="FL606" s="4"/>
      <c r="FM606" s="4"/>
      <c r="FN606" s="4"/>
      <c r="FO606" s="4"/>
      <c r="FP606" s="4"/>
      <c r="FQ606" s="4"/>
      <c r="FR606" s="4"/>
      <c r="FS606" s="4"/>
      <c r="FT606" s="4"/>
      <c r="FU606" s="4"/>
      <c r="FV606" s="4"/>
      <c r="FW606" s="4"/>
      <c r="FX606" s="4"/>
      <c r="FY606" s="4"/>
      <c r="FZ606" s="4"/>
      <c r="GA606" s="4"/>
      <c r="GB606" s="4"/>
      <c r="GC606" s="4"/>
      <c r="GD606" s="4"/>
      <c r="GE606" s="4"/>
      <c r="GF606" s="4"/>
      <c r="GG606" s="4"/>
      <c r="GH606" s="4"/>
      <c r="GI606" s="4"/>
      <c r="GJ606" s="4"/>
      <c r="GK606" s="4"/>
      <c r="GL606" s="4"/>
      <c r="GM606" s="4"/>
      <c r="GN606" s="4"/>
      <c r="GO606" s="4"/>
      <c r="GP606" s="4"/>
      <c r="GQ606" s="4"/>
      <c r="GR606" s="4"/>
      <c r="GS606" s="4"/>
      <c r="GT606" s="4"/>
      <c r="GU606" s="4"/>
      <c r="GV606" s="4"/>
      <c r="GW606" s="4"/>
      <c r="GX606" s="4"/>
      <c r="GY606" s="4"/>
      <c r="GZ606" s="4"/>
      <c r="HA606" s="4"/>
      <c r="HB606" s="4"/>
      <c r="HC606" s="4"/>
      <c r="HD606" s="4"/>
      <c r="HE606" s="4"/>
      <c r="HF606" s="4"/>
      <c r="HG606" s="4"/>
      <c r="HH606" s="4"/>
      <c r="HI606" s="4"/>
      <c r="HJ606" s="4"/>
    </row>
    <row r="607" spans="1:218" hidden="1">
      <c r="A607" t="s">
        <v>2143</v>
      </c>
      <c r="B607" t="s">
        <v>2144</v>
      </c>
      <c r="C607" t="s">
        <v>505</v>
      </c>
      <c r="D607" t="s">
        <v>2145</v>
      </c>
      <c r="E607" t="s">
        <v>2146</v>
      </c>
      <c r="F607" s="3">
        <v>1</v>
      </c>
      <c r="G607" s="12">
        <f t="shared" si="18"/>
        <v>4.43</v>
      </c>
      <c r="H607" s="12" t="e">
        <f t="shared" si="19"/>
        <v>#NUM!</v>
      </c>
      <c r="I607" s="3">
        <v>4.4297999999999993</v>
      </c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>
        <v>4.43</v>
      </c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  <c r="DQ607" s="4"/>
      <c r="DR607" s="4"/>
      <c r="DS607" s="4"/>
      <c r="DT607" s="4"/>
      <c r="DU607" s="4"/>
      <c r="DV607" s="4"/>
      <c r="DW607" s="4"/>
      <c r="DX607" s="4"/>
      <c r="DY607" s="4"/>
      <c r="DZ607" s="4"/>
      <c r="EA607" s="4"/>
      <c r="EB607" s="4"/>
      <c r="EC607" s="4"/>
      <c r="ED607" s="4"/>
      <c r="EE607" s="4"/>
      <c r="EF607" s="4"/>
      <c r="EG607" s="4"/>
      <c r="EH607" s="4"/>
      <c r="EI607" s="4"/>
      <c r="EJ607" s="4"/>
      <c r="EK607" s="4"/>
      <c r="EL607" s="4"/>
      <c r="EM607" s="4"/>
      <c r="EN607" s="4"/>
      <c r="EO607" s="4"/>
      <c r="EP607" s="4"/>
      <c r="EQ607" s="4"/>
      <c r="ER607" s="4"/>
      <c r="ES607" s="4"/>
      <c r="ET607" s="4"/>
      <c r="EU607" s="4"/>
      <c r="EV607" s="4"/>
      <c r="EW607" s="4"/>
      <c r="EX607" s="4"/>
      <c r="EY607" s="4"/>
      <c r="EZ607" s="4"/>
      <c r="FA607" s="4"/>
      <c r="FB607" s="4"/>
      <c r="FC607" s="4"/>
      <c r="FD607" s="4"/>
      <c r="FE607" s="4"/>
      <c r="FF607" s="4"/>
      <c r="FG607" s="4"/>
      <c r="FH607" s="4"/>
      <c r="FI607" s="4"/>
      <c r="FJ607" s="4"/>
      <c r="FK607" s="4"/>
      <c r="FL607" s="4"/>
      <c r="FM607" s="4"/>
      <c r="FN607" s="4"/>
      <c r="FO607" s="4"/>
      <c r="FP607" s="4"/>
      <c r="FQ607" s="4"/>
      <c r="FR607" s="4"/>
      <c r="FS607" s="4"/>
      <c r="FT607" s="4"/>
      <c r="FU607" s="4"/>
      <c r="FV607" s="4"/>
      <c r="FW607" s="4"/>
      <c r="FX607" s="4"/>
      <c r="FY607" s="4"/>
      <c r="FZ607" s="4"/>
      <c r="GA607" s="4"/>
      <c r="GB607" s="4"/>
      <c r="GC607" s="4"/>
      <c r="GD607" s="4"/>
      <c r="GE607" s="4"/>
      <c r="GF607" s="4"/>
      <c r="GG607" s="4"/>
      <c r="GH607" s="4"/>
      <c r="GI607" s="4"/>
      <c r="GJ607" s="4"/>
      <c r="GK607" s="4"/>
      <c r="GL607" s="4"/>
      <c r="GM607" s="4"/>
      <c r="GN607" s="4"/>
      <c r="GO607" s="4"/>
      <c r="GP607" s="4"/>
      <c r="GQ607" s="4"/>
      <c r="GR607" s="4"/>
      <c r="GS607" s="4"/>
      <c r="GT607" s="4"/>
      <c r="GU607" s="4"/>
      <c r="GV607" s="4"/>
      <c r="GW607" s="4"/>
      <c r="GX607" s="4"/>
      <c r="GY607" s="4"/>
      <c r="GZ607" s="4"/>
      <c r="HA607" s="4"/>
      <c r="HB607" s="4"/>
      <c r="HC607" s="4"/>
      <c r="HD607" s="4"/>
      <c r="HE607" s="4"/>
      <c r="HF607" s="4"/>
      <c r="HG607" s="4"/>
      <c r="HH607" s="4"/>
      <c r="HI607" s="4"/>
      <c r="HJ607" s="4"/>
    </row>
    <row r="608" spans="1:218" hidden="1">
      <c r="A608" t="s">
        <v>2179</v>
      </c>
      <c r="B608" t="s">
        <v>2180</v>
      </c>
      <c r="C608" t="s">
        <v>1074</v>
      </c>
      <c r="D608" t="s">
        <v>2181</v>
      </c>
      <c r="E608" t="s">
        <v>2182</v>
      </c>
      <c r="F608" s="3">
        <v>1</v>
      </c>
      <c r="G608" s="12">
        <f t="shared" si="18"/>
        <v>4.37</v>
      </c>
      <c r="H608" s="12" t="e">
        <f t="shared" si="19"/>
        <v>#NUM!</v>
      </c>
      <c r="I608" s="3">
        <v>4.3726000000000003</v>
      </c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>
        <v>4.37</v>
      </c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  <c r="DQ608" s="4"/>
      <c r="DR608" s="4"/>
      <c r="DS608" s="4"/>
      <c r="DT608" s="4"/>
      <c r="DU608" s="4"/>
      <c r="DV608" s="4"/>
      <c r="DW608" s="4"/>
      <c r="DX608" s="4"/>
      <c r="DY608" s="4"/>
      <c r="DZ608" s="4"/>
      <c r="EA608" s="4"/>
      <c r="EB608" s="4"/>
      <c r="EC608" s="4"/>
      <c r="ED608" s="4"/>
      <c r="EE608" s="4"/>
      <c r="EF608" s="4"/>
      <c r="EG608" s="4"/>
      <c r="EH608" s="4"/>
      <c r="EI608" s="4"/>
      <c r="EJ608" s="4"/>
      <c r="EK608" s="4"/>
      <c r="EL608" s="4"/>
      <c r="EM608" s="4"/>
      <c r="EN608" s="4"/>
      <c r="EO608" s="4"/>
      <c r="EP608" s="4"/>
      <c r="EQ608" s="4"/>
      <c r="ER608" s="4"/>
      <c r="ES608" s="4"/>
      <c r="ET608" s="4"/>
      <c r="EU608" s="4"/>
      <c r="EV608" s="4"/>
      <c r="EW608" s="4"/>
      <c r="EX608" s="4"/>
      <c r="EY608" s="4"/>
      <c r="EZ608" s="4"/>
      <c r="FA608" s="4"/>
      <c r="FB608" s="4"/>
      <c r="FC608" s="4"/>
      <c r="FD608" s="4"/>
      <c r="FE608" s="4"/>
      <c r="FF608" s="4"/>
      <c r="FG608" s="4"/>
      <c r="FH608" s="4"/>
      <c r="FI608" s="4"/>
      <c r="FJ608" s="4"/>
      <c r="FK608" s="4"/>
      <c r="FL608" s="4"/>
      <c r="FM608" s="4"/>
      <c r="FN608" s="4"/>
      <c r="FO608" s="4"/>
      <c r="FP608" s="4"/>
      <c r="FQ608" s="4"/>
      <c r="FR608" s="4"/>
      <c r="FS608" s="4"/>
      <c r="FT608" s="4"/>
      <c r="FU608" s="4"/>
      <c r="FV608" s="4"/>
      <c r="FW608" s="4"/>
      <c r="FX608" s="4"/>
      <c r="FY608" s="4"/>
      <c r="FZ608" s="4"/>
      <c r="GA608" s="4"/>
      <c r="GB608" s="4"/>
      <c r="GC608" s="4"/>
      <c r="GD608" s="4"/>
      <c r="GE608" s="4"/>
      <c r="GF608" s="4"/>
      <c r="GG608" s="4"/>
      <c r="GH608" s="4"/>
      <c r="GI608" s="4"/>
      <c r="GJ608" s="4"/>
      <c r="GK608" s="4"/>
      <c r="GL608" s="4"/>
      <c r="GM608" s="4"/>
      <c r="GN608" s="4"/>
      <c r="GO608" s="4"/>
      <c r="GP608" s="4"/>
      <c r="GQ608" s="4"/>
      <c r="GR608" s="4"/>
      <c r="GS608" s="4"/>
      <c r="GT608" s="4"/>
      <c r="GU608" s="4"/>
      <c r="GV608" s="4"/>
      <c r="GW608" s="4"/>
      <c r="GX608" s="4"/>
      <c r="GY608" s="4"/>
      <c r="GZ608" s="4"/>
      <c r="HA608" s="4"/>
      <c r="HB608" s="4"/>
      <c r="HC608" s="4"/>
      <c r="HD608" s="4"/>
      <c r="HE608" s="4"/>
      <c r="HF608" s="4"/>
      <c r="HG608" s="4"/>
      <c r="HH608" s="4"/>
      <c r="HI608" s="4"/>
      <c r="HJ608" s="4"/>
    </row>
    <row r="609" spans="1:218" hidden="1">
      <c r="A609" t="s">
        <v>2323</v>
      </c>
      <c r="B609" t="s">
        <v>2324</v>
      </c>
      <c r="C609" t="s">
        <v>484</v>
      </c>
      <c r="D609" t="s">
        <v>2325</v>
      </c>
      <c r="E609" t="s">
        <v>2326</v>
      </c>
      <c r="F609" s="3">
        <v>1</v>
      </c>
      <c r="G609" s="12">
        <f t="shared" si="18"/>
        <v>4.09</v>
      </c>
      <c r="H609" s="12" t="e">
        <f t="shared" si="19"/>
        <v>#NUM!</v>
      </c>
      <c r="I609" s="3">
        <v>4.0945499999999999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>
        <v>4.09</v>
      </c>
      <c r="DO609" s="4"/>
      <c r="DP609" s="4"/>
      <c r="DQ609" s="4"/>
      <c r="DR609" s="4"/>
      <c r="DS609" s="4"/>
      <c r="DT609" s="4"/>
      <c r="DU609" s="4"/>
      <c r="DV609" s="4"/>
      <c r="DW609" s="4"/>
      <c r="DX609" s="4"/>
      <c r="DY609" s="4"/>
      <c r="DZ609" s="4"/>
      <c r="EA609" s="4"/>
      <c r="EB609" s="4"/>
      <c r="EC609" s="4"/>
      <c r="ED609" s="4"/>
      <c r="EE609" s="4"/>
      <c r="EF609" s="4"/>
      <c r="EG609" s="4"/>
      <c r="EH609" s="4"/>
      <c r="EI609" s="4"/>
      <c r="EJ609" s="4"/>
      <c r="EK609" s="4"/>
      <c r="EL609" s="4"/>
      <c r="EM609" s="4"/>
      <c r="EN609" s="4"/>
      <c r="EO609" s="4"/>
      <c r="EP609" s="4"/>
      <c r="EQ609" s="4"/>
      <c r="ER609" s="4"/>
      <c r="ES609" s="4"/>
      <c r="ET609" s="4"/>
      <c r="EU609" s="4"/>
      <c r="EV609" s="4"/>
      <c r="EW609" s="4"/>
      <c r="EX609" s="4"/>
      <c r="EY609" s="4"/>
      <c r="EZ609" s="4"/>
      <c r="FA609" s="4"/>
      <c r="FB609" s="4"/>
      <c r="FC609" s="4"/>
      <c r="FD609" s="4"/>
      <c r="FE609" s="4"/>
      <c r="FF609" s="4"/>
      <c r="FG609" s="4"/>
      <c r="FH609" s="4"/>
      <c r="FI609" s="4"/>
      <c r="FJ609" s="4"/>
      <c r="FK609" s="4"/>
      <c r="FL609" s="4"/>
      <c r="FM609" s="4"/>
      <c r="FN609" s="4"/>
      <c r="FO609" s="4"/>
      <c r="FP609" s="4"/>
      <c r="FQ609" s="4"/>
      <c r="FR609" s="4"/>
      <c r="FS609" s="4"/>
      <c r="FT609" s="4"/>
      <c r="FU609" s="4"/>
      <c r="FV609" s="4"/>
      <c r="FW609" s="4"/>
      <c r="FX609" s="4"/>
      <c r="FY609" s="4"/>
      <c r="FZ609" s="4"/>
      <c r="GA609" s="4"/>
      <c r="GB609" s="4"/>
      <c r="GC609" s="4"/>
      <c r="GD609" s="4"/>
      <c r="GE609" s="4"/>
      <c r="GF609" s="4"/>
      <c r="GG609" s="4"/>
      <c r="GH609" s="4"/>
      <c r="GI609" s="4"/>
      <c r="GJ609" s="4"/>
      <c r="GK609" s="4"/>
      <c r="GL609" s="4"/>
      <c r="GM609" s="4"/>
      <c r="GN609" s="4"/>
      <c r="GO609" s="4"/>
      <c r="GP609" s="4"/>
      <c r="GQ609" s="4"/>
      <c r="GR609" s="4"/>
      <c r="GS609" s="4"/>
      <c r="GT609" s="4"/>
      <c r="GU609" s="4"/>
      <c r="GV609" s="4"/>
      <c r="GW609" s="4"/>
      <c r="GX609" s="4"/>
      <c r="GY609" s="4"/>
      <c r="GZ609" s="4"/>
      <c r="HA609" s="4"/>
      <c r="HB609" s="4"/>
      <c r="HC609" s="4"/>
      <c r="HD609" s="4"/>
      <c r="HE609" s="4"/>
      <c r="HF609" s="4"/>
      <c r="HG609" s="4"/>
      <c r="HH609" s="4"/>
      <c r="HI609" s="4"/>
      <c r="HJ609" s="4"/>
    </row>
    <row r="610" spans="1:218" hidden="1">
      <c r="A610" t="s">
        <v>2319</v>
      </c>
      <c r="B610" t="s">
        <v>2320</v>
      </c>
      <c r="C610" t="s">
        <v>505</v>
      </c>
      <c r="D610" t="s">
        <v>2321</v>
      </c>
      <c r="E610" t="s">
        <v>2322</v>
      </c>
      <c r="F610" s="3">
        <v>1</v>
      </c>
      <c r="G610" s="12">
        <f t="shared" si="18"/>
        <v>4.1100000000000003</v>
      </c>
      <c r="H610" s="12" t="e">
        <f t="shared" si="19"/>
        <v>#NUM!</v>
      </c>
      <c r="I610" s="3">
        <v>4.1072696000000004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  <c r="DQ610" s="4"/>
      <c r="DR610" s="4"/>
      <c r="DS610" s="4"/>
      <c r="DT610" s="4"/>
      <c r="DU610" s="4"/>
      <c r="DV610" s="4"/>
      <c r="DW610" s="4"/>
      <c r="DX610" s="4"/>
      <c r="DY610" s="4"/>
      <c r="DZ610" s="4"/>
      <c r="EA610" s="4"/>
      <c r="EB610" s="4"/>
      <c r="EC610" s="4"/>
      <c r="ED610" s="4"/>
      <c r="EE610" s="4"/>
      <c r="EF610" s="4"/>
      <c r="EG610" s="4"/>
      <c r="EH610" s="4"/>
      <c r="EI610" s="4"/>
      <c r="EJ610" s="4"/>
      <c r="EK610" s="4"/>
      <c r="EL610" s="4"/>
      <c r="EM610" s="4"/>
      <c r="EN610" s="4"/>
      <c r="EO610" s="4"/>
      <c r="EP610" s="4"/>
      <c r="EQ610" s="4"/>
      <c r="ER610" s="4"/>
      <c r="ES610" s="4"/>
      <c r="ET610" s="4"/>
      <c r="EU610" s="4"/>
      <c r="EV610" s="4"/>
      <c r="EW610" s="4"/>
      <c r="EX610" s="4"/>
      <c r="EY610" s="4"/>
      <c r="EZ610" s="4"/>
      <c r="FA610" s="4"/>
      <c r="FB610" s="4"/>
      <c r="FC610" s="4"/>
      <c r="FD610" s="4"/>
      <c r="FE610" s="4"/>
      <c r="FF610" s="4"/>
      <c r="FG610" s="4"/>
      <c r="FH610" s="4"/>
      <c r="FI610" s="4"/>
      <c r="FJ610" s="4"/>
      <c r="FK610" s="4">
        <v>4.1100000000000003</v>
      </c>
      <c r="FL610" s="4"/>
      <c r="FM610" s="4"/>
      <c r="FN610" s="4"/>
      <c r="FO610" s="4"/>
      <c r="FP610" s="4"/>
      <c r="FQ610" s="4"/>
      <c r="FR610" s="4"/>
      <c r="FS610" s="4"/>
      <c r="FT610" s="4"/>
      <c r="FU610" s="4"/>
      <c r="FV610" s="4"/>
      <c r="FW610" s="4"/>
      <c r="FX610" s="4"/>
      <c r="FY610" s="4"/>
      <c r="FZ610" s="4"/>
      <c r="GA610" s="4"/>
      <c r="GB610" s="4"/>
      <c r="GC610" s="4"/>
      <c r="GD610" s="4"/>
      <c r="GE610" s="4"/>
      <c r="GF610" s="4"/>
      <c r="GG610" s="4"/>
      <c r="GH610" s="4"/>
      <c r="GI610" s="4"/>
      <c r="GJ610" s="4"/>
      <c r="GK610" s="4"/>
      <c r="GL610" s="4"/>
      <c r="GM610" s="4"/>
      <c r="GN610" s="4"/>
      <c r="GO610" s="4"/>
      <c r="GP610" s="4"/>
      <c r="GQ610" s="4"/>
      <c r="GR610" s="4"/>
      <c r="GS610" s="4"/>
      <c r="GT610" s="4"/>
      <c r="GU610" s="4"/>
      <c r="GV610" s="4"/>
      <c r="GW610" s="4"/>
      <c r="GX610" s="4"/>
      <c r="GY610" s="4"/>
      <c r="GZ610" s="4"/>
      <c r="HA610" s="4"/>
      <c r="HB610" s="4"/>
      <c r="HC610" s="4"/>
      <c r="HD610" s="4"/>
      <c r="HE610" s="4"/>
      <c r="HF610" s="4"/>
      <c r="HG610" s="4"/>
      <c r="HH610" s="4"/>
      <c r="HI610" s="4"/>
      <c r="HJ610" s="4"/>
    </row>
    <row r="611" spans="1:218" hidden="1">
      <c r="A611" t="s">
        <v>2883</v>
      </c>
      <c r="B611" t="s">
        <v>2884</v>
      </c>
      <c r="C611" t="s">
        <v>505</v>
      </c>
      <c r="D611" t="s">
        <v>2885</v>
      </c>
      <c r="E611" t="s">
        <v>2886</v>
      </c>
      <c r="F611" s="3">
        <v>1</v>
      </c>
      <c r="G611" s="12">
        <f t="shared" si="18"/>
        <v>2.48</v>
      </c>
      <c r="H611" s="12" t="e">
        <f t="shared" si="19"/>
        <v>#NUM!</v>
      </c>
      <c r="I611" s="3">
        <v>2.4767698999999999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>
        <v>2.48</v>
      </c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  <c r="DQ611" s="4"/>
      <c r="DR611" s="4"/>
      <c r="DS611" s="4"/>
      <c r="DT611" s="4"/>
      <c r="DU611" s="4"/>
      <c r="DV611" s="4"/>
      <c r="DW611" s="4"/>
      <c r="DX611" s="4"/>
      <c r="DY611" s="4"/>
      <c r="DZ611" s="4"/>
      <c r="EA611" s="4"/>
      <c r="EB611" s="4"/>
      <c r="EC611" s="4"/>
      <c r="ED611" s="4"/>
      <c r="EE611" s="4"/>
      <c r="EF611" s="4"/>
      <c r="EG611" s="4"/>
      <c r="EH611" s="4"/>
      <c r="EI611" s="4"/>
      <c r="EJ611" s="4"/>
      <c r="EK611" s="4"/>
      <c r="EL611" s="4"/>
      <c r="EM611" s="4"/>
      <c r="EN611" s="4"/>
      <c r="EO611" s="4"/>
      <c r="EP611" s="4"/>
      <c r="EQ611" s="4"/>
      <c r="ER611" s="4"/>
      <c r="ES611" s="4"/>
      <c r="ET611" s="4"/>
      <c r="EU611" s="4"/>
      <c r="EV611" s="4"/>
      <c r="EW611" s="4"/>
      <c r="EX611" s="4"/>
      <c r="EY611" s="4"/>
      <c r="EZ611" s="4"/>
      <c r="FA611" s="4"/>
      <c r="FB611" s="4"/>
      <c r="FC611" s="4"/>
      <c r="FD611" s="4"/>
      <c r="FE611" s="4"/>
      <c r="FF611" s="4"/>
      <c r="FG611" s="4"/>
      <c r="FH611" s="4"/>
      <c r="FI611" s="4"/>
      <c r="FJ611" s="4"/>
      <c r="FK611" s="4"/>
      <c r="FL611" s="4"/>
      <c r="FM611" s="4"/>
      <c r="FN611" s="4"/>
      <c r="FO611" s="4"/>
      <c r="FP611" s="4"/>
      <c r="FQ611" s="4"/>
      <c r="FR611" s="4"/>
      <c r="FS611" s="4"/>
      <c r="FT611" s="4"/>
      <c r="FU611" s="4"/>
      <c r="FV611" s="4"/>
      <c r="FW611" s="4"/>
      <c r="FX611" s="4"/>
      <c r="FY611" s="4"/>
      <c r="FZ611" s="4"/>
      <c r="GA611" s="4"/>
      <c r="GB611" s="4"/>
      <c r="GC611" s="4"/>
      <c r="GD611" s="4"/>
      <c r="GE611" s="4"/>
      <c r="GF611" s="4"/>
      <c r="GG611" s="4"/>
      <c r="GH611" s="4"/>
      <c r="GI611" s="4"/>
      <c r="GJ611" s="4"/>
      <c r="GK611" s="4"/>
      <c r="GL611" s="4"/>
      <c r="GM611" s="4"/>
      <c r="GN611" s="4"/>
      <c r="GO611" s="4"/>
      <c r="GP611" s="4"/>
      <c r="GQ611" s="4"/>
      <c r="GR611" s="4"/>
      <c r="GS611" s="4"/>
      <c r="GT611" s="4"/>
      <c r="GU611" s="4"/>
      <c r="GV611" s="4"/>
      <c r="GW611" s="4"/>
      <c r="GX611" s="4"/>
      <c r="GY611" s="4"/>
      <c r="GZ611" s="4"/>
      <c r="HA611" s="4"/>
      <c r="HB611" s="4"/>
      <c r="HC611" s="4"/>
      <c r="HD611" s="4"/>
      <c r="HE611" s="4"/>
      <c r="HF611" s="4"/>
      <c r="HG611" s="4"/>
      <c r="HH611" s="4"/>
      <c r="HI611" s="4"/>
      <c r="HJ611" s="4"/>
    </row>
    <row r="612" spans="1:218" hidden="1">
      <c r="A612" t="s">
        <v>2924</v>
      </c>
      <c r="B612" t="s">
        <v>2925</v>
      </c>
      <c r="C612" t="s">
        <v>505</v>
      </c>
      <c r="D612" t="s">
        <v>2484</v>
      </c>
      <c r="E612" t="s">
        <v>2926</v>
      </c>
      <c r="F612" s="3">
        <v>1</v>
      </c>
      <c r="G612" s="12">
        <f t="shared" si="18"/>
        <v>2.34</v>
      </c>
      <c r="H612" s="12" t="e">
        <f t="shared" si="19"/>
        <v>#NUM!</v>
      </c>
      <c r="I612" s="3">
        <v>2.3386999999999998</v>
      </c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  <c r="DQ612" s="4"/>
      <c r="DR612" s="4"/>
      <c r="DS612" s="4"/>
      <c r="DT612" s="4"/>
      <c r="DU612" s="4"/>
      <c r="DV612" s="4"/>
      <c r="DW612" s="4"/>
      <c r="DX612" s="4"/>
      <c r="DY612" s="4"/>
      <c r="DZ612" s="4"/>
      <c r="EA612" s="4"/>
      <c r="EB612" s="4"/>
      <c r="EC612" s="4"/>
      <c r="ED612" s="4"/>
      <c r="EE612" s="4"/>
      <c r="EF612" s="4"/>
      <c r="EG612" s="4"/>
      <c r="EH612" s="4"/>
      <c r="EI612" s="4"/>
      <c r="EJ612" s="4"/>
      <c r="EK612" s="4"/>
      <c r="EL612" s="4"/>
      <c r="EM612" s="4"/>
      <c r="EN612" s="4"/>
      <c r="EO612" s="4"/>
      <c r="EP612" s="4"/>
      <c r="EQ612" s="4"/>
      <c r="ER612" s="4"/>
      <c r="ES612" s="4">
        <v>2.34</v>
      </c>
      <c r="ET612" s="4"/>
      <c r="EU612" s="4"/>
      <c r="EV612" s="4"/>
      <c r="EW612" s="4"/>
      <c r="EX612" s="4"/>
      <c r="EY612" s="4"/>
      <c r="EZ612" s="4"/>
      <c r="FA612" s="4"/>
      <c r="FB612" s="4"/>
      <c r="FC612" s="4"/>
      <c r="FD612" s="4"/>
      <c r="FE612" s="4"/>
      <c r="FF612" s="4"/>
      <c r="FG612" s="4"/>
      <c r="FH612" s="4"/>
      <c r="FI612" s="4"/>
      <c r="FJ612" s="4"/>
      <c r="FK612" s="4"/>
      <c r="FL612" s="4"/>
      <c r="FM612" s="4"/>
      <c r="FN612" s="4"/>
      <c r="FO612" s="4"/>
      <c r="FP612" s="4"/>
      <c r="FQ612" s="4"/>
      <c r="FR612" s="4"/>
      <c r="FS612" s="4"/>
      <c r="FT612" s="4"/>
      <c r="FU612" s="4"/>
      <c r="FV612" s="4"/>
      <c r="FW612" s="4"/>
      <c r="FX612" s="4"/>
      <c r="FY612" s="4"/>
      <c r="FZ612" s="4"/>
      <c r="GA612" s="4"/>
      <c r="GB612" s="4"/>
      <c r="GC612" s="4"/>
      <c r="GD612" s="4"/>
      <c r="GE612" s="4"/>
      <c r="GF612" s="4"/>
      <c r="GG612" s="4"/>
      <c r="GH612" s="4"/>
      <c r="GI612" s="4"/>
      <c r="GJ612" s="4"/>
      <c r="GK612" s="4"/>
      <c r="GL612" s="4"/>
      <c r="GM612" s="4"/>
      <c r="GN612" s="4"/>
      <c r="GO612" s="4"/>
      <c r="GP612" s="4"/>
      <c r="GQ612" s="4"/>
      <c r="GR612" s="4"/>
      <c r="GS612" s="4"/>
      <c r="GT612" s="4"/>
      <c r="GU612" s="4"/>
      <c r="GV612" s="4"/>
      <c r="GW612" s="4"/>
      <c r="GX612" s="4"/>
      <c r="GY612" s="4"/>
      <c r="GZ612" s="4"/>
      <c r="HA612" s="4"/>
      <c r="HB612" s="4"/>
      <c r="HC612" s="4"/>
      <c r="HD612" s="4"/>
      <c r="HE612" s="4"/>
      <c r="HF612" s="4"/>
      <c r="HG612" s="4"/>
      <c r="HH612" s="4"/>
      <c r="HI612" s="4"/>
      <c r="HJ612" s="4"/>
    </row>
    <row r="613" spans="1:218" hidden="1">
      <c r="A613" t="s">
        <v>2380</v>
      </c>
      <c r="B613" t="s">
        <v>2381</v>
      </c>
      <c r="C613" t="s">
        <v>783</v>
      </c>
      <c r="D613" t="s">
        <v>2382</v>
      </c>
      <c r="E613" t="s">
        <v>2383</v>
      </c>
      <c r="F613" s="3">
        <v>1</v>
      </c>
      <c r="G613" s="12">
        <f t="shared" si="18"/>
        <v>3.96</v>
      </c>
      <c r="H613" s="12" t="e">
        <f t="shared" si="19"/>
        <v>#NUM!</v>
      </c>
      <c r="I613" s="3">
        <v>3.9619499999999999</v>
      </c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>
        <v>3.96</v>
      </c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  <c r="DQ613" s="4"/>
      <c r="DR613" s="4"/>
      <c r="DS613" s="4"/>
      <c r="DT613" s="4"/>
      <c r="DU613" s="4"/>
      <c r="DV613" s="4"/>
      <c r="DW613" s="4"/>
      <c r="DX613" s="4"/>
      <c r="DY613" s="4"/>
      <c r="DZ613" s="4"/>
      <c r="EA613" s="4"/>
      <c r="EB613" s="4"/>
      <c r="EC613" s="4"/>
      <c r="ED613" s="4"/>
      <c r="EE613" s="4"/>
      <c r="EF613" s="4"/>
      <c r="EG613" s="4"/>
      <c r="EH613" s="4"/>
      <c r="EI613" s="4"/>
      <c r="EJ613" s="4"/>
      <c r="EK613" s="4"/>
      <c r="EL613" s="4"/>
      <c r="EM613" s="4"/>
      <c r="EN613" s="4"/>
      <c r="EO613" s="4"/>
      <c r="EP613" s="4"/>
      <c r="EQ613" s="4"/>
      <c r="ER613" s="4"/>
      <c r="ES613" s="4"/>
      <c r="ET613" s="4"/>
      <c r="EU613" s="4"/>
      <c r="EV613" s="4"/>
      <c r="EW613" s="4"/>
      <c r="EX613" s="4"/>
      <c r="EY613" s="4"/>
      <c r="EZ613" s="4"/>
      <c r="FA613" s="4"/>
      <c r="FB613" s="4"/>
      <c r="FC613" s="4"/>
      <c r="FD613" s="4"/>
      <c r="FE613" s="4"/>
      <c r="FF613" s="4"/>
      <c r="FG613" s="4"/>
      <c r="FH613" s="4"/>
      <c r="FI613" s="4"/>
      <c r="FJ613" s="4"/>
      <c r="FK613" s="4"/>
      <c r="FL613" s="4"/>
      <c r="FM613" s="4"/>
      <c r="FN613" s="4"/>
      <c r="FO613" s="4"/>
      <c r="FP613" s="4"/>
      <c r="FQ613" s="4"/>
      <c r="FR613" s="4"/>
      <c r="FS613" s="4"/>
      <c r="FT613" s="4"/>
      <c r="FU613" s="4"/>
      <c r="FV613" s="4"/>
      <c r="FW613" s="4"/>
      <c r="FX613" s="4"/>
      <c r="FY613" s="4"/>
      <c r="FZ613" s="4"/>
      <c r="GA613" s="4"/>
      <c r="GB613" s="4"/>
      <c r="GC613" s="4"/>
      <c r="GD613" s="4"/>
      <c r="GE613" s="4"/>
      <c r="GF613" s="4"/>
      <c r="GG613" s="4"/>
      <c r="GH613" s="4"/>
      <c r="GI613" s="4"/>
      <c r="GJ613" s="4"/>
      <c r="GK613" s="4"/>
      <c r="GL613" s="4"/>
      <c r="GM613" s="4"/>
      <c r="GN613" s="4"/>
      <c r="GO613" s="4"/>
      <c r="GP613" s="4"/>
      <c r="GQ613" s="4"/>
      <c r="GR613" s="4"/>
      <c r="GS613" s="4"/>
      <c r="GT613" s="4"/>
      <c r="GU613" s="4"/>
      <c r="GV613" s="4"/>
      <c r="GW613" s="4"/>
      <c r="GX613" s="4"/>
      <c r="GY613" s="4"/>
      <c r="GZ613" s="4"/>
      <c r="HA613" s="4"/>
      <c r="HB613" s="4"/>
      <c r="HC613" s="4"/>
      <c r="HD613" s="4"/>
      <c r="HE613" s="4"/>
      <c r="HF613" s="4"/>
      <c r="HG613" s="4"/>
      <c r="HH613" s="4"/>
      <c r="HI613" s="4"/>
      <c r="HJ613" s="4"/>
    </row>
    <row r="614" spans="1:218" hidden="1">
      <c r="A614" t="s">
        <v>2743</v>
      </c>
      <c r="B614" t="s">
        <v>2744</v>
      </c>
      <c r="C614" t="s">
        <v>505</v>
      </c>
      <c r="D614" t="s">
        <v>2745</v>
      </c>
      <c r="E614" t="s">
        <v>2746</v>
      </c>
      <c r="F614" s="3">
        <v>1</v>
      </c>
      <c r="G614" s="12">
        <f t="shared" si="18"/>
        <v>3</v>
      </c>
      <c r="H614" s="12" t="e">
        <f t="shared" si="19"/>
        <v>#NUM!</v>
      </c>
      <c r="I614" s="3">
        <v>3.0041001999999999</v>
      </c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>
        <v>3</v>
      </c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  <c r="DQ614" s="4"/>
      <c r="DR614" s="4"/>
      <c r="DS614" s="4"/>
      <c r="DT614" s="4"/>
      <c r="DU614" s="4"/>
      <c r="DV614" s="4"/>
      <c r="DW614" s="4"/>
      <c r="DX614" s="4"/>
      <c r="DY614" s="4"/>
      <c r="DZ614" s="4"/>
      <c r="EA614" s="4"/>
      <c r="EB614" s="4"/>
      <c r="EC614" s="4"/>
      <c r="ED614" s="4"/>
      <c r="EE614" s="4"/>
      <c r="EF614" s="4"/>
      <c r="EG614" s="4"/>
      <c r="EH614" s="4"/>
      <c r="EI614" s="4"/>
      <c r="EJ614" s="4"/>
      <c r="EK614" s="4"/>
      <c r="EL614" s="4"/>
      <c r="EM614" s="4"/>
      <c r="EN614" s="4"/>
      <c r="EO614" s="4"/>
      <c r="EP614" s="4"/>
      <c r="EQ614" s="4"/>
      <c r="ER614" s="4"/>
      <c r="ES614" s="4"/>
      <c r="ET614" s="4"/>
      <c r="EU614" s="4"/>
      <c r="EV614" s="4"/>
      <c r="EW614" s="4"/>
      <c r="EX614" s="4"/>
      <c r="EY614" s="4"/>
      <c r="EZ614" s="4"/>
      <c r="FA614" s="4"/>
      <c r="FB614" s="4"/>
      <c r="FC614" s="4"/>
      <c r="FD614" s="4"/>
      <c r="FE614" s="4"/>
      <c r="FF614" s="4"/>
      <c r="FG614" s="4"/>
      <c r="FH614" s="4"/>
      <c r="FI614" s="4"/>
      <c r="FJ614" s="4"/>
      <c r="FK614" s="4"/>
      <c r="FL614" s="4"/>
      <c r="FM614" s="4"/>
      <c r="FN614" s="4"/>
      <c r="FO614" s="4"/>
      <c r="FP614" s="4"/>
      <c r="FQ614" s="4"/>
      <c r="FR614" s="4"/>
      <c r="FS614" s="4"/>
      <c r="FT614" s="4"/>
      <c r="FU614" s="4"/>
      <c r="FV614" s="4"/>
      <c r="FW614" s="4"/>
      <c r="FX614" s="4"/>
      <c r="FY614" s="4"/>
      <c r="FZ614" s="4"/>
      <c r="GA614" s="4"/>
      <c r="GB614" s="4"/>
      <c r="GC614" s="4"/>
      <c r="GD614" s="4"/>
      <c r="GE614" s="4"/>
      <c r="GF614" s="4"/>
      <c r="GG614" s="4"/>
      <c r="GH614" s="4"/>
      <c r="GI614" s="4"/>
      <c r="GJ614" s="4"/>
      <c r="GK614" s="4"/>
      <c r="GL614" s="4"/>
      <c r="GM614" s="4"/>
      <c r="GN614" s="4"/>
      <c r="GO614" s="4"/>
      <c r="GP614" s="4"/>
      <c r="GQ614" s="4"/>
      <c r="GR614" s="4"/>
      <c r="GS614" s="4"/>
      <c r="GT614" s="4"/>
      <c r="GU614" s="4"/>
      <c r="GV614" s="4"/>
      <c r="GW614" s="4"/>
      <c r="GX614" s="4"/>
      <c r="GY614" s="4"/>
      <c r="GZ614" s="4"/>
      <c r="HA614" s="4"/>
      <c r="HB614" s="4"/>
      <c r="HC614" s="4"/>
      <c r="HD614" s="4"/>
      <c r="HE614" s="4"/>
      <c r="HF614" s="4"/>
      <c r="HG614" s="4"/>
      <c r="HH614" s="4"/>
      <c r="HI614" s="4"/>
      <c r="HJ614" s="4"/>
    </row>
    <row r="615" spans="1:218" hidden="1">
      <c r="A615" t="s">
        <v>3071</v>
      </c>
      <c r="B615" t="s">
        <v>3072</v>
      </c>
      <c r="C615" t="s">
        <v>489</v>
      </c>
      <c r="D615" t="s">
        <v>490</v>
      </c>
      <c r="E615" t="s">
        <v>490</v>
      </c>
      <c r="F615" s="3">
        <v>1</v>
      </c>
      <c r="G615" s="12">
        <f t="shared" si="18"/>
        <v>1.87</v>
      </c>
      <c r="H615" s="12" t="e">
        <f t="shared" si="19"/>
        <v>#NUM!</v>
      </c>
      <c r="I615" s="3">
        <v>1.8652299999999999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>
        <v>1.87</v>
      </c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  <c r="DQ615" s="4"/>
      <c r="DR615" s="4"/>
      <c r="DS615" s="4"/>
      <c r="DT615" s="4"/>
      <c r="DU615" s="4"/>
      <c r="DV615" s="4"/>
      <c r="DW615" s="4"/>
      <c r="DX615" s="4"/>
      <c r="DY615" s="4"/>
      <c r="DZ615" s="4"/>
      <c r="EA615" s="4"/>
      <c r="EB615" s="4"/>
      <c r="EC615" s="4"/>
      <c r="ED615" s="4"/>
      <c r="EE615" s="4"/>
      <c r="EF615" s="4"/>
      <c r="EG615" s="4"/>
      <c r="EH615" s="4"/>
      <c r="EI615" s="4"/>
      <c r="EJ615" s="4"/>
      <c r="EK615" s="4"/>
      <c r="EL615" s="4"/>
      <c r="EM615" s="4"/>
      <c r="EN615" s="4"/>
      <c r="EO615" s="4"/>
      <c r="EP615" s="4"/>
      <c r="EQ615" s="4"/>
      <c r="ER615" s="4"/>
      <c r="ES615" s="4"/>
      <c r="ET615" s="4"/>
      <c r="EU615" s="4"/>
      <c r="EV615" s="4"/>
      <c r="EW615" s="4"/>
      <c r="EX615" s="4"/>
      <c r="EY615" s="4"/>
      <c r="EZ615" s="4"/>
      <c r="FA615" s="4"/>
      <c r="FB615" s="4"/>
      <c r="FC615" s="4"/>
      <c r="FD615" s="4"/>
      <c r="FE615" s="4"/>
      <c r="FF615" s="4"/>
      <c r="FG615" s="4"/>
      <c r="FH615" s="4"/>
      <c r="FI615" s="4"/>
      <c r="FJ615" s="4"/>
      <c r="FK615" s="4"/>
      <c r="FL615" s="4"/>
      <c r="FM615" s="4"/>
      <c r="FN615" s="4"/>
      <c r="FO615" s="4"/>
      <c r="FP615" s="4"/>
      <c r="FQ615" s="4"/>
      <c r="FR615" s="4"/>
      <c r="FS615" s="4"/>
      <c r="FT615" s="4"/>
      <c r="FU615" s="4"/>
      <c r="FV615" s="4"/>
      <c r="FW615" s="4"/>
      <c r="FX615" s="4"/>
      <c r="FY615" s="4"/>
      <c r="FZ615" s="4"/>
      <c r="GA615" s="4"/>
      <c r="GB615" s="4"/>
      <c r="GC615" s="4"/>
      <c r="GD615" s="4"/>
      <c r="GE615" s="4"/>
      <c r="GF615" s="4"/>
      <c r="GG615" s="4"/>
      <c r="GH615" s="4"/>
      <c r="GI615" s="4"/>
      <c r="GJ615" s="4"/>
      <c r="GK615" s="4"/>
      <c r="GL615" s="4"/>
      <c r="GM615" s="4"/>
      <c r="GN615" s="4"/>
      <c r="GO615" s="4"/>
      <c r="GP615" s="4"/>
      <c r="GQ615" s="4"/>
      <c r="GR615" s="4"/>
      <c r="GS615" s="4"/>
      <c r="GT615" s="4"/>
      <c r="GU615" s="4"/>
      <c r="GV615" s="4"/>
      <c r="GW615" s="4"/>
      <c r="GX615" s="4"/>
      <c r="GY615" s="4"/>
      <c r="GZ615" s="4"/>
      <c r="HA615" s="4"/>
      <c r="HB615" s="4"/>
      <c r="HC615" s="4"/>
      <c r="HD615" s="4"/>
      <c r="HE615" s="4"/>
      <c r="HF615" s="4"/>
      <c r="HG615" s="4"/>
      <c r="HH615" s="4"/>
      <c r="HI615" s="4"/>
      <c r="HJ615" s="4"/>
    </row>
    <row r="616" spans="1:218" hidden="1">
      <c r="A616" t="s">
        <v>1642</v>
      </c>
      <c r="B616" t="s">
        <v>1643</v>
      </c>
      <c r="C616" t="s">
        <v>489</v>
      </c>
      <c r="D616" t="s">
        <v>490</v>
      </c>
      <c r="E616" t="s">
        <v>490</v>
      </c>
      <c r="F616" s="3">
        <v>1</v>
      </c>
      <c r="G616" s="12">
        <f t="shared" si="18"/>
        <v>16.97</v>
      </c>
      <c r="H616" s="12" t="e">
        <f t="shared" si="19"/>
        <v>#NUM!</v>
      </c>
      <c r="I616" s="3">
        <v>16.966619999999999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>
        <v>16.97</v>
      </c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  <c r="DQ616" s="4"/>
      <c r="DR616" s="4"/>
      <c r="DS616" s="4"/>
      <c r="DT616" s="4"/>
      <c r="DU616" s="4"/>
      <c r="DV616" s="4"/>
      <c r="DW616" s="4"/>
      <c r="DX616" s="4"/>
      <c r="DY616" s="4"/>
      <c r="DZ616" s="4"/>
      <c r="EA616" s="4"/>
      <c r="EB616" s="4"/>
      <c r="EC616" s="4"/>
      <c r="ED616" s="4"/>
      <c r="EE616" s="4"/>
      <c r="EF616" s="4"/>
      <c r="EG616" s="4"/>
      <c r="EH616" s="4"/>
      <c r="EI616" s="4"/>
      <c r="EJ616" s="4"/>
      <c r="EK616" s="4"/>
      <c r="EL616" s="4"/>
      <c r="EM616" s="4"/>
      <c r="EN616" s="4"/>
      <c r="EO616" s="4"/>
      <c r="EP616" s="4"/>
      <c r="EQ616" s="4"/>
      <c r="ER616" s="4"/>
      <c r="ES616" s="4"/>
      <c r="ET616" s="4"/>
      <c r="EU616" s="4"/>
      <c r="EV616" s="4"/>
      <c r="EW616" s="4"/>
      <c r="EX616" s="4"/>
      <c r="EY616" s="4"/>
      <c r="EZ616" s="4"/>
      <c r="FA616" s="4"/>
      <c r="FB616" s="4"/>
      <c r="FC616" s="4"/>
      <c r="FD616" s="4"/>
      <c r="FE616" s="4"/>
      <c r="FF616" s="4"/>
      <c r="FG616" s="4"/>
      <c r="FH616" s="4"/>
      <c r="FI616" s="4"/>
      <c r="FJ616" s="4"/>
      <c r="FK616" s="4"/>
      <c r="FL616" s="4"/>
      <c r="FM616" s="4"/>
      <c r="FN616" s="4"/>
      <c r="FO616" s="4"/>
      <c r="FP616" s="4"/>
      <c r="FQ616" s="4"/>
      <c r="FR616" s="4"/>
      <c r="FS616" s="4"/>
      <c r="FT616" s="4"/>
      <c r="FU616" s="4"/>
      <c r="FV616" s="4"/>
      <c r="FW616" s="4"/>
      <c r="FX616" s="4"/>
      <c r="FY616" s="4"/>
      <c r="FZ616" s="4"/>
      <c r="GA616" s="4"/>
      <c r="GB616" s="4"/>
      <c r="GC616" s="4"/>
      <c r="GD616" s="4"/>
      <c r="GE616" s="4"/>
      <c r="GF616" s="4"/>
      <c r="GG616" s="4"/>
      <c r="GH616" s="4"/>
      <c r="GI616" s="4"/>
      <c r="GJ616" s="4"/>
      <c r="GK616" s="4"/>
      <c r="GL616" s="4"/>
      <c r="GM616" s="4"/>
      <c r="GN616" s="4"/>
      <c r="GO616" s="4"/>
      <c r="GP616" s="4"/>
      <c r="GQ616" s="4"/>
      <c r="GR616" s="4"/>
      <c r="GS616" s="4"/>
      <c r="GT616" s="4"/>
      <c r="GU616" s="4"/>
      <c r="GV616" s="4"/>
      <c r="GW616" s="4"/>
      <c r="GX616" s="4"/>
      <c r="GY616" s="4"/>
      <c r="GZ616" s="4"/>
      <c r="HA616" s="4"/>
      <c r="HB616" s="4"/>
      <c r="HC616" s="4"/>
      <c r="HD616" s="4"/>
      <c r="HE616" s="4"/>
      <c r="HF616" s="4"/>
      <c r="HG616" s="4"/>
      <c r="HH616" s="4"/>
      <c r="HI616" s="4"/>
      <c r="HJ616" s="4"/>
    </row>
    <row r="617" spans="1:218" hidden="1">
      <c r="A617" t="s">
        <v>1788</v>
      </c>
      <c r="B617" t="s">
        <v>1789</v>
      </c>
      <c r="C617" t="s">
        <v>1790</v>
      </c>
      <c r="D617" t="s">
        <v>1791</v>
      </c>
      <c r="E617" t="s">
        <v>1792</v>
      </c>
      <c r="F617" s="3">
        <v>1</v>
      </c>
      <c r="G617" s="12">
        <f t="shared" si="18"/>
        <v>6.4</v>
      </c>
      <c r="H617" s="12" t="e">
        <f t="shared" si="19"/>
        <v>#NUM!</v>
      </c>
      <c r="I617" s="3">
        <v>6.4046900000000004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>
        <v>6.4</v>
      </c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  <c r="DQ617" s="4"/>
      <c r="DR617" s="4"/>
      <c r="DS617" s="4"/>
      <c r="DT617" s="4"/>
      <c r="DU617" s="4"/>
      <c r="DV617" s="4"/>
      <c r="DW617" s="4"/>
      <c r="DX617" s="4"/>
      <c r="DY617" s="4"/>
      <c r="DZ617" s="4"/>
      <c r="EA617" s="4"/>
      <c r="EB617" s="4"/>
      <c r="EC617" s="4"/>
      <c r="ED617" s="4"/>
      <c r="EE617" s="4"/>
      <c r="EF617" s="4"/>
      <c r="EG617" s="4"/>
      <c r="EH617" s="4"/>
      <c r="EI617" s="4"/>
      <c r="EJ617" s="4"/>
      <c r="EK617" s="4"/>
      <c r="EL617" s="4"/>
      <c r="EM617" s="4"/>
      <c r="EN617" s="4"/>
      <c r="EO617" s="4"/>
      <c r="EP617" s="4"/>
      <c r="EQ617" s="4"/>
      <c r="ER617" s="4"/>
      <c r="ES617" s="4"/>
      <c r="ET617" s="4"/>
      <c r="EU617" s="4"/>
      <c r="EV617" s="4"/>
      <c r="EW617" s="4"/>
      <c r="EX617" s="4"/>
      <c r="EY617" s="4"/>
      <c r="EZ617" s="4"/>
      <c r="FA617" s="4"/>
      <c r="FB617" s="4"/>
      <c r="FC617" s="4"/>
      <c r="FD617" s="4"/>
      <c r="FE617" s="4"/>
      <c r="FF617" s="4"/>
      <c r="FG617" s="4"/>
      <c r="FH617" s="4"/>
      <c r="FI617" s="4"/>
      <c r="FJ617" s="4"/>
      <c r="FK617" s="4"/>
      <c r="FL617" s="4"/>
      <c r="FM617" s="4"/>
      <c r="FN617" s="4"/>
      <c r="FO617" s="4"/>
      <c r="FP617" s="4"/>
      <c r="FQ617" s="4"/>
      <c r="FR617" s="4"/>
      <c r="FS617" s="4"/>
      <c r="FT617" s="4"/>
      <c r="FU617" s="4"/>
      <c r="FV617" s="4"/>
      <c r="FW617" s="4"/>
      <c r="FX617" s="4"/>
      <c r="FY617" s="4"/>
      <c r="FZ617" s="4"/>
      <c r="GA617" s="4"/>
      <c r="GB617" s="4"/>
      <c r="GC617" s="4"/>
      <c r="GD617" s="4"/>
      <c r="GE617" s="4"/>
      <c r="GF617" s="4"/>
      <c r="GG617" s="4"/>
      <c r="GH617" s="4"/>
      <c r="GI617" s="4"/>
      <c r="GJ617" s="4"/>
      <c r="GK617" s="4"/>
      <c r="GL617" s="4"/>
      <c r="GM617" s="4"/>
      <c r="GN617" s="4"/>
      <c r="GO617" s="4"/>
      <c r="GP617" s="4"/>
      <c r="GQ617" s="4"/>
      <c r="GR617" s="4"/>
      <c r="GS617" s="4"/>
      <c r="GT617" s="4"/>
      <c r="GU617" s="4"/>
      <c r="GV617" s="4"/>
      <c r="GW617" s="4"/>
      <c r="GX617" s="4"/>
      <c r="GY617" s="4"/>
      <c r="GZ617" s="4"/>
      <c r="HA617" s="4"/>
      <c r="HB617" s="4"/>
      <c r="HC617" s="4"/>
      <c r="HD617" s="4"/>
      <c r="HE617" s="4"/>
      <c r="HF617" s="4"/>
      <c r="HG617" s="4"/>
      <c r="HH617" s="4"/>
      <c r="HI617" s="4"/>
      <c r="HJ617" s="4"/>
    </row>
    <row r="618" spans="1:218" hidden="1">
      <c r="A618" t="s">
        <v>1681</v>
      </c>
      <c r="B618" t="s">
        <v>1682</v>
      </c>
      <c r="C618" t="s">
        <v>505</v>
      </c>
      <c r="D618" t="s">
        <v>1683</v>
      </c>
      <c r="E618" t="s">
        <v>1684</v>
      </c>
      <c r="F618" s="3">
        <v>1</v>
      </c>
      <c r="G618" s="12">
        <f t="shared" si="18"/>
        <v>9.0500000000000007</v>
      </c>
      <c r="H618" s="12" t="e">
        <f t="shared" si="19"/>
        <v>#NUM!</v>
      </c>
      <c r="I618" s="3">
        <v>9.0500800000000012</v>
      </c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>
        <v>9.0500000000000007</v>
      </c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  <c r="DQ618" s="4"/>
      <c r="DR618" s="4"/>
      <c r="DS618" s="4"/>
      <c r="DT618" s="4"/>
      <c r="DU618" s="4"/>
      <c r="DV618" s="4"/>
      <c r="DW618" s="4"/>
      <c r="DX618" s="4"/>
      <c r="DY618" s="4"/>
      <c r="DZ618" s="4"/>
      <c r="EA618" s="4"/>
      <c r="EB618" s="4"/>
      <c r="EC618" s="4"/>
      <c r="ED618" s="4"/>
      <c r="EE618" s="4"/>
      <c r="EF618" s="4"/>
      <c r="EG618" s="4"/>
      <c r="EH618" s="4"/>
      <c r="EI618" s="4"/>
      <c r="EJ618" s="4"/>
      <c r="EK618" s="4"/>
      <c r="EL618" s="4"/>
      <c r="EM618" s="4"/>
      <c r="EN618" s="4"/>
      <c r="EO618" s="4"/>
      <c r="EP618" s="4"/>
      <c r="EQ618" s="4"/>
      <c r="ER618" s="4"/>
      <c r="ES618" s="4"/>
      <c r="ET618" s="4"/>
      <c r="EU618" s="4"/>
      <c r="EV618" s="4"/>
      <c r="EW618" s="4"/>
      <c r="EX618" s="4"/>
      <c r="EY618" s="4"/>
      <c r="EZ618" s="4"/>
      <c r="FA618" s="4"/>
      <c r="FB618" s="4"/>
      <c r="FC618" s="4"/>
      <c r="FD618" s="4"/>
      <c r="FE618" s="4"/>
      <c r="FF618" s="4"/>
      <c r="FG618" s="4"/>
      <c r="FH618" s="4"/>
      <c r="FI618" s="4"/>
      <c r="FJ618" s="4"/>
      <c r="FK618" s="4"/>
      <c r="FL618" s="4"/>
      <c r="FM618" s="4"/>
      <c r="FN618" s="4"/>
      <c r="FO618" s="4"/>
      <c r="FP618" s="4"/>
      <c r="FQ618" s="4"/>
      <c r="FR618" s="4"/>
      <c r="FS618" s="4"/>
      <c r="FT618" s="4"/>
      <c r="FU618" s="4"/>
      <c r="FV618" s="4"/>
      <c r="FW618" s="4"/>
      <c r="FX618" s="4"/>
      <c r="FY618" s="4"/>
      <c r="FZ618" s="4"/>
      <c r="GA618" s="4"/>
      <c r="GB618" s="4"/>
      <c r="GC618" s="4"/>
      <c r="GD618" s="4"/>
      <c r="GE618" s="4"/>
      <c r="GF618" s="4"/>
      <c r="GG618" s="4"/>
      <c r="GH618" s="4"/>
      <c r="GI618" s="4"/>
      <c r="GJ618" s="4"/>
      <c r="GK618" s="4"/>
      <c r="GL618" s="4"/>
      <c r="GM618" s="4"/>
      <c r="GN618" s="4"/>
      <c r="GO618" s="4"/>
      <c r="GP618" s="4"/>
      <c r="GQ618" s="4"/>
      <c r="GR618" s="4"/>
      <c r="GS618" s="4"/>
      <c r="GT618" s="4"/>
      <c r="GU618" s="4"/>
      <c r="GV618" s="4"/>
      <c r="GW618" s="4"/>
      <c r="GX618" s="4"/>
      <c r="GY618" s="4"/>
      <c r="GZ618" s="4"/>
      <c r="HA618" s="4"/>
      <c r="HB618" s="4"/>
      <c r="HC618" s="4"/>
      <c r="HD618" s="4"/>
      <c r="HE618" s="4"/>
      <c r="HF618" s="4"/>
      <c r="HG618" s="4"/>
      <c r="HH618" s="4"/>
      <c r="HI618" s="4"/>
      <c r="HJ618" s="4"/>
    </row>
    <row r="619" spans="1:218" hidden="1">
      <c r="A619" t="s">
        <v>2838</v>
      </c>
      <c r="B619" t="s">
        <v>2839</v>
      </c>
      <c r="C619" t="s">
        <v>1439</v>
      </c>
      <c r="D619" t="s">
        <v>2840</v>
      </c>
      <c r="E619" t="s">
        <v>2841</v>
      </c>
      <c r="F619" s="3">
        <v>1</v>
      </c>
      <c r="G619" s="12">
        <f t="shared" si="18"/>
        <v>2.69</v>
      </c>
      <c r="H619" s="12" t="e">
        <f t="shared" si="19"/>
        <v>#NUM!</v>
      </c>
      <c r="I619" s="3">
        <v>2.68892</v>
      </c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>
        <v>2.69</v>
      </c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  <c r="DQ619" s="4"/>
      <c r="DR619" s="4"/>
      <c r="DS619" s="4"/>
      <c r="DT619" s="4"/>
      <c r="DU619" s="4"/>
      <c r="DV619" s="4"/>
      <c r="DW619" s="4"/>
      <c r="DX619" s="4"/>
      <c r="DY619" s="4"/>
      <c r="DZ619" s="4"/>
      <c r="EA619" s="4"/>
      <c r="EB619" s="4"/>
      <c r="EC619" s="4"/>
      <c r="ED619" s="4"/>
      <c r="EE619" s="4"/>
      <c r="EF619" s="4"/>
      <c r="EG619" s="4"/>
      <c r="EH619" s="4"/>
      <c r="EI619" s="4"/>
      <c r="EJ619" s="4"/>
      <c r="EK619" s="4"/>
      <c r="EL619" s="4"/>
      <c r="EM619" s="4"/>
      <c r="EN619" s="4"/>
      <c r="EO619" s="4"/>
      <c r="EP619" s="4"/>
      <c r="EQ619" s="4"/>
      <c r="ER619" s="4"/>
      <c r="ES619" s="4"/>
      <c r="ET619" s="4"/>
      <c r="EU619" s="4"/>
      <c r="EV619" s="4"/>
      <c r="EW619" s="4"/>
      <c r="EX619" s="4"/>
      <c r="EY619" s="4"/>
      <c r="EZ619" s="4"/>
      <c r="FA619" s="4"/>
      <c r="FB619" s="4"/>
      <c r="FC619" s="4"/>
      <c r="FD619" s="4"/>
      <c r="FE619" s="4"/>
      <c r="FF619" s="4"/>
      <c r="FG619" s="4"/>
      <c r="FH619" s="4"/>
      <c r="FI619" s="4"/>
      <c r="FJ619" s="4"/>
      <c r="FK619" s="4"/>
      <c r="FL619" s="4"/>
      <c r="FM619" s="4"/>
      <c r="FN619" s="4"/>
      <c r="FO619" s="4"/>
      <c r="FP619" s="4"/>
      <c r="FQ619" s="4"/>
      <c r="FR619" s="4"/>
      <c r="FS619" s="4"/>
      <c r="FT619" s="4"/>
      <c r="FU619" s="4"/>
      <c r="FV619" s="4"/>
      <c r="FW619" s="4"/>
      <c r="FX619" s="4"/>
      <c r="FY619" s="4"/>
      <c r="FZ619" s="4"/>
      <c r="GA619" s="4"/>
      <c r="GB619" s="4"/>
      <c r="GC619" s="4"/>
      <c r="GD619" s="4"/>
      <c r="GE619" s="4"/>
      <c r="GF619" s="4"/>
      <c r="GG619" s="4"/>
      <c r="GH619" s="4"/>
      <c r="GI619" s="4"/>
      <c r="GJ619" s="4"/>
      <c r="GK619" s="4"/>
      <c r="GL619" s="4"/>
      <c r="GM619" s="4"/>
      <c r="GN619" s="4"/>
      <c r="GO619" s="4"/>
      <c r="GP619" s="4"/>
      <c r="GQ619" s="4"/>
      <c r="GR619" s="4"/>
      <c r="GS619" s="4"/>
      <c r="GT619" s="4"/>
      <c r="GU619" s="4"/>
      <c r="GV619" s="4"/>
      <c r="GW619" s="4"/>
      <c r="GX619" s="4"/>
      <c r="GY619" s="4"/>
      <c r="GZ619" s="4"/>
      <c r="HA619" s="4"/>
      <c r="HB619" s="4"/>
      <c r="HC619" s="4"/>
      <c r="HD619" s="4"/>
      <c r="HE619" s="4"/>
      <c r="HF619" s="4"/>
      <c r="HG619" s="4"/>
      <c r="HH619" s="4"/>
      <c r="HI619" s="4"/>
      <c r="HJ619" s="4"/>
    </row>
    <row r="620" spans="1:218" hidden="1">
      <c r="A620" t="s">
        <v>2220</v>
      </c>
      <c r="B620" t="s">
        <v>2221</v>
      </c>
      <c r="C620" t="s">
        <v>792</v>
      </c>
      <c r="D620" t="s">
        <v>2222</v>
      </c>
      <c r="E620" t="s">
        <v>2223</v>
      </c>
      <c r="F620" s="3">
        <v>1</v>
      </c>
      <c r="G620" s="12">
        <f t="shared" si="18"/>
        <v>4.29</v>
      </c>
      <c r="H620" s="12" t="e">
        <f t="shared" si="19"/>
        <v>#NUM!</v>
      </c>
      <c r="I620" s="3">
        <v>4.2866300000000006</v>
      </c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  <c r="DQ620" s="4"/>
      <c r="DR620" s="4"/>
      <c r="DS620" s="4"/>
      <c r="DT620" s="4"/>
      <c r="DU620" s="4"/>
      <c r="DV620" s="4"/>
      <c r="DW620" s="4"/>
      <c r="DX620" s="4"/>
      <c r="DY620" s="4"/>
      <c r="DZ620" s="4"/>
      <c r="EA620" s="4"/>
      <c r="EB620" s="4"/>
      <c r="EC620" s="4"/>
      <c r="ED620" s="4"/>
      <c r="EE620" s="4"/>
      <c r="EF620" s="4"/>
      <c r="EG620" s="4"/>
      <c r="EH620" s="4"/>
      <c r="EI620" s="4"/>
      <c r="EJ620" s="4"/>
      <c r="EK620" s="4"/>
      <c r="EL620" s="4"/>
      <c r="EM620" s="4"/>
      <c r="EN620" s="4"/>
      <c r="EO620" s="4"/>
      <c r="EP620" s="4"/>
      <c r="EQ620" s="4"/>
      <c r="ER620" s="4"/>
      <c r="ES620" s="4"/>
      <c r="ET620" s="4"/>
      <c r="EU620" s="4"/>
      <c r="EV620" s="4"/>
      <c r="EW620" s="4"/>
      <c r="EX620" s="4"/>
      <c r="EY620" s="4"/>
      <c r="EZ620" s="4"/>
      <c r="FA620" s="4"/>
      <c r="FB620" s="4"/>
      <c r="FC620" s="4"/>
      <c r="FD620" s="4"/>
      <c r="FE620" s="4"/>
      <c r="FF620" s="4"/>
      <c r="FG620" s="4"/>
      <c r="FH620" s="4"/>
      <c r="FI620" s="4"/>
      <c r="FJ620" s="4"/>
      <c r="FK620" s="4"/>
      <c r="FL620" s="4"/>
      <c r="FM620" s="4"/>
      <c r="FN620" s="4"/>
      <c r="FO620" s="4"/>
      <c r="FP620" s="4"/>
      <c r="FQ620" s="4"/>
      <c r="FR620" s="4"/>
      <c r="FS620" s="4"/>
      <c r="FT620" s="4"/>
      <c r="FU620" s="4"/>
      <c r="FV620" s="4"/>
      <c r="FW620" s="4"/>
      <c r="FX620" s="4"/>
      <c r="FY620" s="4"/>
      <c r="FZ620" s="4"/>
      <c r="GA620" s="4"/>
      <c r="GB620" s="4"/>
      <c r="GC620" s="4"/>
      <c r="GD620" s="4"/>
      <c r="GE620" s="4"/>
      <c r="GF620" s="4"/>
      <c r="GG620" s="4"/>
      <c r="GH620" s="4">
        <v>4.29</v>
      </c>
      <c r="GI620" s="4"/>
      <c r="GJ620" s="4"/>
      <c r="GK620" s="4"/>
      <c r="GL620" s="4"/>
      <c r="GM620" s="4"/>
      <c r="GN620" s="4"/>
      <c r="GO620" s="4"/>
      <c r="GP620" s="4"/>
      <c r="GQ620" s="4"/>
      <c r="GR620" s="4"/>
      <c r="GS620" s="4"/>
      <c r="GT620" s="4"/>
      <c r="GU620" s="4"/>
      <c r="GV620" s="4"/>
      <c r="GW620" s="4"/>
      <c r="GX620" s="4"/>
      <c r="GY620" s="4"/>
      <c r="GZ620" s="4"/>
      <c r="HA620" s="4"/>
      <c r="HB620" s="4"/>
      <c r="HC620" s="4"/>
      <c r="HD620" s="4"/>
      <c r="HE620" s="4"/>
      <c r="HF620" s="4"/>
      <c r="HG620" s="4"/>
      <c r="HH620" s="4"/>
      <c r="HI620" s="4"/>
      <c r="HJ620" s="4"/>
    </row>
    <row r="621" spans="1:218" hidden="1">
      <c r="A621" t="s">
        <v>2035</v>
      </c>
      <c r="B621" t="s">
        <v>2036</v>
      </c>
      <c r="C621" t="s">
        <v>2037</v>
      </c>
      <c r="D621" t="s">
        <v>2038</v>
      </c>
      <c r="E621" t="s">
        <v>2039</v>
      </c>
      <c r="F621" s="3">
        <v>1</v>
      </c>
      <c r="G621" s="12">
        <f t="shared" si="18"/>
        <v>4.6399999999999997</v>
      </c>
      <c r="H621" s="12" t="e">
        <f t="shared" si="19"/>
        <v>#NUM!</v>
      </c>
      <c r="I621" s="3">
        <v>4.6427100000000001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>
        <v>4.6399999999999997</v>
      </c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  <c r="DQ621" s="4"/>
      <c r="DR621" s="4"/>
      <c r="DS621" s="4"/>
      <c r="DT621" s="4"/>
      <c r="DU621" s="4"/>
      <c r="DV621" s="4"/>
      <c r="DW621" s="4"/>
      <c r="DX621" s="4"/>
      <c r="DY621" s="4"/>
      <c r="DZ621" s="4"/>
      <c r="EA621" s="4"/>
      <c r="EB621" s="4"/>
      <c r="EC621" s="4"/>
      <c r="ED621" s="4"/>
      <c r="EE621" s="4"/>
      <c r="EF621" s="4"/>
      <c r="EG621" s="4"/>
      <c r="EH621" s="4"/>
      <c r="EI621" s="4"/>
      <c r="EJ621" s="4"/>
      <c r="EK621" s="4"/>
      <c r="EL621" s="4"/>
      <c r="EM621" s="4"/>
      <c r="EN621" s="4"/>
      <c r="EO621" s="4"/>
      <c r="EP621" s="4"/>
      <c r="EQ621" s="4"/>
      <c r="ER621" s="4"/>
      <c r="ES621" s="4"/>
      <c r="ET621" s="4"/>
      <c r="EU621" s="4"/>
      <c r="EV621" s="4"/>
      <c r="EW621" s="4"/>
      <c r="EX621" s="4"/>
      <c r="EY621" s="4"/>
      <c r="EZ621" s="4"/>
      <c r="FA621" s="4"/>
      <c r="FB621" s="4"/>
      <c r="FC621" s="4"/>
      <c r="FD621" s="4"/>
      <c r="FE621" s="4"/>
      <c r="FF621" s="4"/>
      <c r="FG621" s="4"/>
      <c r="FH621" s="4"/>
      <c r="FI621" s="4"/>
      <c r="FJ621" s="4"/>
      <c r="FK621" s="4"/>
      <c r="FL621" s="4"/>
      <c r="FM621" s="4"/>
      <c r="FN621" s="4"/>
      <c r="FO621" s="4"/>
      <c r="FP621" s="4"/>
      <c r="FQ621" s="4"/>
      <c r="FR621" s="4"/>
      <c r="FS621" s="4"/>
      <c r="FT621" s="4"/>
      <c r="FU621" s="4"/>
      <c r="FV621" s="4"/>
      <c r="FW621" s="4"/>
      <c r="FX621" s="4"/>
      <c r="FY621" s="4"/>
      <c r="FZ621" s="4"/>
      <c r="GA621" s="4"/>
      <c r="GB621" s="4"/>
      <c r="GC621" s="4"/>
      <c r="GD621" s="4"/>
      <c r="GE621" s="4"/>
      <c r="GF621" s="4"/>
      <c r="GG621" s="4"/>
      <c r="GH621" s="4"/>
      <c r="GI621" s="4"/>
      <c r="GJ621" s="4"/>
      <c r="GK621" s="4"/>
      <c r="GL621" s="4"/>
      <c r="GM621" s="4"/>
      <c r="GN621" s="4"/>
      <c r="GO621" s="4"/>
      <c r="GP621" s="4"/>
      <c r="GQ621" s="4"/>
      <c r="GR621" s="4"/>
      <c r="GS621" s="4"/>
      <c r="GT621" s="4"/>
      <c r="GU621" s="4"/>
      <c r="GV621" s="4"/>
      <c r="GW621" s="4"/>
      <c r="GX621" s="4"/>
      <c r="GY621" s="4"/>
      <c r="GZ621" s="4"/>
      <c r="HA621" s="4"/>
      <c r="HB621" s="4"/>
      <c r="HC621" s="4"/>
      <c r="HD621" s="4"/>
      <c r="HE621" s="4"/>
      <c r="HF621" s="4"/>
      <c r="HG621" s="4"/>
      <c r="HH621" s="4"/>
      <c r="HI621" s="4"/>
      <c r="HJ621" s="4"/>
    </row>
    <row r="622" spans="1:218" hidden="1">
      <c r="A622" t="s">
        <v>2244</v>
      </c>
      <c r="B622" t="s">
        <v>2245</v>
      </c>
      <c r="C622" t="s">
        <v>443</v>
      </c>
      <c r="D622" t="s">
        <v>2246</v>
      </c>
      <c r="E622" t="s">
        <v>2247</v>
      </c>
      <c r="F622" s="3">
        <v>1</v>
      </c>
      <c r="G622" s="12">
        <f t="shared" si="18"/>
        <v>4.2300000000000004</v>
      </c>
      <c r="H622" s="12" t="e">
        <f t="shared" si="19"/>
        <v>#NUM!</v>
      </c>
      <c r="I622" s="3">
        <v>4.2311102000000007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  <c r="DQ622" s="4"/>
      <c r="DR622" s="4"/>
      <c r="DS622" s="4"/>
      <c r="DT622" s="4"/>
      <c r="DU622" s="4"/>
      <c r="DV622" s="4"/>
      <c r="DW622" s="4"/>
      <c r="DX622" s="4"/>
      <c r="DY622" s="4"/>
      <c r="DZ622" s="4"/>
      <c r="EA622" s="4"/>
      <c r="EB622" s="4"/>
      <c r="EC622" s="4"/>
      <c r="ED622" s="4"/>
      <c r="EE622" s="4"/>
      <c r="EF622" s="4"/>
      <c r="EG622" s="4"/>
      <c r="EH622" s="4"/>
      <c r="EI622" s="4"/>
      <c r="EJ622" s="4"/>
      <c r="EK622" s="4"/>
      <c r="EL622" s="4"/>
      <c r="EM622" s="4"/>
      <c r="EN622" s="4"/>
      <c r="EO622" s="4"/>
      <c r="EP622" s="4"/>
      <c r="EQ622" s="4"/>
      <c r="ER622" s="4"/>
      <c r="ES622" s="4"/>
      <c r="ET622" s="4"/>
      <c r="EU622" s="4"/>
      <c r="EV622" s="4">
        <v>4.2300000000000004</v>
      </c>
      <c r="EW622" s="4"/>
      <c r="EX622" s="4"/>
      <c r="EY622" s="4"/>
      <c r="EZ622" s="4"/>
      <c r="FA622" s="4"/>
      <c r="FB622" s="4"/>
      <c r="FC622" s="4"/>
      <c r="FD622" s="4"/>
      <c r="FE622" s="4"/>
      <c r="FF622" s="4"/>
      <c r="FG622" s="4"/>
      <c r="FH622" s="4"/>
      <c r="FI622" s="4"/>
      <c r="FJ622" s="4"/>
      <c r="FK622" s="4"/>
      <c r="FL622" s="4"/>
      <c r="FM622" s="4"/>
      <c r="FN622" s="4"/>
      <c r="FO622" s="4"/>
      <c r="FP622" s="4"/>
      <c r="FQ622" s="4"/>
      <c r="FR622" s="4"/>
      <c r="FS622" s="4"/>
      <c r="FT622" s="4"/>
      <c r="FU622" s="4"/>
      <c r="FV622" s="4"/>
      <c r="FW622" s="4"/>
      <c r="FX622" s="4"/>
      <c r="FY622" s="4"/>
      <c r="FZ622" s="4"/>
      <c r="GA622" s="4"/>
      <c r="GB622" s="4"/>
      <c r="GC622" s="4"/>
      <c r="GD622" s="4"/>
      <c r="GE622" s="4"/>
      <c r="GF622" s="4"/>
      <c r="GG622" s="4"/>
      <c r="GH622" s="4"/>
      <c r="GI622" s="4"/>
      <c r="GJ622" s="4"/>
      <c r="GK622" s="4"/>
      <c r="GL622" s="4"/>
      <c r="GM622" s="4"/>
      <c r="GN622" s="4"/>
      <c r="GO622" s="4"/>
      <c r="GP622" s="4"/>
      <c r="GQ622" s="4"/>
      <c r="GR622" s="4"/>
      <c r="GS622" s="4"/>
      <c r="GT622" s="4"/>
      <c r="GU622" s="4"/>
      <c r="GV622" s="4"/>
      <c r="GW622" s="4"/>
      <c r="GX622" s="4"/>
      <c r="GY622" s="4"/>
      <c r="GZ622" s="4"/>
      <c r="HA622" s="4"/>
      <c r="HB622" s="4"/>
      <c r="HC622" s="4"/>
      <c r="HD622" s="4"/>
      <c r="HE622" s="4"/>
      <c r="HF622" s="4"/>
      <c r="HG622" s="4"/>
      <c r="HH622" s="4"/>
      <c r="HI622" s="4"/>
      <c r="HJ622" s="4"/>
    </row>
    <row r="623" spans="1:218" hidden="1">
      <c r="A623" t="s">
        <v>2806</v>
      </c>
      <c r="B623" t="s">
        <v>2807</v>
      </c>
      <c r="C623" t="s">
        <v>443</v>
      </c>
      <c r="D623" t="s">
        <v>2808</v>
      </c>
      <c r="E623" t="s">
        <v>2809</v>
      </c>
      <c r="F623" s="3">
        <v>1</v>
      </c>
      <c r="G623" s="12">
        <f t="shared" si="18"/>
        <v>2.74</v>
      </c>
      <c r="H623" s="12" t="e">
        <f t="shared" si="19"/>
        <v>#NUM!</v>
      </c>
      <c r="I623" s="3">
        <v>2.7397999999999998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  <c r="DQ623" s="4"/>
      <c r="DR623" s="4"/>
      <c r="DS623" s="4"/>
      <c r="DT623" s="4"/>
      <c r="DU623" s="4"/>
      <c r="DV623" s="4"/>
      <c r="DW623" s="4"/>
      <c r="DX623" s="4"/>
      <c r="DY623" s="4"/>
      <c r="DZ623" s="4"/>
      <c r="EA623" s="4"/>
      <c r="EB623" s="4"/>
      <c r="EC623" s="4"/>
      <c r="ED623" s="4"/>
      <c r="EE623" s="4"/>
      <c r="EF623" s="4"/>
      <c r="EG623" s="4"/>
      <c r="EH623" s="4"/>
      <c r="EI623" s="4"/>
      <c r="EJ623" s="4"/>
      <c r="EK623" s="4"/>
      <c r="EL623" s="4"/>
      <c r="EM623" s="4"/>
      <c r="EN623" s="4"/>
      <c r="EO623" s="4"/>
      <c r="EP623" s="4"/>
      <c r="EQ623" s="4"/>
      <c r="ER623" s="4"/>
      <c r="ES623" s="4"/>
      <c r="ET623" s="4"/>
      <c r="EU623" s="4"/>
      <c r="EV623" s="4"/>
      <c r="EW623" s="4"/>
      <c r="EX623" s="4"/>
      <c r="EY623" s="4"/>
      <c r="EZ623" s="4"/>
      <c r="FA623" s="4"/>
      <c r="FB623" s="4"/>
      <c r="FC623" s="4"/>
      <c r="FD623" s="4"/>
      <c r="FE623" s="4"/>
      <c r="FF623" s="4"/>
      <c r="FG623" s="4"/>
      <c r="FH623" s="4"/>
      <c r="FI623" s="4"/>
      <c r="FJ623" s="4"/>
      <c r="FK623" s="4"/>
      <c r="FL623" s="4"/>
      <c r="FM623" s="4"/>
      <c r="FN623" s="4"/>
      <c r="FO623" s="4"/>
      <c r="FP623" s="4"/>
      <c r="FQ623" s="4"/>
      <c r="FR623" s="4"/>
      <c r="FS623" s="4"/>
      <c r="FT623" s="4"/>
      <c r="FU623" s="4"/>
      <c r="FV623" s="4"/>
      <c r="FW623" s="4"/>
      <c r="FX623" s="4"/>
      <c r="FY623" s="4"/>
      <c r="FZ623" s="4"/>
      <c r="GA623" s="4"/>
      <c r="GB623" s="4"/>
      <c r="GC623" s="4"/>
      <c r="GD623" s="4"/>
      <c r="GE623" s="4"/>
      <c r="GF623" s="4"/>
      <c r="GG623" s="4"/>
      <c r="GH623" s="4">
        <v>2.74</v>
      </c>
      <c r="GI623" s="4"/>
      <c r="GJ623" s="4"/>
      <c r="GK623" s="4"/>
      <c r="GL623" s="4"/>
      <c r="GM623" s="4"/>
      <c r="GN623" s="4"/>
      <c r="GO623" s="4"/>
      <c r="GP623" s="4"/>
      <c r="GQ623" s="4"/>
      <c r="GR623" s="4"/>
      <c r="GS623" s="4"/>
      <c r="GT623" s="4"/>
      <c r="GU623" s="4"/>
      <c r="GV623" s="4"/>
      <c r="GW623" s="4"/>
      <c r="GX623" s="4"/>
      <c r="GY623" s="4"/>
      <c r="GZ623" s="4"/>
      <c r="HA623" s="4"/>
      <c r="HB623" s="4"/>
      <c r="HC623" s="4"/>
      <c r="HD623" s="4"/>
      <c r="HE623" s="4"/>
      <c r="HF623" s="4"/>
      <c r="HG623" s="4"/>
      <c r="HH623" s="4"/>
      <c r="HI623" s="4"/>
      <c r="HJ623" s="4"/>
    </row>
    <row r="624" spans="1:218" hidden="1">
      <c r="A624" t="s">
        <v>1757</v>
      </c>
      <c r="B624" t="s">
        <v>1758</v>
      </c>
      <c r="C624" t="s">
        <v>792</v>
      </c>
      <c r="D624" t="s">
        <v>1759</v>
      </c>
      <c r="E624" t="s">
        <v>1760</v>
      </c>
      <c r="F624" s="3">
        <v>1</v>
      </c>
      <c r="G624" s="12">
        <f t="shared" si="18"/>
        <v>6.86</v>
      </c>
      <c r="H624" s="12" t="e">
        <f t="shared" si="19"/>
        <v>#NUM!</v>
      </c>
      <c r="I624" s="3">
        <v>6.8611099999999992</v>
      </c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  <c r="DQ624" s="4"/>
      <c r="DR624" s="4"/>
      <c r="DS624" s="4"/>
      <c r="DT624" s="4"/>
      <c r="DU624" s="4"/>
      <c r="DV624" s="4"/>
      <c r="DW624" s="4"/>
      <c r="DX624" s="4"/>
      <c r="DY624" s="4"/>
      <c r="DZ624" s="4"/>
      <c r="EA624" s="4"/>
      <c r="EB624" s="4"/>
      <c r="EC624" s="4"/>
      <c r="ED624" s="4"/>
      <c r="EE624" s="4"/>
      <c r="EF624" s="4"/>
      <c r="EG624" s="4"/>
      <c r="EH624" s="4"/>
      <c r="EI624" s="4"/>
      <c r="EJ624" s="4"/>
      <c r="EK624" s="4"/>
      <c r="EL624" s="4"/>
      <c r="EM624" s="4"/>
      <c r="EN624" s="4"/>
      <c r="EO624" s="4"/>
      <c r="EP624" s="4"/>
      <c r="EQ624" s="4"/>
      <c r="ER624" s="4"/>
      <c r="ES624" s="4"/>
      <c r="ET624" s="4"/>
      <c r="EU624" s="4"/>
      <c r="EV624" s="4"/>
      <c r="EW624" s="4"/>
      <c r="EX624" s="4"/>
      <c r="EY624" s="4"/>
      <c r="EZ624" s="4"/>
      <c r="FA624" s="4"/>
      <c r="FB624" s="4"/>
      <c r="FC624" s="4"/>
      <c r="FD624" s="4"/>
      <c r="FE624" s="4"/>
      <c r="FF624" s="4"/>
      <c r="FG624" s="4"/>
      <c r="FH624" s="4"/>
      <c r="FI624" s="4"/>
      <c r="FJ624" s="4"/>
      <c r="FK624" s="4"/>
      <c r="FL624" s="4"/>
      <c r="FM624" s="4"/>
      <c r="FN624" s="4"/>
      <c r="FO624" s="4"/>
      <c r="FP624" s="4"/>
      <c r="FQ624" s="4"/>
      <c r="FR624" s="4"/>
      <c r="FS624" s="4"/>
      <c r="FT624" s="4"/>
      <c r="FU624" s="4"/>
      <c r="FV624" s="4"/>
      <c r="FW624" s="4"/>
      <c r="FX624" s="4"/>
      <c r="FY624" s="4"/>
      <c r="FZ624" s="4"/>
      <c r="GA624" s="4"/>
      <c r="GB624" s="4"/>
      <c r="GC624" s="4"/>
      <c r="GD624" s="4"/>
      <c r="GE624" s="4"/>
      <c r="GF624" s="4"/>
      <c r="GG624" s="4"/>
      <c r="GH624" s="4"/>
      <c r="GI624" s="4"/>
      <c r="GJ624" s="4"/>
      <c r="GK624" s="4"/>
      <c r="GL624" s="4"/>
      <c r="GM624" s="4"/>
      <c r="GN624" s="4"/>
      <c r="GO624" s="4"/>
      <c r="GP624" s="4"/>
      <c r="GQ624" s="4"/>
      <c r="GR624" s="4"/>
      <c r="GS624" s="4"/>
      <c r="GT624" s="4"/>
      <c r="GU624" s="4"/>
      <c r="GV624" s="4"/>
      <c r="GW624" s="4"/>
      <c r="GX624" s="4"/>
      <c r="GY624" s="4"/>
      <c r="GZ624" s="4">
        <v>6.86</v>
      </c>
      <c r="HA624" s="4"/>
      <c r="HB624" s="4"/>
      <c r="HC624" s="4"/>
      <c r="HD624" s="4"/>
      <c r="HE624" s="4"/>
      <c r="HF624" s="4"/>
      <c r="HG624" s="4"/>
      <c r="HH624" s="4"/>
      <c r="HI624" s="4"/>
      <c r="HJ624" s="4"/>
    </row>
    <row r="625" spans="1:218" hidden="1">
      <c r="A625" t="s">
        <v>2048</v>
      </c>
      <c r="B625" t="s">
        <v>2049</v>
      </c>
      <c r="C625" t="s">
        <v>968</v>
      </c>
      <c r="D625" t="s">
        <v>2050</v>
      </c>
      <c r="E625" t="s">
        <v>2051</v>
      </c>
      <c r="F625" s="3">
        <v>1</v>
      </c>
      <c r="G625" s="12">
        <f t="shared" si="18"/>
        <v>4.62</v>
      </c>
      <c r="H625" s="12" t="e">
        <f t="shared" si="19"/>
        <v>#NUM!</v>
      </c>
      <c r="I625" s="3">
        <v>4.6215299999999999</v>
      </c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>
        <v>4.62</v>
      </c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  <c r="DQ625" s="4"/>
      <c r="DR625" s="4"/>
      <c r="DS625" s="4"/>
      <c r="DT625" s="4"/>
      <c r="DU625" s="4"/>
      <c r="DV625" s="4"/>
      <c r="DW625" s="4"/>
      <c r="DX625" s="4"/>
      <c r="DY625" s="4"/>
      <c r="DZ625" s="4"/>
      <c r="EA625" s="4"/>
      <c r="EB625" s="4"/>
      <c r="EC625" s="4"/>
      <c r="ED625" s="4"/>
      <c r="EE625" s="4"/>
      <c r="EF625" s="4"/>
      <c r="EG625" s="4"/>
      <c r="EH625" s="4"/>
      <c r="EI625" s="4"/>
      <c r="EJ625" s="4"/>
      <c r="EK625" s="4"/>
      <c r="EL625" s="4"/>
      <c r="EM625" s="4"/>
      <c r="EN625" s="4"/>
      <c r="EO625" s="4"/>
      <c r="EP625" s="4"/>
      <c r="EQ625" s="4"/>
      <c r="ER625" s="4"/>
      <c r="ES625" s="4"/>
      <c r="ET625" s="4"/>
      <c r="EU625" s="4"/>
      <c r="EV625" s="4"/>
      <c r="EW625" s="4"/>
      <c r="EX625" s="4"/>
      <c r="EY625" s="4"/>
      <c r="EZ625" s="4"/>
      <c r="FA625" s="4"/>
      <c r="FB625" s="4"/>
      <c r="FC625" s="4"/>
      <c r="FD625" s="4"/>
      <c r="FE625" s="4"/>
      <c r="FF625" s="4"/>
      <c r="FG625" s="4"/>
      <c r="FH625" s="4"/>
      <c r="FI625" s="4"/>
      <c r="FJ625" s="4"/>
      <c r="FK625" s="4"/>
      <c r="FL625" s="4"/>
      <c r="FM625" s="4"/>
      <c r="FN625" s="4"/>
      <c r="FO625" s="4"/>
      <c r="FP625" s="4"/>
      <c r="FQ625" s="4"/>
      <c r="FR625" s="4"/>
      <c r="FS625" s="4"/>
      <c r="FT625" s="4"/>
      <c r="FU625" s="4"/>
      <c r="FV625" s="4"/>
      <c r="FW625" s="4"/>
      <c r="FX625" s="4"/>
      <c r="FY625" s="4"/>
      <c r="FZ625" s="4"/>
      <c r="GA625" s="4"/>
      <c r="GB625" s="4"/>
      <c r="GC625" s="4"/>
      <c r="GD625" s="4"/>
      <c r="GE625" s="4"/>
      <c r="GF625" s="4"/>
      <c r="GG625" s="4"/>
      <c r="GH625" s="4"/>
      <c r="GI625" s="4"/>
      <c r="GJ625" s="4"/>
      <c r="GK625" s="4"/>
      <c r="GL625" s="4"/>
      <c r="GM625" s="4"/>
      <c r="GN625" s="4"/>
      <c r="GO625" s="4"/>
      <c r="GP625" s="4"/>
      <c r="GQ625" s="4"/>
      <c r="GR625" s="4"/>
      <c r="GS625" s="4"/>
      <c r="GT625" s="4"/>
      <c r="GU625" s="4"/>
      <c r="GV625" s="4"/>
      <c r="GW625" s="4"/>
      <c r="GX625" s="4"/>
      <c r="GY625" s="4"/>
      <c r="GZ625" s="4"/>
      <c r="HA625" s="4"/>
      <c r="HB625" s="4"/>
      <c r="HC625" s="4"/>
      <c r="HD625" s="4"/>
      <c r="HE625" s="4"/>
      <c r="HF625" s="4"/>
      <c r="HG625" s="4"/>
      <c r="HH625" s="4"/>
      <c r="HI625" s="4"/>
      <c r="HJ625" s="4"/>
    </row>
    <row r="626" spans="1:218" hidden="1">
      <c r="A626" t="s">
        <v>2052</v>
      </c>
      <c r="B626" t="s">
        <v>2053</v>
      </c>
      <c r="C626" t="s">
        <v>505</v>
      </c>
      <c r="D626" t="s">
        <v>2054</v>
      </c>
      <c r="E626" t="s">
        <v>2055</v>
      </c>
      <c r="F626" s="3">
        <v>1</v>
      </c>
      <c r="G626" s="12">
        <f t="shared" si="18"/>
        <v>4.62</v>
      </c>
      <c r="H626" s="12" t="e">
        <f t="shared" si="19"/>
        <v>#NUM!</v>
      </c>
      <c r="I626" s="3">
        <v>4.6176599999999999</v>
      </c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>
        <v>4.62</v>
      </c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  <c r="DQ626" s="4"/>
      <c r="DR626" s="4"/>
      <c r="DS626" s="4"/>
      <c r="DT626" s="4"/>
      <c r="DU626" s="4"/>
      <c r="DV626" s="4"/>
      <c r="DW626" s="4"/>
      <c r="DX626" s="4"/>
      <c r="DY626" s="4"/>
      <c r="DZ626" s="4"/>
      <c r="EA626" s="4"/>
      <c r="EB626" s="4"/>
      <c r="EC626" s="4"/>
      <c r="ED626" s="4"/>
      <c r="EE626" s="4"/>
      <c r="EF626" s="4"/>
      <c r="EG626" s="4"/>
      <c r="EH626" s="4"/>
      <c r="EI626" s="4"/>
      <c r="EJ626" s="4"/>
      <c r="EK626" s="4"/>
      <c r="EL626" s="4"/>
      <c r="EM626" s="4"/>
      <c r="EN626" s="4"/>
      <c r="EO626" s="4"/>
      <c r="EP626" s="4"/>
      <c r="EQ626" s="4"/>
      <c r="ER626" s="4"/>
      <c r="ES626" s="4"/>
      <c r="ET626" s="4"/>
      <c r="EU626" s="4"/>
      <c r="EV626" s="4"/>
      <c r="EW626" s="4"/>
      <c r="EX626" s="4"/>
      <c r="EY626" s="4"/>
      <c r="EZ626" s="4"/>
      <c r="FA626" s="4"/>
      <c r="FB626" s="4"/>
      <c r="FC626" s="4"/>
      <c r="FD626" s="4"/>
      <c r="FE626" s="4"/>
      <c r="FF626" s="4"/>
      <c r="FG626" s="4"/>
      <c r="FH626" s="4"/>
      <c r="FI626" s="4"/>
      <c r="FJ626" s="4"/>
      <c r="FK626" s="4"/>
      <c r="FL626" s="4"/>
      <c r="FM626" s="4"/>
      <c r="FN626" s="4"/>
      <c r="FO626" s="4"/>
      <c r="FP626" s="4"/>
      <c r="FQ626" s="4"/>
      <c r="FR626" s="4"/>
      <c r="FS626" s="4"/>
      <c r="FT626" s="4"/>
      <c r="FU626" s="4"/>
      <c r="FV626" s="4"/>
      <c r="FW626" s="4"/>
      <c r="FX626" s="4"/>
      <c r="FY626" s="4"/>
      <c r="FZ626" s="4"/>
      <c r="GA626" s="4"/>
      <c r="GB626" s="4"/>
      <c r="GC626" s="4"/>
      <c r="GD626" s="4"/>
      <c r="GE626" s="4"/>
      <c r="GF626" s="4"/>
      <c r="GG626" s="4"/>
      <c r="GH626" s="4"/>
      <c r="GI626" s="4"/>
      <c r="GJ626" s="4"/>
      <c r="GK626" s="4"/>
      <c r="GL626" s="4"/>
      <c r="GM626" s="4"/>
      <c r="GN626" s="4"/>
      <c r="GO626" s="4"/>
      <c r="GP626" s="4"/>
      <c r="GQ626" s="4"/>
      <c r="GR626" s="4"/>
      <c r="GS626" s="4"/>
      <c r="GT626" s="4"/>
      <c r="GU626" s="4"/>
      <c r="GV626" s="4"/>
      <c r="GW626" s="4"/>
      <c r="GX626" s="4"/>
      <c r="GY626" s="4"/>
      <c r="GZ626" s="4"/>
      <c r="HA626" s="4"/>
      <c r="HB626" s="4"/>
      <c r="HC626" s="4"/>
      <c r="HD626" s="4"/>
      <c r="HE626" s="4"/>
      <c r="HF626" s="4"/>
      <c r="HG626" s="4"/>
      <c r="HH626" s="4"/>
      <c r="HI626" s="4"/>
      <c r="HJ626" s="4"/>
    </row>
    <row r="627" spans="1:218" hidden="1">
      <c r="A627" t="s">
        <v>2421</v>
      </c>
      <c r="B627" t="s">
        <v>2422</v>
      </c>
      <c r="C627" t="s">
        <v>505</v>
      </c>
      <c r="D627" t="s">
        <v>2423</v>
      </c>
      <c r="E627" t="s">
        <v>2424</v>
      </c>
      <c r="F627" s="3">
        <v>1</v>
      </c>
      <c r="G627" s="12">
        <f t="shared" si="18"/>
        <v>3.85</v>
      </c>
      <c r="H627" s="12" t="e">
        <f t="shared" si="19"/>
        <v>#NUM!</v>
      </c>
      <c r="I627" s="3">
        <v>3.8457300000000001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>
        <v>3.85</v>
      </c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  <c r="DQ627" s="4"/>
      <c r="DR627" s="4"/>
      <c r="DS627" s="4"/>
      <c r="DT627" s="4"/>
      <c r="DU627" s="4"/>
      <c r="DV627" s="4"/>
      <c r="DW627" s="4"/>
      <c r="DX627" s="4"/>
      <c r="DY627" s="4"/>
      <c r="DZ627" s="4"/>
      <c r="EA627" s="4"/>
      <c r="EB627" s="4"/>
      <c r="EC627" s="4"/>
      <c r="ED627" s="4"/>
      <c r="EE627" s="4"/>
      <c r="EF627" s="4"/>
      <c r="EG627" s="4"/>
      <c r="EH627" s="4"/>
      <c r="EI627" s="4"/>
      <c r="EJ627" s="4"/>
      <c r="EK627" s="4"/>
      <c r="EL627" s="4"/>
      <c r="EM627" s="4"/>
      <c r="EN627" s="4"/>
      <c r="EO627" s="4"/>
      <c r="EP627" s="4"/>
      <c r="EQ627" s="4"/>
      <c r="ER627" s="4"/>
      <c r="ES627" s="4"/>
      <c r="ET627" s="4"/>
      <c r="EU627" s="4"/>
      <c r="EV627" s="4"/>
      <c r="EW627" s="4"/>
      <c r="EX627" s="4"/>
      <c r="EY627" s="4"/>
      <c r="EZ627" s="4"/>
      <c r="FA627" s="4"/>
      <c r="FB627" s="4"/>
      <c r="FC627" s="4"/>
      <c r="FD627" s="4"/>
      <c r="FE627" s="4"/>
      <c r="FF627" s="4"/>
      <c r="FG627" s="4"/>
      <c r="FH627" s="4"/>
      <c r="FI627" s="4"/>
      <c r="FJ627" s="4"/>
      <c r="FK627" s="4"/>
      <c r="FL627" s="4"/>
      <c r="FM627" s="4"/>
      <c r="FN627" s="4"/>
      <c r="FO627" s="4"/>
      <c r="FP627" s="4"/>
      <c r="FQ627" s="4"/>
      <c r="FR627" s="4"/>
      <c r="FS627" s="4"/>
      <c r="FT627" s="4"/>
      <c r="FU627" s="4"/>
      <c r="FV627" s="4"/>
      <c r="FW627" s="4"/>
      <c r="FX627" s="4"/>
      <c r="FY627" s="4"/>
      <c r="FZ627" s="4"/>
      <c r="GA627" s="4"/>
      <c r="GB627" s="4"/>
      <c r="GC627" s="4"/>
      <c r="GD627" s="4"/>
      <c r="GE627" s="4"/>
      <c r="GF627" s="4"/>
      <c r="GG627" s="4"/>
      <c r="GH627" s="4"/>
      <c r="GI627" s="4"/>
      <c r="GJ627" s="4"/>
      <c r="GK627" s="4"/>
      <c r="GL627" s="4"/>
      <c r="GM627" s="4"/>
      <c r="GN627" s="4"/>
      <c r="GO627" s="4"/>
      <c r="GP627" s="4"/>
      <c r="GQ627" s="4"/>
      <c r="GR627" s="4"/>
      <c r="GS627" s="4"/>
      <c r="GT627" s="4"/>
      <c r="GU627" s="4"/>
      <c r="GV627" s="4"/>
      <c r="GW627" s="4"/>
      <c r="GX627" s="4"/>
      <c r="GY627" s="4"/>
      <c r="GZ627" s="4"/>
      <c r="HA627" s="4"/>
      <c r="HB627" s="4"/>
      <c r="HC627" s="4"/>
      <c r="HD627" s="4"/>
      <c r="HE627" s="4"/>
      <c r="HF627" s="4"/>
      <c r="HG627" s="4"/>
      <c r="HH627" s="4"/>
      <c r="HI627" s="4"/>
      <c r="HJ627" s="4"/>
    </row>
    <row r="628" spans="1:218" hidden="1">
      <c r="A628" t="s">
        <v>3001</v>
      </c>
      <c r="B628" t="s">
        <v>3002</v>
      </c>
      <c r="C628" t="s">
        <v>489</v>
      </c>
      <c r="D628" t="s">
        <v>490</v>
      </c>
      <c r="E628" t="s">
        <v>490</v>
      </c>
      <c r="F628" s="3">
        <v>1</v>
      </c>
      <c r="G628" s="12">
        <f t="shared" si="18"/>
        <v>2.21</v>
      </c>
      <c r="H628" s="12" t="e">
        <f t="shared" si="19"/>
        <v>#NUM!</v>
      </c>
      <c r="I628" s="3">
        <v>2.2087099000000001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  <c r="DQ628" s="4"/>
      <c r="DR628" s="4"/>
      <c r="DS628" s="4"/>
      <c r="DT628" s="4"/>
      <c r="DU628" s="4"/>
      <c r="DV628" s="4"/>
      <c r="DW628" s="4"/>
      <c r="DX628" s="4"/>
      <c r="DY628" s="4"/>
      <c r="DZ628" s="4"/>
      <c r="EA628" s="4"/>
      <c r="EB628" s="4"/>
      <c r="EC628" s="4"/>
      <c r="ED628" s="4"/>
      <c r="EE628" s="4"/>
      <c r="EF628" s="4"/>
      <c r="EG628" s="4"/>
      <c r="EH628" s="4"/>
      <c r="EI628" s="4">
        <v>2.21</v>
      </c>
      <c r="EJ628" s="4"/>
      <c r="EK628" s="4"/>
      <c r="EL628" s="4"/>
      <c r="EM628" s="4"/>
      <c r="EN628" s="4"/>
      <c r="EO628" s="4"/>
      <c r="EP628" s="4"/>
      <c r="EQ628" s="4"/>
      <c r="ER628" s="4"/>
      <c r="ES628" s="4"/>
      <c r="ET628" s="4"/>
      <c r="EU628" s="4"/>
      <c r="EV628" s="4"/>
      <c r="EW628" s="4"/>
      <c r="EX628" s="4"/>
      <c r="EY628" s="4"/>
      <c r="EZ628" s="4"/>
      <c r="FA628" s="4"/>
      <c r="FB628" s="4"/>
      <c r="FC628" s="4"/>
      <c r="FD628" s="4"/>
      <c r="FE628" s="4"/>
      <c r="FF628" s="4"/>
      <c r="FG628" s="4"/>
      <c r="FH628" s="4"/>
      <c r="FI628" s="4"/>
      <c r="FJ628" s="4"/>
      <c r="FK628" s="4"/>
      <c r="FL628" s="4"/>
      <c r="FM628" s="4"/>
      <c r="FN628" s="4"/>
      <c r="FO628" s="4"/>
      <c r="FP628" s="4"/>
      <c r="FQ628" s="4"/>
      <c r="FR628" s="4"/>
      <c r="FS628" s="4"/>
      <c r="FT628" s="4"/>
      <c r="FU628" s="4"/>
      <c r="FV628" s="4"/>
      <c r="FW628" s="4"/>
      <c r="FX628" s="4"/>
      <c r="FY628" s="4"/>
      <c r="FZ628" s="4"/>
      <c r="GA628" s="4"/>
      <c r="GB628" s="4"/>
      <c r="GC628" s="4"/>
      <c r="GD628" s="4"/>
      <c r="GE628" s="4"/>
      <c r="GF628" s="4"/>
      <c r="GG628" s="4"/>
      <c r="GH628" s="4"/>
      <c r="GI628" s="4"/>
      <c r="GJ628" s="4"/>
      <c r="GK628" s="4"/>
      <c r="GL628" s="4"/>
      <c r="GM628" s="4"/>
      <c r="GN628" s="4"/>
      <c r="GO628" s="4"/>
      <c r="GP628" s="4"/>
      <c r="GQ628" s="4"/>
      <c r="GR628" s="4"/>
      <c r="GS628" s="4"/>
      <c r="GT628" s="4"/>
      <c r="GU628" s="4"/>
      <c r="GV628" s="4"/>
      <c r="GW628" s="4"/>
      <c r="GX628" s="4"/>
      <c r="GY628" s="4"/>
      <c r="GZ628" s="4"/>
      <c r="HA628" s="4"/>
      <c r="HB628" s="4"/>
      <c r="HC628" s="4"/>
      <c r="HD628" s="4"/>
      <c r="HE628" s="4"/>
      <c r="HF628" s="4"/>
      <c r="HG628" s="4"/>
      <c r="HH628" s="4"/>
      <c r="HI628" s="4"/>
      <c r="HJ628" s="4"/>
    </row>
    <row r="629" spans="1:218" hidden="1">
      <c r="A629" t="s">
        <v>2722</v>
      </c>
      <c r="B629" t="s">
        <v>2723</v>
      </c>
      <c r="C629" t="s">
        <v>1055</v>
      </c>
      <c r="D629" t="s">
        <v>2724</v>
      </c>
      <c r="E629" t="s">
        <v>2725</v>
      </c>
      <c r="F629" s="3">
        <v>1</v>
      </c>
      <c r="G629" s="12" t="e">
        <f t="shared" si="18"/>
        <v>#NUM!</v>
      </c>
      <c r="H629" s="12" t="e">
        <f t="shared" si="19"/>
        <v>#NUM!</v>
      </c>
      <c r="I629" s="3">
        <v>3.0275099000000001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  <c r="DQ629" s="4"/>
      <c r="DR629" s="4"/>
      <c r="DS629" s="4"/>
      <c r="DT629" s="4"/>
      <c r="DU629" s="4"/>
      <c r="DV629" s="4"/>
      <c r="DW629" s="4"/>
      <c r="DX629" s="4"/>
      <c r="DY629" s="4"/>
      <c r="DZ629" s="4"/>
      <c r="EA629" s="4"/>
      <c r="EB629" s="4"/>
      <c r="EC629" s="4"/>
      <c r="ED629" s="4"/>
      <c r="EE629" s="4"/>
      <c r="EF629" s="4"/>
      <c r="EG629" s="4"/>
      <c r="EH629" s="4"/>
      <c r="EI629" s="4"/>
      <c r="EJ629" s="4"/>
      <c r="EK629" s="4"/>
      <c r="EL629" s="4"/>
      <c r="EM629" s="4"/>
      <c r="EN629" s="4"/>
      <c r="EO629" s="4"/>
      <c r="EP629" s="4"/>
      <c r="EQ629" s="4"/>
      <c r="ER629" s="4"/>
      <c r="ES629" s="4"/>
      <c r="ET629" s="4"/>
      <c r="EU629" s="4"/>
      <c r="EV629" s="4"/>
      <c r="EW629" s="4"/>
      <c r="EX629" s="4"/>
      <c r="EY629" s="4"/>
      <c r="EZ629" s="4"/>
      <c r="FA629" s="4"/>
      <c r="FB629" s="4"/>
      <c r="FC629" s="4"/>
      <c r="FD629" s="4"/>
      <c r="FE629" s="4"/>
      <c r="FF629" s="4"/>
      <c r="FG629" s="4"/>
      <c r="FH629" s="4"/>
      <c r="FI629" s="4"/>
      <c r="FJ629" s="4"/>
      <c r="FK629" s="4"/>
      <c r="FL629" s="4"/>
      <c r="FM629" s="4"/>
      <c r="FN629" s="4"/>
      <c r="FO629" s="4"/>
      <c r="FP629" s="4"/>
      <c r="FQ629" s="4"/>
      <c r="FR629" s="4"/>
      <c r="FS629" s="4"/>
      <c r="FT629" s="4"/>
      <c r="FU629" s="4"/>
      <c r="FV629" s="4"/>
      <c r="FW629" s="4"/>
      <c r="FX629" s="4"/>
      <c r="FY629" s="4"/>
      <c r="FZ629" s="4"/>
      <c r="GA629" s="4"/>
      <c r="GB629" s="4"/>
      <c r="GC629" s="4"/>
      <c r="GD629" s="4"/>
      <c r="GE629" s="4"/>
      <c r="GF629" s="4"/>
      <c r="GG629" s="4"/>
      <c r="GH629" s="4"/>
      <c r="GI629" s="4"/>
      <c r="GJ629" s="4"/>
      <c r="GK629" s="4"/>
      <c r="GL629" s="4"/>
      <c r="GM629" s="4"/>
      <c r="GN629" s="4"/>
      <c r="GO629" s="4"/>
      <c r="GP629" s="4"/>
      <c r="GQ629" s="4"/>
      <c r="GR629" s="4"/>
      <c r="GS629" s="4"/>
      <c r="GT629" s="4"/>
      <c r="GU629" s="4"/>
      <c r="GV629" s="4"/>
      <c r="GW629" s="4"/>
      <c r="GX629" s="4"/>
      <c r="GY629" s="4"/>
      <c r="GZ629" s="4"/>
      <c r="HA629" s="4"/>
      <c r="HB629" s="4"/>
      <c r="HC629" s="4"/>
      <c r="HD629" s="4"/>
      <c r="HE629" s="4"/>
      <c r="HF629" s="4"/>
      <c r="HG629" s="4"/>
      <c r="HH629" s="4"/>
      <c r="HI629" s="4"/>
      <c r="HJ629" s="4"/>
    </row>
    <row r="630" spans="1:218" hidden="1">
      <c r="A630" t="s">
        <v>2451</v>
      </c>
      <c r="B630" t="s">
        <v>2452</v>
      </c>
      <c r="C630" t="s">
        <v>505</v>
      </c>
      <c r="D630" t="s">
        <v>2453</v>
      </c>
      <c r="E630" t="s">
        <v>2454</v>
      </c>
      <c r="F630" s="3">
        <v>1</v>
      </c>
      <c r="G630" s="12">
        <f t="shared" si="18"/>
        <v>3.79</v>
      </c>
      <c r="H630" s="12" t="e">
        <f t="shared" si="19"/>
        <v>#NUM!</v>
      </c>
      <c r="I630" s="3">
        <v>3.7860602000000001</v>
      </c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>
        <v>3.79</v>
      </c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  <c r="DQ630" s="4"/>
      <c r="DR630" s="4"/>
      <c r="DS630" s="4"/>
      <c r="DT630" s="4"/>
      <c r="DU630" s="4"/>
      <c r="DV630" s="4"/>
      <c r="DW630" s="4"/>
      <c r="DX630" s="4"/>
      <c r="DY630" s="4"/>
      <c r="DZ630" s="4"/>
      <c r="EA630" s="4"/>
      <c r="EB630" s="4"/>
      <c r="EC630" s="4"/>
      <c r="ED630" s="4"/>
      <c r="EE630" s="4"/>
      <c r="EF630" s="4"/>
      <c r="EG630" s="4"/>
      <c r="EH630" s="4"/>
      <c r="EI630" s="4"/>
      <c r="EJ630" s="4"/>
      <c r="EK630" s="4"/>
      <c r="EL630" s="4"/>
      <c r="EM630" s="4"/>
      <c r="EN630" s="4"/>
      <c r="EO630" s="4"/>
      <c r="EP630" s="4"/>
      <c r="EQ630" s="4"/>
      <c r="ER630" s="4"/>
      <c r="ES630" s="4"/>
      <c r="ET630" s="4"/>
      <c r="EU630" s="4"/>
      <c r="EV630" s="4"/>
      <c r="EW630" s="4"/>
      <c r="EX630" s="4"/>
      <c r="EY630" s="4"/>
      <c r="EZ630" s="4"/>
      <c r="FA630" s="4"/>
      <c r="FB630" s="4"/>
      <c r="FC630" s="4"/>
      <c r="FD630" s="4"/>
      <c r="FE630" s="4"/>
      <c r="FF630" s="4"/>
      <c r="FG630" s="4"/>
      <c r="FH630" s="4"/>
      <c r="FI630" s="4"/>
      <c r="FJ630" s="4"/>
      <c r="FK630" s="4"/>
      <c r="FL630" s="4"/>
      <c r="FM630" s="4"/>
      <c r="FN630" s="4"/>
      <c r="FO630" s="4"/>
      <c r="FP630" s="4"/>
      <c r="FQ630" s="4"/>
      <c r="FR630" s="4"/>
      <c r="FS630" s="4"/>
      <c r="FT630" s="4"/>
      <c r="FU630" s="4"/>
      <c r="FV630" s="4"/>
      <c r="FW630" s="4"/>
      <c r="FX630" s="4"/>
      <c r="FY630" s="4"/>
      <c r="FZ630" s="4"/>
      <c r="GA630" s="4"/>
      <c r="GB630" s="4"/>
      <c r="GC630" s="4"/>
      <c r="GD630" s="4"/>
      <c r="GE630" s="4"/>
      <c r="GF630" s="4"/>
      <c r="GG630" s="4"/>
      <c r="GH630" s="4"/>
      <c r="GI630" s="4"/>
      <c r="GJ630" s="4"/>
      <c r="GK630" s="4"/>
      <c r="GL630" s="4"/>
      <c r="GM630" s="4"/>
      <c r="GN630" s="4"/>
      <c r="GO630" s="4"/>
      <c r="GP630" s="4"/>
      <c r="GQ630" s="4"/>
      <c r="GR630" s="4"/>
      <c r="GS630" s="4"/>
      <c r="GT630" s="4"/>
      <c r="GU630" s="4"/>
      <c r="GV630" s="4"/>
      <c r="GW630" s="4"/>
      <c r="GX630" s="4"/>
      <c r="GY630" s="4"/>
      <c r="GZ630" s="4"/>
      <c r="HA630" s="4"/>
      <c r="HB630" s="4"/>
      <c r="HC630" s="4"/>
      <c r="HD630" s="4"/>
      <c r="HE630" s="4"/>
      <c r="HF630" s="4"/>
      <c r="HG630" s="4"/>
      <c r="HH630" s="4"/>
      <c r="HI630" s="4"/>
      <c r="HJ630" s="4"/>
    </row>
    <row r="631" spans="1:218" hidden="1">
      <c r="A631" t="s">
        <v>1824</v>
      </c>
      <c r="B631" t="s">
        <v>1825</v>
      </c>
      <c r="C631" t="s">
        <v>792</v>
      </c>
      <c r="D631" t="s">
        <v>1826</v>
      </c>
      <c r="E631" t="s">
        <v>1827</v>
      </c>
      <c r="F631" s="3">
        <v>1</v>
      </c>
      <c r="G631" s="12">
        <f t="shared" si="18"/>
        <v>5.96</v>
      </c>
      <c r="H631" s="12" t="e">
        <f t="shared" si="19"/>
        <v>#NUM!</v>
      </c>
      <c r="I631" s="3">
        <v>5.9574999999999996</v>
      </c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>
        <v>5.96</v>
      </c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  <c r="DQ631" s="4"/>
      <c r="DR631" s="4"/>
      <c r="DS631" s="4"/>
      <c r="DT631" s="4"/>
      <c r="DU631" s="4"/>
      <c r="DV631" s="4"/>
      <c r="DW631" s="4"/>
      <c r="DX631" s="4"/>
      <c r="DY631" s="4"/>
      <c r="DZ631" s="4"/>
      <c r="EA631" s="4"/>
      <c r="EB631" s="4"/>
      <c r="EC631" s="4"/>
      <c r="ED631" s="4"/>
      <c r="EE631" s="4"/>
      <c r="EF631" s="4"/>
      <c r="EG631" s="4"/>
      <c r="EH631" s="4"/>
      <c r="EI631" s="4"/>
      <c r="EJ631" s="4"/>
      <c r="EK631" s="4"/>
      <c r="EL631" s="4"/>
      <c r="EM631" s="4"/>
      <c r="EN631" s="4"/>
      <c r="EO631" s="4"/>
      <c r="EP631" s="4"/>
      <c r="EQ631" s="4"/>
      <c r="ER631" s="4"/>
      <c r="ES631" s="4"/>
      <c r="ET631" s="4"/>
      <c r="EU631" s="4"/>
      <c r="EV631" s="4"/>
      <c r="EW631" s="4"/>
      <c r="EX631" s="4"/>
      <c r="EY631" s="4"/>
      <c r="EZ631" s="4"/>
      <c r="FA631" s="4"/>
      <c r="FB631" s="4"/>
      <c r="FC631" s="4"/>
      <c r="FD631" s="4"/>
      <c r="FE631" s="4"/>
      <c r="FF631" s="4"/>
      <c r="FG631" s="4"/>
      <c r="FH631" s="4"/>
      <c r="FI631" s="4"/>
      <c r="FJ631" s="4"/>
      <c r="FK631" s="4"/>
      <c r="FL631" s="4"/>
      <c r="FM631" s="4"/>
      <c r="FN631" s="4"/>
      <c r="FO631" s="4"/>
      <c r="FP631" s="4"/>
      <c r="FQ631" s="4"/>
      <c r="FR631" s="4"/>
      <c r="FS631" s="4"/>
      <c r="FT631" s="4"/>
      <c r="FU631" s="4"/>
      <c r="FV631" s="4"/>
      <c r="FW631" s="4"/>
      <c r="FX631" s="4"/>
      <c r="FY631" s="4"/>
      <c r="FZ631" s="4"/>
      <c r="GA631" s="4"/>
      <c r="GB631" s="4"/>
      <c r="GC631" s="4"/>
      <c r="GD631" s="4"/>
      <c r="GE631" s="4"/>
      <c r="GF631" s="4"/>
      <c r="GG631" s="4"/>
      <c r="GH631" s="4"/>
      <c r="GI631" s="4"/>
      <c r="GJ631" s="4"/>
      <c r="GK631" s="4"/>
      <c r="GL631" s="4"/>
      <c r="GM631" s="4"/>
      <c r="GN631" s="4"/>
      <c r="GO631" s="4"/>
      <c r="GP631" s="4"/>
      <c r="GQ631" s="4"/>
      <c r="GR631" s="4"/>
      <c r="GS631" s="4"/>
      <c r="GT631" s="4"/>
      <c r="GU631" s="4"/>
      <c r="GV631" s="4"/>
      <c r="GW631" s="4"/>
      <c r="GX631" s="4"/>
      <c r="GY631" s="4"/>
      <c r="GZ631" s="4"/>
      <c r="HA631" s="4"/>
      <c r="HB631" s="4"/>
      <c r="HC631" s="4"/>
      <c r="HD631" s="4"/>
      <c r="HE631" s="4"/>
      <c r="HF631" s="4"/>
      <c r="HG631" s="4"/>
      <c r="HH631" s="4"/>
      <c r="HI631" s="4"/>
      <c r="HJ631" s="4"/>
    </row>
    <row r="632" spans="1:218" hidden="1">
      <c r="A632" t="s">
        <v>2703</v>
      </c>
      <c r="B632" t="s">
        <v>2704</v>
      </c>
      <c r="C632" t="s">
        <v>443</v>
      </c>
      <c r="D632" t="s">
        <v>2705</v>
      </c>
      <c r="E632" t="s">
        <v>2706</v>
      </c>
      <c r="F632" s="3">
        <v>1</v>
      </c>
      <c r="G632" s="12">
        <f t="shared" si="18"/>
        <v>3.08</v>
      </c>
      <c r="H632" s="12" t="e">
        <f t="shared" si="19"/>
        <v>#NUM!</v>
      </c>
      <c r="I632" s="3">
        <v>3.0775499000000002</v>
      </c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  <c r="DQ632" s="4"/>
      <c r="DR632" s="4"/>
      <c r="DS632" s="4"/>
      <c r="DT632" s="4"/>
      <c r="DU632" s="4"/>
      <c r="DV632" s="4"/>
      <c r="DW632" s="4"/>
      <c r="DX632" s="4"/>
      <c r="DY632" s="4"/>
      <c r="DZ632" s="4"/>
      <c r="EA632" s="4"/>
      <c r="EB632" s="4"/>
      <c r="EC632" s="4"/>
      <c r="ED632" s="4"/>
      <c r="EE632" s="4"/>
      <c r="EF632" s="4"/>
      <c r="EG632" s="4"/>
      <c r="EH632" s="4"/>
      <c r="EI632" s="4"/>
      <c r="EJ632" s="4"/>
      <c r="EK632" s="4"/>
      <c r="EL632" s="4"/>
      <c r="EM632" s="4"/>
      <c r="EN632" s="4"/>
      <c r="EO632" s="4"/>
      <c r="EP632" s="4"/>
      <c r="EQ632" s="4"/>
      <c r="ER632" s="4"/>
      <c r="ES632" s="4"/>
      <c r="ET632" s="4"/>
      <c r="EU632" s="4"/>
      <c r="EV632" s="4"/>
      <c r="EW632" s="4"/>
      <c r="EX632" s="4"/>
      <c r="EY632" s="4">
        <v>3.08</v>
      </c>
      <c r="EZ632" s="4"/>
      <c r="FA632" s="4"/>
      <c r="FB632" s="4"/>
      <c r="FC632" s="4"/>
      <c r="FD632" s="4"/>
      <c r="FE632" s="4"/>
      <c r="FF632" s="4"/>
      <c r="FG632" s="4"/>
      <c r="FH632" s="4"/>
      <c r="FI632" s="4"/>
      <c r="FJ632" s="4"/>
      <c r="FK632" s="4"/>
      <c r="FL632" s="4"/>
      <c r="FM632" s="4"/>
      <c r="FN632" s="4"/>
      <c r="FO632" s="4"/>
      <c r="FP632" s="4"/>
      <c r="FQ632" s="4"/>
      <c r="FR632" s="4"/>
      <c r="FS632" s="4"/>
      <c r="FT632" s="4"/>
      <c r="FU632" s="4"/>
      <c r="FV632" s="4"/>
      <c r="FW632" s="4"/>
      <c r="FX632" s="4"/>
      <c r="FY632" s="4"/>
      <c r="FZ632" s="4"/>
      <c r="GA632" s="4"/>
      <c r="GB632" s="4"/>
      <c r="GC632" s="4"/>
      <c r="GD632" s="4"/>
      <c r="GE632" s="4"/>
      <c r="GF632" s="4"/>
      <c r="GG632" s="4"/>
      <c r="GH632" s="4"/>
      <c r="GI632" s="4"/>
      <c r="GJ632" s="4"/>
      <c r="GK632" s="4"/>
      <c r="GL632" s="4"/>
      <c r="GM632" s="4"/>
      <c r="GN632" s="4"/>
      <c r="GO632" s="4"/>
      <c r="GP632" s="4"/>
      <c r="GQ632" s="4"/>
      <c r="GR632" s="4"/>
      <c r="GS632" s="4"/>
      <c r="GT632" s="4"/>
      <c r="GU632" s="4"/>
      <c r="GV632" s="4"/>
      <c r="GW632" s="4"/>
      <c r="GX632" s="4"/>
      <c r="GY632" s="4"/>
      <c r="GZ632" s="4"/>
      <c r="HA632" s="4"/>
      <c r="HB632" s="4"/>
      <c r="HC632" s="4"/>
      <c r="HD632" s="4"/>
      <c r="HE632" s="4"/>
      <c r="HF632" s="4"/>
      <c r="HG632" s="4"/>
      <c r="HH632" s="4"/>
      <c r="HI632" s="4"/>
      <c r="HJ632" s="4"/>
    </row>
    <row r="633" spans="1:218" hidden="1">
      <c r="A633" t="s">
        <v>1896</v>
      </c>
      <c r="B633" t="s">
        <v>1897</v>
      </c>
      <c r="C633" t="s">
        <v>443</v>
      </c>
      <c r="D633" t="s">
        <v>1898</v>
      </c>
      <c r="E633" t="s">
        <v>1899</v>
      </c>
      <c r="F633" s="3">
        <v>1</v>
      </c>
      <c r="G633" s="12">
        <f t="shared" si="18"/>
        <v>5.38</v>
      </c>
      <c r="H633" s="12" t="e">
        <f t="shared" si="19"/>
        <v>#NUM!</v>
      </c>
      <c r="I633" s="3">
        <v>5.3769897999999996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>
        <v>5.38</v>
      </c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  <c r="DQ633" s="4"/>
      <c r="DR633" s="4"/>
      <c r="DS633" s="4"/>
      <c r="DT633" s="4"/>
      <c r="DU633" s="4"/>
      <c r="DV633" s="4"/>
      <c r="DW633" s="4"/>
      <c r="DX633" s="4"/>
      <c r="DY633" s="4"/>
      <c r="DZ633" s="4"/>
      <c r="EA633" s="4"/>
      <c r="EB633" s="4"/>
      <c r="EC633" s="4"/>
      <c r="ED633" s="4"/>
      <c r="EE633" s="4"/>
      <c r="EF633" s="4"/>
      <c r="EG633" s="4"/>
      <c r="EH633" s="4"/>
      <c r="EI633" s="4"/>
      <c r="EJ633" s="4"/>
      <c r="EK633" s="4"/>
      <c r="EL633" s="4"/>
      <c r="EM633" s="4"/>
      <c r="EN633" s="4"/>
      <c r="EO633" s="4"/>
      <c r="EP633" s="4"/>
      <c r="EQ633" s="4"/>
      <c r="ER633" s="4"/>
      <c r="ES633" s="4"/>
      <c r="ET633" s="4"/>
      <c r="EU633" s="4"/>
      <c r="EV633" s="4"/>
      <c r="EW633" s="4"/>
      <c r="EX633" s="4"/>
      <c r="EY633" s="4"/>
      <c r="EZ633" s="4"/>
      <c r="FA633" s="4"/>
      <c r="FB633" s="4"/>
      <c r="FC633" s="4"/>
      <c r="FD633" s="4"/>
      <c r="FE633" s="4"/>
      <c r="FF633" s="4"/>
      <c r="FG633" s="4"/>
      <c r="FH633" s="4"/>
      <c r="FI633" s="4"/>
      <c r="FJ633" s="4"/>
      <c r="FK633" s="4"/>
      <c r="FL633" s="4"/>
      <c r="FM633" s="4"/>
      <c r="FN633" s="4"/>
      <c r="FO633" s="4"/>
      <c r="FP633" s="4"/>
      <c r="FQ633" s="4"/>
      <c r="FR633" s="4"/>
      <c r="FS633" s="4"/>
      <c r="FT633" s="4"/>
      <c r="FU633" s="4"/>
      <c r="FV633" s="4"/>
      <c r="FW633" s="4"/>
      <c r="FX633" s="4"/>
      <c r="FY633" s="4"/>
      <c r="FZ633" s="4"/>
      <c r="GA633" s="4"/>
      <c r="GB633" s="4"/>
      <c r="GC633" s="4"/>
      <c r="GD633" s="4"/>
      <c r="GE633" s="4"/>
      <c r="GF633" s="4"/>
      <c r="GG633" s="4"/>
      <c r="GH633" s="4"/>
      <c r="GI633" s="4"/>
      <c r="GJ633" s="4"/>
      <c r="GK633" s="4"/>
      <c r="GL633" s="4"/>
      <c r="GM633" s="4"/>
      <c r="GN633" s="4"/>
      <c r="GO633" s="4"/>
      <c r="GP633" s="4"/>
      <c r="GQ633" s="4"/>
      <c r="GR633" s="4"/>
      <c r="GS633" s="4"/>
      <c r="GT633" s="4"/>
      <c r="GU633" s="4"/>
      <c r="GV633" s="4"/>
      <c r="GW633" s="4"/>
      <c r="GX633" s="4"/>
      <c r="GY633" s="4"/>
      <c r="GZ633" s="4"/>
      <c r="HA633" s="4"/>
      <c r="HB633" s="4"/>
      <c r="HC633" s="4"/>
      <c r="HD633" s="4"/>
      <c r="HE633" s="4"/>
      <c r="HF633" s="4"/>
      <c r="HG633" s="4"/>
      <c r="HH633" s="4"/>
      <c r="HI633" s="4"/>
      <c r="HJ633" s="4"/>
    </row>
    <row r="634" spans="1:218" hidden="1">
      <c r="A634" t="s">
        <v>2812</v>
      </c>
      <c r="B634" t="s">
        <v>2813</v>
      </c>
      <c r="C634" t="s">
        <v>1329</v>
      </c>
      <c r="D634" t="s">
        <v>2814</v>
      </c>
      <c r="E634" t="s">
        <v>2815</v>
      </c>
      <c r="F634" s="3">
        <v>1</v>
      </c>
      <c r="G634" s="12">
        <f t="shared" si="18"/>
        <v>2.72</v>
      </c>
      <c r="H634" s="12" t="e">
        <f t="shared" si="19"/>
        <v>#NUM!</v>
      </c>
      <c r="I634" s="3">
        <v>2.7233399999999999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>
        <v>2.72</v>
      </c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  <c r="DQ634" s="4"/>
      <c r="DR634" s="4"/>
      <c r="DS634" s="4"/>
      <c r="DT634" s="4"/>
      <c r="DU634" s="4"/>
      <c r="DV634" s="4"/>
      <c r="DW634" s="4"/>
      <c r="DX634" s="4"/>
      <c r="DY634" s="4"/>
      <c r="DZ634" s="4"/>
      <c r="EA634" s="4"/>
      <c r="EB634" s="4"/>
      <c r="EC634" s="4"/>
      <c r="ED634" s="4"/>
      <c r="EE634" s="4"/>
      <c r="EF634" s="4"/>
      <c r="EG634" s="4"/>
      <c r="EH634" s="4"/>
      <c r="EI634" s="4"/>
      <c r="EJ634" s="4"/>
      <c r="EK634" s="4"/>
      <c r="EL634" s="4"/>
      <c r="EM634" s="4"/>
      <c r="EN634" s="4"/>
      <c r="EO634" s="4"/>
      <c r="EP634" s="4"/>
      <c r="EQ634" s="4"/>
      <c r="ER634" s="4"/>
      <c r="ES634" s="4"/>
      <c r="ET634" s="4"/>
      <c r="EU634" s="4"/>
      <c r="EV634" s="4"/>
      <c r="EW634" s="4"/>
      <c r="EX634" s="4"/>
      <c r="EY634" s="4"/>
      <c r="EZ634" s="4"/>
      <c r="FA634" s="4"/>
      <c r="FB634" s="4"/>
      <c r="FC634" s="4"/>
      <c r="FD634" s="4"/>
      <c r="FE634" s="4"/>
      <c r="FF634" s="4"/>
      <c r="FG634" s="4"/>
      <c r="FH634" s="4"/>
      <c r="FI634" s="4"/>
      <c r="FJ634" s="4"/>
      <c r="FK634" s="4"/>
      <c r="FL634" s="4"/>
      <c r="FM634" s="4"/>
      <c r="FN634" s="4"/>
      <c r="FO634" s="4"/>
      <c r="FP634" s="4"/>
      <c r="FQ634" s="4"/>
      <c r="FR634" s="4"/>
      <c r="FS634" s="4"/>
      <c r="FT634" s="4"/>
      <c r="FU634" s="4"/>
      <c r="FV634" s="4"/>
      <c r="FW634" s="4"/>
      <c r="FX634" s="4"/>
      <c r="FY634" s="4"/>
      <c r="FZ634" s="4"/>
      <c r="GA634" s="4"/>
      <c r="GB634" s="4"/>
      <c r="GC634" s="4"/>
      <c r="GD634" s="4"/>
      <c r="GE634" s="4"/>
      <c r="GF634" s="4"/>
      <c r="GG634" s="4"/>
      <c r="GH634" s="4"/>
      <c r="GI634" s="4"/>
      <c r="GJ634" s="4"/>
      <c r="GK634" s="4"/>
      <c r="GL634" s="4"/>
      <c r="GM634" s="4"/>
      <c r="GN634" s="4"/>
      <c r="GO634" s="4"/>
      <c r="GP634" s="4"/>
      <c r="GQ634" s="4"/>
      <c r="GR634" s="4"/>
      <c r="GS634" s="4"/>
      <c r="GT634" s="4"/>
      <c r="GU634" s="4"/>
      <c r="GV634" s="4"/>
      <c r="GW634" s="4"/>
      <c r="GX634" s="4"/>
      <c r="GY634" s="4"/>
      <c r="GZ634" s="4"/>
      <c r="HA634" s="4"/>
      <c r="HB634" s="4"/>
      <c r="HC634" s="4"/>
      <c r="HD634" s="4"/>
      <c r="HE634" s="4"/>
      <c r="HF634" s="4"/>
      <c r="HG634" s="4"/>
      <c r="HH634" s="4"/>
      <c r="HI634" s="4"/>
      <c r="HJ634" s="4"/>
    </row>
    <row r="635" spans="1:218" hidden="1">
      <c r="A635" t="s">
        <v>2707</v>
      </c>
      <c r="B635" t="s">
        <v>2708</v>
      </c>
      <c r="C635" t="s">
        <v>1143</v>
      </c>
      <c r="D635" t="s">
        <v>490</v>
      </c>
      <c r="E635" t="s">
        <v>2709</v>
      </c>
      <c r="F635" s="3">
        <v>1</v>
      </c>
      <c r="G635" s="12">
        <f t="shared" si="18"/>
        <v>3.08</v>
      </c>
      <c r="H635" s="12" t="e">
        <f t="shared" si="19"/>
        <v>#NUM!</v>
      </c>
      <c r="I635" s="3">
        <v>3.0763099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>
        <v>3.08</v>
      </c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  <c r="DQ635" s="4"/>
      <c r="DR635" s="4"/>
      <c r="DS635" s="4"/>
      <c r="DT635" s="4"/>
      <c r="DU635" s="4"/>
      <c r="DV635" s="4"/>
      <c r="DW635" s="4"/>
      <c r="DX635" s="4"/>
      <c r="DY635" s="4"/>
      <c r="DZ635" s="4"/>
      <c r="EA635" s="4"/>
      <c r="EB635" s="4"/>
      <c r="EC635" s="4"/>
      <c r="ED635" s="4"/>
      <c r="EE635" s="4"/>
      <c r="EF635" s="4"/>
      <c r="EG635" s="4"/>
      <c r="EH635" s="4"/>
      <c r="EI635" s="4"/>
      <c r="EJ635" s="4"/>
      <c r="EK635" s="4"/>
      <c r="EL635" s="4"/>
      <c r="EM635" s="4"/>
      <c r="EN635" s="4"/>
      <c r="EO635" s="4"/>
      <c r="EP635" s="4"/>
      <c r="EQ635" s="4"/>
      <c r="ER635" s="4"/>
      <c r="ES635" s="4"/>
      <c r="ET635" s="4"/>
      <c r="EU635" s="4"/>
      <c r="EV635" s="4"/>
      <c r="EW635" s="4"/>
      <c r="EX635" s="4"/>
      <c r="EY635" s="4"/>
      <c r="EZ635" s="4"/>
      <c r="FA635" s="4"/>
      <c r="FB635" s="4"/>
      <c r="FC635" s="4"/>
      <c r="FD635" s="4"/>
      <c r="FE635" s="4"/>
      <c r="FF635" s="4"/>
      <c r="FG635" s="4"/>
      <c r="FH635" s="4"/>
      <c r="FI635" s="4"/>
      <c r="FJ635" s="4"/>
      <c r="FK635" s="4"/>
      <c r="FL635" s="4"/>
      <c r="FM635" s="4"/>
      <c r="FN635" s="4"/>
      <c r="FO635" s="4"/>
      <c r="FP635" s="4"/>
      <c r="FQ635" s="4"/>
      <c r="FR635" s="4"/>
      <c r="FS635" s="4"/>
      <c r="FT635" s="4"/>
      <c r="FU635" s="4"/>
      <c r="FV635" s="4"/>
      <c r="FW635" s="4"/>
      <c r="FX635" s="4"/>
      <c r="FY635" s="4"/>
      <c r="FZ635" s="4"/>
      <c r="GA635" s="4"/>
      <c r="GB635" s="4"/>
      <c r="GC635" s="4"/>
      <c r="GD635" s="4"/>
      <c r="GE635" s="4"/>
      <c r="GF635" s="4"/>
      <c r="GG635" s="4"/>
      <c r="GH635" s="4"/>
      <c r="GI635" s="4"/>
      <c r="GJ635" s="4"/>
      <c r="GK635" s="4"/>
      <c r="GL635" s="4"/>
      <c r="GM635" s="4"/>
      <c r="GN635" s="4"/>
      <c r="GO635" s="4"/>
      <c r="GP635" s="4"/>
      <c r="GQ635" s="4"/>
      <c r="GR635" s="4"/>
      <c r="GS635" s="4"/>
      <c r="GT635" s="4"/>
      <c r="GU635" s="4"/>
      <c r="GV635" s="4"/>
      <c r="GW635" s="4"/>
      <c r="GX635" s="4"/>
      <c r="GY635" s="4"/>
      <c r="GZ635" s="4"/>
      <c r="HA635" s="4"/>
      <c r="HB635" s="4"/>
      <c r="HC635" s="4"/>
      <c r="HD635" s="4"/>
      <c r="HE635" s="4"/>
      <c r="HF635" s="4"/>
      <c r="HG635" s="4"/>
      <c r="HH635" s="4"/>
      <c r="HI635" s="4"/>
      <c r="HJ635" s="4"/>
    </row>
    <row r="636" spans="1:218" hidden="1">
      <c r="A636" t="s">
        <v>3099</v>
      </c>
      <c r="B636" t="s">
        <v>3100</v>
      </c>
      <c r="C636" t="s">
        <v>850</v>
      </c>
      <c r="D636" t="s">
        <v>3101</v>
      </c>
      <c r="E636" t="s">
        <v>3102</v>
      </c>
      <c r="F636" s="3">
        <v>1</v>
      </c>
      <c r="G636" s="12">
        <f t="shared" si="18"/>
        <v>1.46</v>
      </c>
      <c r="H636" s="12" t="e">
        <f t="shared" si="19"/>
        <v>#NUM!</v>
      </c>
      <c r="I636" s="3">
        <v>1.4631500500000001</v>
      </c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>
        <v>1.46</v>
      </c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  <c r="DQ636" s="4"/>
      <c r="DR636" s="4"/>
      <c r="DS636" s="4"/>
      <c r="DT636" s="4"/>
      <c r="DU636" s="4"/>
      <c r="DV636" s="4"/>
      <c r="DW636" s="4"/>
      <c r="DX636" s="4"/>
      <c r="DY636" s="4"/>
      <c r="DZ636" s="4"/>
      <c r="EA636" s="4"/>
      <c r="EB636" s="4"/>
      <c r="EC636" s="4"/>
      <c r="ED636" s="4"/>
      <c r="EE636" s="4"/>
      <c r="EF636" s="4"/>
      <c r="EG636" s="4"/>
      <c r="EH636" s="4"/>
      <c r="EI636" s="4"/>
      <c r="EJ636" s="4"/>
      <c r="EK636" s="4"/>
      <c r="EL636" s="4"/>
      <c r="EM636" s="4"/>
      <c r="EN636" s="4"/>
      <c r="EO636" s="4"/>
      <c r="EP636" s="4"/>
      <c r="EQ636" s="4"/>
      <c r="ER636" s="4"/>
      <c r="ES636" s="4"/>
      <c r="ET636" s="4"/>
      <c r="EU636" s="4"/>
      <c r="EV636" s="4"/>
      <c r="EW636" s="4"/>
      <c r="EX636" s="4"/>
      <c r="EY636" s="4"/>
      <c r="EZ636" s="4"/>
      <c r="FA636" s="4"/>
      <c r="FB636" s="4"/>
      <c r="FC636" s="4"/>
      <c r="FD636" s="4"/>
      <c r="FE636" s="4"/>
      <c r="FF636" s="4"/>
      <c r="FG636" s="4"/>
      <c r="FH636" s="4"/>
      <c r="FI636" s="4"/>
      <c r="FJ636" s="4"/>
      <c r="FK636" s="4"/>
      <c r="FL636" s="4"/>
      <c r="FM636" s="4"/>
      <c r="FN636" s="4"/>
      <c r="FO636" s="4"/>
      <c r="FP636" s="4"/>
      <c r="FQ636" s="4"/>
      <c r="FR636" s="4"/>
      <c r="FS636" s="4"/>
      <c r="FT636" s="4"/>
      <c r="FU636" s="4"/>
      <c r="FV636" s="4"/>
      <c r="FW636" s="4"/>
      <c r="FX636" s="4"/>
      <c r="FY636" s="4"/>
      <c r="FZ636" s="4"/>
      <c r="GA636" s="4"/>
      <c r="GB636" s="4"/>
      <c r="GC636" s="4"/>
      <c r="GD636" s="4"/>
      <c r="GE636" s="4"/>
      <c r="GF636" s="4"/>
      <c r="GG636" s="4"/>
      <c r="GH636" s="4"/>
      <c r="GI636" s="4"/>
      <c r="GJ636" s="4"/>
      <c r="GK636" s="4"/>
      <c r="GL636" s="4"/>
      <c r="GM636" s="4"/>
      <c r="GN636" s="4"/>
      <c r="GO636" s="4"/>
      <c r="GP636" s="4"/>
      <c r="GQ636" s="4"/>
      <c r="GR636" s="4"/>
      <c r="GS636" s="4"/>
      <c r="GT636" s="4"/>
      <c r="GU636" s="4"/>
      <c r="GV636" s="4"/>
      <c r="GW636" s="4"/>
      <c r="GX636" s="4"/>
      <c r="GY636" s="4"/>
      <c r="GZ636" s="4"/>
      <c r="HA636" s="4"/>
      <c r="HB636" s="4"/>
      <c r="HC636" s="4"/>
      <c r="HD636" s="4"/>
      <c r="HE636" s="4"/>
      <c r="HF636" s="4"/>
      <c r="HG636" s="4"/>
      <c r="HH636" s="4"/>
      <c r="HI636" s="4"/>
      <c r="HJ636" s="4"/>
    </row>
    <row r="637" spans="1:218" hidden="1">
      <c r="A637" t="s">
        <v>2494</v>
      </c>
      <c r="B637" t="s">
        <v>2495</v>
      </c>
      <c r="C637" t="s">
        <v>505</v>
      </c>
      <c r="D637" t="s">
        <v>2496</v>
      </c>
      <c r="E637" t="s">
        <v>2497</v>
      </c>
      <c r="F637" s="3">
        <v>1</v>
      </c>
      <c r="G637" s="12">
        <f t="shared" si="18"/>
        <v>3.68</v>
      </c>
      <c r="H637" s="12" t="e">
        <f t="shared" si="19"/>
        <v>#NUM!</v>
      </c>
      <c r="I637" s="3">
        <v>3.6839599999999999</v>
      </c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>
        <v>3.68</v>
      </c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  <c r="DQ637" s="4"/>
      <c r="DR637" s="4"/>
      <c r="DS637" s="4"/>
      <c r="DT637" s="4"/>
      <c r="DU637" s="4"/>
      <c r="DV637" s="4"/>
      <c r="DW637" s="4"/>
      <c r="DX637" s="4"/>
      <c r="DY637" s="4"/>
      <c r="DZ637" s="4"/>
      <c r="EA637" s="4"/>
      <c r="EB637" s="4"/>
      <c r="EC637" s="4"/>
      <c r="ED637" s="4"/>
      <c r="EE637" s="4"/>
      <c r="EF637" s="4"/>
      <c r="EG637" s="4"/>
      <c r="EH637" s="4"/>
      <c r="EI637" s="4"/>
      <c r="EJ637" s="4"/>
      <c r="EK637" s="4"/>
      <c r="EL637" s="4"/>
      <c r="EM637" s="4"/>
      <c r="EN637" s="4"/>
      <c r="EO637" s="4"/>
      <c r="EP637" s="4"/>
      <c r="EQ637" s="4"/>
      <c r="ER637" s="4"/>
      <c r="ES637" s="4"/>
      <c r="ET637" s="4"/>
      <c r="EU637" s="4"/>
      <c r="EV637" s="4"/>
      <c r="EW637" s="4"/>
      <c r="EX637" s="4"/>
      <c r="EY637" s="4"/>
      <c r="EZ637" s="4"/>
      <c r="FA637" s="4"/>
      <c r="FB637" s="4"/>
      <c r="FC637" s="4"/>
      <c r="FD637" s="4"/>
      <c r="FE637" s="4"/>
      <c r="FF637" s="4"/>
      <c r="FG637" s="4"/>
      <c r="FH637" s="4"/>
      <c r="FI637" s="4"/>
      <c r="FJ637" s="4"/>
      <c r="FK637" s="4"/>
      <c r="FL637" s="4"/>
      <c r="FM637" s="4"/>
      <c r="FN637" s="4"/>
      <c r="FO637" s="4"/>
      <c r="FP637" s="4"/>
      <c r="FQ637" s="4"/>
      <c r="FR637" s="4"/>
      <c r="FS637" s="4"/>
      <c r="FT637" s="4"/>
      <c r="FU637" s="4"/>
      <c r="FV637" s="4"/>
      <c r="FW637" s="4"/>
      <c r="FX637" s="4"/>
      <c r="FY637" s="4"/>
      <c r="FZ637" s="4"/>
      <c r="GA637" s="4"/>
      <c r="GB637" s="4"/>
      <c r="GC637" s="4"/>
      <c r="GD637" s="4"/>
      <c r="GE637" s="4"/>
      <c r="GF637" s="4"/>
      <c r="GG637" s="4"/>
      <c r="GH637" s="4"/>
      <c r="GI637" s="4"/>
      <c r="GJ637" s="4"/>
      <c r="GK637" s="4"/>
      <c r="GL637" s="4"/>
      <c r="GM637" s="4"/>
      <c r="GN637" s="4"/>
      <c r="GO637" s="4"/>
      <c r="GP637" s="4"/>
      <c r="GQ637" s="4"/>
      <c r="GR637" s="4"/>
      <c r="GS637" s="4"/>
      <c r="GT637" s="4"/>
      <c r="GU637" s="4"/>
      <c r="GV637" s="4"/>
      <c r="GW637" s="4"/>
      <c r="GX637" s="4"/>
      <c r="GY637" s="4"/>
      <c r="GZ637" s="4"/>
      <c r="HA637" s="4"/>
      <c r="HB637" s="4"/>
      <c r="HC637" s="4"/>
      <c r="HD637" s="4"/>
      <c r="HE637" s="4"/>
      <c r="HF637" s="4"/>
      <c r="HG637" s="4"/>
      <c r="HH637" s="4"/>
      <c r="HI637" s="4"/>
      <c r="HJ637" s="4"/>
    </row>
    <row r="638" spans="1:218" hidden="1">
      <c r="A638" t="s">
        <v>2345</v>
      </c>
      <c r="B638" t="s">
        <v>2346</v>
      </c>
      <c r="C638" t="s">
        <v>443</v>
      </c>
      <c r="D638" t="s">
        <v>554</v>
      </c>
      <c r="E638" t="s">
        <v>2347</v>
      </c>
      <c r="F638" s="3">
        <v>1</v>
      </c>
      <c r="G638" s="12">
        <f t="shared" si="18"/>
        <v>4.05</v>
      </c>
      <c r="H638" s="12" t="e">
        <f t="shared" si="19"/>
        <v>#NUM!</v>
      </c>
      <c r="I638" s="3">
        <v>4.0496603000000002</v>
      </c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>
        <v>4.05</v>
      </c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  <c r="DQ638" s="4"/>
      <c r="DR638" s="4"/>
      <c r="DS638" s="4"/>
      <c r="DT638" s="4"/>
      <c r="DU638" s="4"/>
      <c r="DV638" s="4"/>
      <c r="DW638" s="4"/>
      <c r="DX638" s="4"/>
      <c r="DY638" s="4"/>
      <c r="DZ638" s="4"/>
      <c r="EA638" s="4"/>
      <c r="EB638" s="4"/>
      <c r="EC638" s="4"/>
      <c r="ED638" s="4"/>
      <c r="EE638" s="4"/>
      <c r="EF638" s="4"/>
      <c r="EG638" s="4"/>
      <c r="EH638" s="4"/>
      <c r="EI638" s="4"/>
      <c r="EJ638" s="4"/>
      <c r="EK638" s="4"/>
      <c r="EL638" s="4"/>
      <c r="EM638" s="4"/>
      <c r="EN638" s="4"/>
      <c r="EO638" s="4"/>
      <c r="EP638" s="4"/>
      <c r="EQ638" s="4"/>
      <c r="ER638" s="4"/>
      <c r="ES638" s="4"/>
      <c r="ET638" s="4"/>
      <c r="EU638" s="4"/>
      <c r="EV638" s="4"/>
      <c r="EW638" s="4"/>
      <c r="EX638" s="4"/>
      <c r="EY638" s="4"/>
      <c r="EZ638" s="4"/>
      <c r="FA638" s="4"/>
      <c r="FB638" s="4"/>
      <c r="FC638" s="4"/>
      <c r="FD638" s="4"/>
      <c r="FE638" s="4"/>
      <c r="FF638" s="4"/>
      <c r="FG638" s="4"/>
      <c r="FH638" s="4"/>
      <c r="FI638" s="4"/>
      <c r="FJ638" s="4"/>
      <c r="FK638" s="4"/>
      <c r="FL638" s="4"/>
      <c r="FM638" s="4"/>
      <c r="FN638" s="4"/>
      <c r="FO638" s="4"/>
      <c r="FP638" s="4"/>
      <c r="FQ638" s="4"/>
      <c r="FR638" s="4"/>
      <c r="FS638" s="4"/>
      <c r="FT638" s="4"/>
      <c r="FU638" s="4"/>
      <c r="FV638" s="4"/>
      <c r="FW638" s="4"/>
      <c r="FX638" s="4"/>
      <c r="FY638" s="4"/>
      <c r="FZ638" s="4"/>
      <c r="GA638" s="4"/>
      <c r="GB638" s="4"/>
      <c r="GC638" s="4"/>
      <c r="GD638" s="4"/>
      <c r="GE638" s="4"/>
      <c r="GF638" s="4"/>
      <c r="GG638" s="4"/>
      <c r="GH638" s="4"/>
      <c r="GI638" s="4"/>
      <c r="GJ638" s="4"/>
      <c r="GK638" s="4"/>
      <c r="GL638" s="4"/>
      <c r="GM638" s="4"/>
      <c r="GN638" s="4"/>
      <c r="GO638" s="4"/>
      <c r="GP638" s="4"/>
      <c r="GQ638" s="4"/>
      <c r="GR638" s="4"/>
      <c r="GS638" s="4"/>
      <c r="GT638" s="4"/>
      <c r="GU638" s="4"/>
      <c r="GV638" s="4"/>
      <c r="GW638" s="4"/>
      <c r="GX638" s="4"/>
      <c r="GY638" s="4"/>
      <c r="GZ638" s="4"/>
      <c r="HA638" s="4"/>
      <c r="HB638" s="4"/>
      <c r="HC638" s="4"/>
      <c r="HD638" s="4"/>
      <c r="HE638" s="4"/>
      <c r="HF638" s="4"/>
      <c r="HG638" s="4"/>
      <c r="HH638" s="4"/>
      <c r="HI638" s="4"/>
      <c r="HJ638" s="4"/>
    </row>
    <row r="639" spans="1:218" hidden="1">
      <c r="A639" t="s">
        <v>1935</v>
      </c>
      <c r="B639" t="s">
        <v>1936</v>
      </c>
      <c r="C639" t="s">
        <v>1937</v>
      </c>
      <c r="D639" t="s">
        <v>1938</v>
      </c>
      <c r="E639" t="s">
        <v>1939</v>
      </c>
      <c r="F639" s="3">
        <v>1</v>
      </c>
      <c r="G639" s="12">
        <f t="shared" si="18"/>
        <v>5.03</v>
      </c>
      <c r="H639" s="12" t="e">
        <f t="shared" si="19"/>
        <v>#NUM!</v>
      </c>
      <c r="I639" s="3">
        <v>5.0303303000000001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  <c r="DQ639" s="4"/>
      <c r="DR639" s="4"/>
      <c r="DS639" s="4"/>
      <c r="DT639" s="4"/>
      <c r="DU639" s="4"/>
      <c r="DV639" s="4"/>
      <c r="DW639" s="4"/>
      <c r="DX639" s="4"/>
      <c r="DY639" s="4"/>
      <c r="DZ639" s="4"/>
      <c r="EA639" s="4"/>
      <c r="EB639" s="4"/>
      <c r="EC639" s="4"/>
      <c r="ED639" s="4"/>
      <c r="EE639" s="4"/>
      <c r="EF639" s="4"/>
      <c r="EG639" s="4"/>
      <c r="EH639" s="4"/>
      <c r="EI639" s="4"/>
      <c r="EJ639" s="4"/>
      <c r="EK639" s="4"/>
      <c r="EL639" s="4"/>
      <c r="EM639" s="4"/>
      <c r="EN639" s="4"/>
      <c r="EO639" s="4"/>
      <c r="EP639" s="4"/>
      <c r="EQ639" s="4"/>
      <c r="ER639" s="4"/>
      <c r="ES639" s="4"/>
      <c r="ET639" s="4"/>
      <c r="EU639" s="4"/>
      <c r="EV639" s="4"/>
      <c r="EW639" s="4"/>
      <c r="EX639" s="4"/>
      <c r="EY639" s="4"/>
      <c r="EZ639" s="4"/>
      <c r="FA639" s="4"/>
      <c r="FB639" s="4"/>
      <c r="FC639" s="4"/>
      <c r="FD639" s="4"/>
      <c r="FE639" s="4"/>
      <c r="FF639" s="4"/>
      <c r="FG639" s="4"/>
      <c r="FH639" s="4"/>
      <c r="FI639" s="4"/>
      <c r="FJ639" s="4"/>
      <c r="FK639" s="4"/>
      <c r="FL639" s="4"/>
      <c r="FM639" s="4"/>
      <c r="FN639" s="4"/>
      <c r="FO639" s="4"/>
      <c r="FP639" s="4"/>
      <c r="FQ639" s="4"/>
      <c r="FR639" s="4"/>
      <c r="FS639" s="4"/>
      <c r="FT639" s="4"/>
      <c r="FU639" s="4"/>
      <c r="FV639" s="4"/>
      <c r="FW639" s="4"/>
      <c r="FX639" s="4"/>
      <c r="FY639" s="4"/>
      <c r="FZ639" s="4"/>
      <c r="GA639" s="4"/>
      <c r="GB639" s="4"/>
      <c r="GC639" s="4"/>
      <c r="GD639" s="4"/>
      <c r="GE639" s="4">
        <v>5.03</v>
      </c>
      <c r="GF639" s="4"/>
      <c r="GG639" s="4"/>
      <c r="GH639" s="4"/>
      <c r="GI639" s="4"/>
      <c r="GJ639" s="4"/>
      <c r="GK639" s="4"/>
      <c r="GL639" s="4"/>
      <c r="GM639" s="4"/>
      <c r="GN639" s="4"/>
      <c r="GO639" s="4"/>
      <c r="GP639" s="4"/>
      <c r="GQ639" s="4"/>
      <c r="GR639" s="4"/>
      <c r="GS639" s="4"/>
      <c r="GT639" s="4"/>
      <c r="GU639" s="4"/>
      <c r="GV639" s="4"/>
      <c r="GW639" s="4"/>
      <c r="GX639" s="4"/>
      <c r="GY639" s="4"/>
      <c r="GZ639" s="4"/>
      <c r="HA639" s="4"/>
      <c r="HB639" s="4"/>
      <c r="HC639" s="4"/>
      <c r="HD639" s="4"/>
      <c r="HE639" s="4"/>
      <c r="HF639" s="4"/>
      <c r="HG639" s="4"/>
      <c r="HH639" s="4"/>
      <c r="HI639" s="4"/>
      <c r="HJ639" s="4"/>
    </row>
    <row r="640" spans="1:218" hidden="1">
      <c r="A640" t="s">
        <v>2510</v>
      </c>
      <c r="B640" t="s">
        <v>2511</v>
      </c>
      <c r="C640" t="s">
        <v>443</v>
      </c>
      <c r="D640" t="s">
        <v>2512</v>
      </c>
      <c r="E640" t="s">
        <v>2513</v>
      </c>
      <c r="F640" s="3">
        <v>1</v>
      </c>
      <c r="G640" s="12">
        <f t="shared" si="18"/>
        <v>3.61</v>
      </c>
      <c r="H640" s="12" t="e">
        <f t="shared" si="19"/>
        <v>#NUM!</v>
      </c>
      <c r="I640" s="3">
        <v>3.6124497999999998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>
        <v>3.61</v>
      </c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  <c r="DQ640" s="4"/>
      <c r="DR640" s="4"/>
      <c r="DS640" s="4"/>
      <c r="DT640" s="4"/>
      <c r="DU640" s="4"/>
      <c r="DV640" s="4"/>
      <c r="DW640" s="4"/>
      <c r="DX640" s="4"/>
      <c r="DY640" s="4"/>
      <c r="DZ640" s="4"/>
      <c r="EA640" s="4"/>
      <c r="EB640" s="4"/>
      <c r="EC640" s="4"/>
      <c r="ED640" s="4"/>
      <c r="EE640" s="4"/>
      <c r="EF640" s="4"/>
      <c r="EG640" s="4"/>
      <c r="EH640" s="4"/>
      <c r="EI640" s="4"/>
      <c r="EJ640" s="4"/>
      <c r="EK640" s="4"/>
      <c r="EL640" s="4"/>
      <c r="EM640" s="4"/>
      <c r="EN640" s="4"/>
      <c r="EO640" s="4"/>
      <c r="EP640" s="4"/>
      <c r="EQ640" s="4"/>
      <c r="ER640" s="4"/>
      <c r="ES640" s="4"/>
      <c r="ET640" s="4"/>
      <c r="EU640" s="4"/>
      <c r="EV640" s="4"/>
      <c r="EW640" s="4"/>
      <c r="EX640" s="4"/>
      <c r="EY640" s="4"/>
      <c r="EZ640" s="4"/>
      <c r="FA640" s="4"/>
      <c r="FB640" s="4"/>
      <c r="FC640" s="4"/>
      <c r="FD640" s="4"/>
      <c r="FE640" s="4"/>
      <c r="FF640" s="4"/>
      <c r="FG640" s="4"/>
      <c r="FH640" s="4"/>
      <c r="FI640" s="4"/>
      <c r="FJ640" s="4"/>
      <c r="FK640" s="4"/>
      <c r="FL640" s="4"/>
      <c r="FM640" s="4"/>
      <c r="FN640" s="4"/>
      <c r="FO640" s="4"/>
      <c r="FP640" s="4"/>
      <c r="FQ640" s="4"/>
      <c r="FR640" s="4"/>
      <c r="FS640" s="4"/>
      <c r="FT640" s="4"/>
      <c r="FU640" s="4"/>
      <c r="FV640" s="4"/>
      <c r="FW640" s="4"/>
      <c r="FX640" s="4"/>
      <c r="FY640" s="4"/>
      <c r="FZ640" s="4"/>
      <c r="GA640" s="4"/>
      <c r="GB640" s="4"/>
      <c r="GC640" s="4"/>
      <c r="GD640" s="4"/>
      <c r="GE640" s="4"/>
      <c r="GF640" s="4"/>
      <c r="GG640" s="4"/>
      <c r="GH640" s="4"/>
      <c r="GI640" s="4"/>
      <c r="GJ640" s="4"/>
      <c r="GK640" s="4"/>
      <c r="GL640" s="4"/>
      <c r="GM640" s="4"/>
      <c r="GN640" s="4"/>
      <c r="GO640" s="4"/>
      <c r="GP640" s="4"/>
      <c r="GQ640" s="4"/>
      <c r="GR640" s="4"/>
      <c r="GS640" s="4"/>
      <c r="GT640" s="4"/>
      <c r="GU640" s="4"/>
      <c r="GV640" s="4"/>
      <c r="GW640" s="4"/>
      <c r="GX640" s="4"/>
      <c r="GY640" s="4"/>
      <c r="GZ640" s="4"/>
      <c r="HA640" s="4"/>
      <c r="HB640" s="4"/>
      <c r="HC640" s="4"/>
      <c r="HD640" s="4"/>
      <c r="HE640" s="4"/>
      <c r="HF640" s="4"/>
      <c r="HG640" s="4"/>
      <c r="HH640" s="4"/>
      <c r="HI640" s="4"/>
      <c r="HJ640" s="4"/>
    </row>
    <row r="641" spans="1:218" hidden="1">
      <c r="A641" t="s">
        <v>2327</v>
      </c>
      <c r="B641" t="s">
        <v>2328</v>
      </c>
      <c r="C641" t="s">
        <v>489</v>
      </c>
      <c r="D641" t="s">
        <v>490</v>
      </c>
      <c r="E641" t="s">
        <v>490</v>
      </c>
      <c r="F641" s="3">
        <v>1</v>
      </c>
      <c r="G641" s="12">
        <f t="shared" si="18"/>
        <v>4.09</v>
      </c>
      <c r="H641" s="12" t="e">
        <f t="shared" si="19"/>
        <v>#NUM!</v>
      </c>
      <c r="I641" s="3">
        <v>4.0894399999999997</v>
      </c>
      <c r="K641" s="4"/>
      <c r="L641" s="4"/>
      <c r="M641" s="4"/>
      <c r="N641" s="4"/>
      <c r="O641" s="4"/>
      <c r="P641" s="4"/>
      <c r="Q641" s="4">
        <v>4.09</v>
      </c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  <c r="DQ641" s="4"/>
      <c r="DR641" s="4"/>
      <c r="DS641" s="4"/>
      <c r="DT641" s="4"/>
      <c r="DU641" s="4"/>
      <c r="DV641" s="4"/>
      <c r="DW641" s="4"/>
      <c r="DX641" s="4"/>
      <c r="DY641" s="4"/>
      <c r="DZ641" s="4"/>
      <c r="EA641" s="4"/>
      <c r="EB641" s="4"/>
      <c r="EC641" s="4"/>
      <c r="ED641" s="4"/>
      <c r="EE641" s="4"/>
      <c r="EF641" s="4"/>
      <c r="EG641" s="4"/>
      <c r="EH641" s="4"/>
      <c r="EI641" s="4"/>
      <c r="EJ641" s="4"/>
      <c r="EK641" s="4"/>
      <c r="EL641" s="4"/>
      <c r="EM641" s="4"/>
      <c r="EN641" s="4"/>
      <c r="EO641" s="4"/>
      <c r="EP641" s="4"/>
      <c r="EQ641" s="4"/>
      <c r="ER641" s="4"/>
      <c r="ES641" s="4"/>
      <c r="ET641" s="4"/>
      <c r="EU641" s="4"/>
      <c r="EV641" s="4"/>
      <c r="EW641" s="4"/>
      <c r="EX641" s="4"/>
      <c r="EY641" s="4"/>
      <c r="EZ641" s="4"/>
      <c r="FA641" s="4"/>
      <c r="FB641" s="4"/>
      <c r="FC641" s="4"/>
      <c r="FD641" s="4"/>
      <c r="FE641" s="4"/>
      <c r="FF641" s="4"/>
      <c r="FG641" s="4"/>
      <c r="FH641" s="4"/>
      <c r="FI641" s="4"/>
      <c r="FJ641" s="4"/>
      <c r="FK641" s="4"/>
      <c r="FL641" s="4"/>
      <c r="FM641" s="4"/>
      <c r="FN641" s="4"/>
      <c r="FO641" s="4"/>
      <c r="FP641" s="4"/>
      <c r="FQ641" s="4"/>
      <c r="FR641" s="4"/>
      <c r="FS641" s="4"/>
      <c r="FT641" s="4"/>
      <c r="FU641" s="4"/>
      <c r="FV641" s="4"/>
      <c r="FW641" s="4"/>
      <c r="FX641" s="4"/>
      <c r="FY641" s="4"/>
      <c r="FZ641" s="4"/>
      <c r="GA641" s="4"/>
      <c r="GB641" s="4"/>
      <c r="GC641" s="4"/>
      <c r="GD641" s="4"/>
      <c r="GE641" s="4"/>
      <c r="GF641" s="4"/>
      <c r="GG641" s="4"/>
      <c r="GH641" s="4"/>
      <c r="GI641" s="4"/>
      <c r="GJ641" s="4"/>
      <c r="GK641" s="4"/>
      <c r="GL641" s="4"/>
      <c r="GM641" s="4"/>
      <c r="GN641" s="4"/>
      <c r="GO641" s="4"/>
      <c r="GP641" s="4"/>
      <c r="GQ641" s="4"/>
      <c r="GR641" s="4"/>
      <c r="GS641" s="4"/>
      <c r="GT641" s="4"/>
      <c r="GU641" s="4"/>
      <c r="GV641" s="4"/>
      <c r="GW641" s="4"/>
      <c r="GX641" s="4"/>
      <c r="GY641" s="4"/>
      <c r="GZ641" s="4"/>
      <c r="HA641" s="4"/>
      <c r="HB641" s="4"/>
      <c r="HC641" s="4"/>
      <c r="HD641" s="4"/>
      <c r="HE641" s="4"/>
      <c r="HF641" s="4"/>
      <c r="HG641" s="4"/>
      <c r="HH641" s="4"/>
      <c r="HI641" s="4"/>
      <c r="HJ641" s="4"/>
    </row>
    <row r="642" spans="1:218" hidden="1">
      <c r="A642" t="s">
        <v>1879</v>
      </c>
      <c r="B642" t="s">
        <v>1880</v>
      </c>
      <c r="C642" t="s">
        <v>489</v>
      </c>
      <c r="D642" t="s">
        <v>490</v>
      </c>
      <c r="E642" t="s">
        <v>490</v>
      </c>
      <c r="F642" s="3">
        <v>1</v>
      </c>
      <c r="G642" s="12">
        <f t="shared" si="18"/>
        <v>5.51</v>
      </c>
      <c r="H642" s="12" t="e">
        <f t="shared" si="19"/>
        <v>#NUM!</v>
      </c>
      <c r="I642" s="3">
        <v>5.5058195999999997</v>
      </c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>
        <v>5.51</v>
      </c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  <c r="DQ642" s="4"/>
      <c r="DR642" s="4"/>
      <c r="DS642" s="4"/>
      <c r="DT642" s="4"/>
      <c r="DU642" s="4"/>
      <c r="DV642" s="4"/>
      <c r="DW642" s="4"/>
      <c r="DX642" s="4"/>
      <c r="DY642" s="4"/>
      <c r="DZ642" s="4"/>
      <c r="EA642" s="4"/>
      <c r="EB642" s="4"/>
      <c r="EC642" s="4"/>
      <c r="ED642" s="4"/>
      <c r="EE642" s="4"/>
      <c r="EF642" s="4"/>
      <c r="EG642" s="4"/>
      <c r="EH642" s="4"/>
      <c r="EI642" s="4"/>
      <c r="EJ642" s="4"/>
      <c r="EK642" s="4"/>
      <c r="EL642" s="4"/>
      <c r="EM642" s="4"/>
      <c r="EN642" s="4"/>
      <c r="EO642" s="4"/>
      <c r="EP642" s="4"/>
      <c r="EQ642" s="4"/>
      <c r="ER642" s="4"/>
      <c r="ES642" s="4"/>
      <c r="ET642" s="4"/>
      <c r="EU642" s="4"/>
      <c r="EV642" s="4"/>
      <c r="EW642" s="4"/>
      <c r="EX642" s="4"/>
      <c r="EY642" s="4"/>
      <c r="EZ642" s="4"/>
      <c r="FA642" s="4"/>
      <c r="FB642" s="4"/>
      <c r="FC642" s="4"/>
      <c r="FD642" s="4"/>
      <c r="FE642" s="4"/>
      <c r="FF642" s="4"/>
      <c r="FG642" s="4"/>
      <c r="FH642" s="4"/>
      <c r="FI642" s="4"/>
      <c r="FJ642" s="4"/>
      <c r="FK642" s="4"/>
      <c r="FL642" s="4"/>
      <c r="FM642" s="4"/>
      <c r="FN642" s="4"/>
      <c r="FO642" s="4"/>
      <c r="FP642" s="4"/>
      <c r="FQ642" s="4"/>
      <c r="FR642" s="4"/>
      <c r="FS642" s="4"/>
      <c r="FT642" s="4"/>
      <c r="FU642" s="4"/>
      <c r="FV642" s="4"/>
      <c r="FW642" s="4"/>
      <c r="FX642" s="4"/>
      <c r="FY642" s="4"/>
      <c r="FZ642" s="4"/>
      <c r="GA642" s="4"/>
      <c r="GB642" s="4"/>
      <c r="GC642" s="4"/>
      <c r="GD642" s="4"/>
      <c r="GE642" s="4"/>
      <c r="GF642" s="4"/>
      <c r="GG642" s="4"/>
      <c r="GH642" s="4"/>
      <c r="GI642" s="4"/>
      <c r="GJ642" s="4"/>
      <c r="GK642" s="4"/>
      <c r="GL642" s="4"/>
      <c r="GM642" s="4"/>
      <c r="GN642" s="4"/>
      <c r="GO642" s="4"/>
      <c r="GP642" s="4"/>
      <c r="GQ642" s="4"/>
      <c r="GR642" s="4"/>
      <c r="GS642" s="4"/>
      <c r="GT642" s="4"/>
      <c r="GU642" s="4"/>
      <c r="GV642" s="4"/>
      <c r="GW642" s="4"/>
      <c r="GX642" s="4"/>
      <c r="GY642" s="4"/>
      <c r="GZ642" s="4"/>
      <c r="HA642" s="4"/>
      <c r="HB642" s="4"/>
      <c r="HC642" s="4"/>
      <c r="HD642" s="4"/>
      <c r="HE642" s="4"/>
      <c r="HF642" s="4"/>
      <c r="HG642" s="4"/>
      <c r="HH642" s="4"/>
      <c r="HI642" s="4"/>
      <c r="HJ642" s="4"/>
    </row>
    <row r="643" spans="1:218" hidden="1">
      <c r="A643" t="s">
        <v>2521</v>
      </c>
      <c r="B643" t="s">
        <v>2522</v>
      </c>
      <c r="C643" t="s">
        <v>1143</v>
      </c>
      <c r="D643" t="s">
        <v>490</v>
      </c>
      <c r="E643" t="s">
        <v>2523</v>
      </c>
      <c r="F643" s="3">
        <v>1</v>
      </c>
      <c r="G643" s="12">
        <f t="shared" si="18"/>
        <v>3.6</v>
      </c>
      <c r="H643" s="12" t="e">
        <f t="shared" si="19"/>
        <v>#NUM!</v>
      </c>
      <c r="I643" s="3">
        <v>3.5954299999999999</v>
      </c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>
        <v>3.6</v>
      </c>
      <c r="DO643" s="4"/>
      <c r="DP643" s="4"/>
      <c r="DQ643" s="4"/>
      <c r="DR643" s="4"/>
      <c r="DS643" s="4"/>
      <c r="DT643" s="4"/>
      <c r="DU643" s="4"/>
      <c r="DV643" s="4"/>
      <c r="DW643" s="4"/>
      <c r="DX643" s="4"/>
      <c r="DY643" s="4"/>
      <c r="DZ643" s="4"/>
      <c r="EA643" s="4"/>
      <c r="EB643" s="4"/>
      <c r="EC643" s="4"/>
      <c r="ED643" s="4"/>
      <c r="EE643" s="4"/>
      <c r="EF643" s="4"/>
      <c r="EG643" s="4"/>
      <c r="EH643" s="4"/>
      <c r="EI643" s="4"/>
      <c r="EJ643" s="4"/>
      <c r="EK643" s="4"/>
      <c r="EL643" s="4"/>
      <c r="EM643" s="4"/>
      <c r="EN643" s="4"/>
      <c r="EO643" s="4"/>
      <c r="EP643" s="4"/>
      <c r="EQ643" s="4"/>
      <c r="ER643" s="4"/>
      <c r="ES643" s="4"/>
      <c r="ET643" s="4"/>
      <c r="EU643" s="4"/>
      <c r="EV643" s="4"/>
      <c r="EW643" s="4"/>
      <c r="EX643" s="4"/>
      <c r="EY643" s="4"/>
      <c r="EZ643" s="4"/>
      <c r="FA643" s="4"/>
      <c r="FB643" s="4"/>
      <c r="FC643" s="4"/>
      <c r="FD643" s="4"/>
      <c r="FE643" s="4"/>
      <c r="FF643" s="4"/>
      <c r="FG643" s="4"/>
      <c r="FH643" s="4"/>
      <c r="FI643" s="4"/>
      <c r="FJ643" s="4"/>
      <c r="FK643" s="4"/>
      <c r="FL643" s="4"/>
      <c r="FM643" s="4"/>
      <c r="FN643" s="4"/>
      <c r="FO643" s="4"/>
      <c r="FP643" s="4"/>
      <c r="FQ643" s="4"/>
      <c r="FR643" s="4"/>
      <c r="FS643" s="4"/>
      <c r="FT643" s="4"/>
      <c r="FU643" s="4"/>
      <c r="FV643" s="4"/>
      <c r="FW643" s="4"/>
      <c r="FX643" s="4"/>
      <c r="FY643" s="4"/>
      <c r="FZ643" s="4"/>
      <c r="GA643" s="4"/>
      <c r="GB643" s="4"/>
      <c r="GC643" s="4"/>
      <c r="GD643" s="4"/>
      <c r="GE643" s="4"/>
      <c r="GF643" s="4"/>
      <c r="GG643" s="4"/>
      <c r="GH643" s="4"/>
      <c r="GI643" s="4"/>
      <c r="GJ643" s="4"/>
      <c r="GK643" s="4"/>
      <c r="GL643" s="4"/>
      <c r="GM643" s="4"/>
      <c r="GN643" s="4"/>
      <c r="GO643" s="4"/>
      <c r="GP643" s="4"/>
      <c r="GQ643" s="4"/>
      <c r="GR643" s="4"/>
      <c r="GS643" s="4"/>
      <c r="GT643" s="4"/>
      <c r="GU643" s="4"/>
      <c r="GV643" s="4"/>
      <c r="GW643" s="4"/>
      <c r="GX643" s="4"/>
      <c r="GY643" s="4"/>
      <c r="GZ643" s="4"/>
      <c r="HA643" s="4"/>
      <c r="HB643" s="4"/>
      <c r="HC643" s="4"/>
      <c r="HD643" s="4"/>
      <c r="HE643" s="4"/>
      <c r="HF643" s="4"/>
      <c r="HG643" s="4"/>
      <c r="HH643" s="4"/>
      <c r="HI643" s="4"/>
      <c r="HJ643" s="4"/>
    </row>
    <row r="644" spans="1:218" hidden="1">
      <c r="A644" t="s">
        <v>2409</v>
      </c>
      <c r="B644" t="s">
        <v>2410</v>
      </c>
      <c r="C644" t="s">
        <v>505</v>
      </c>
      <c r="D644" t="s">
        <v>2411</v>
      </c>
      <c r="E644" t="s">
        <v>2412</v>
      </c>
      <c r="F644" s="3">
        <v>1</v>
      </c>
      <c r="G644" s="12">
        <f t="shared" si="18"/>
        <v>3.89</v>
      </c>
      <c r="H644" s="12" t="e">
        <f t="shared" si="19"/>
        <v>#NUM!</v>
      </c>
      <c r="I644" s="3">
        <v>3.8942000000000001</v>
      </c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  <c r="DQ644" s="4"/>
      <c r="DR644" s="4"/>
      <c r="DS644" s="4"/>
      <c r="DT644" s="4"/>
      <c r="DU644" s="4"/>
      <c r="DV644" s="4"/>
      <c r="DW644" s="4"/>
      <c r="DX644" s="4"/>
      <c r="DY644" s="4"/>
      <c r="DZ644" s="4"/>
      <c r="EA644" s="4"/>
      <c r="EB644" s="4"/>
      <c r="EC644" s="4"/>
      <c r="ED644" s="4"/>
      <c r="EE644" s="4"/>
      <c r="EF644" s="4"/>
      <c r="EG644" s="4"/>
      <c r="EH644" s="4"/>
      <c r="EI644" s="4"/>
      <c r="EJ644" s="4"/>
      <c r="EK644" s="4"/>
      <c r="EL644" s="4"/>
      <c r="EM644" s="4"/>
      <c r="EN644" s="4"/>
      <c r="EO644" s="4"/>
      <c r="EP644" s="4"/>
      <c r="EQ644" s="4"/>
      <c r="ER644" s="4"/>
      <c r="ES644" s="4"/>
      <c r="ET644" s="4"/>
      <c r="EU644" s="4"/>
      <c r="EV644" s="4"/>
      <c r="EW644" s="4"/>
      <c r="EX644" s="4"/>
      <c r="EY644" s="4"/>
      <c r="EZ644" s="4"/>
      <c r="FA644" s="4"/>
      <c r="FB644" s="4"/>
      <c r="FC644" s="4"/>
      <c r="FD644" s="4"/>
      <c r="FE644" s="4"/>
      <c r="FF644" s="4"/>
      <c r="FG644" s="4"/>
      <c r="FH644" s="4"/>
      <c r="FI644" s="4"/>
      <c r="FJ644" s="4"/>
      <c r="FK644" s="4"/>
      <c r="FL644" s="4"/>
      <c r="FM644" s="4"/>
      <c r="FN644" s="4"/>
      <c r="FO644" s="4"/>
      <c r="FP644" s="4"/>
      <c r="FQ644" s="4"/>
      <c r="FR644" s="4"/>
      <c r="FS644" s="4"/>
      <c r="FT644" s="4"/>
      <c r="FU644" s="4">
        <v>3.89</v>
      </c>
      <c r="FV644" s="4"/>
      <c r="FW644" s="4"/>
      <c r="FX644" s="4"/>
      <c r="FY644" s="4"/>
      <c r="FZ644" s="4"/>
      <c r="GA644" s="4"/>
      <c r="GB644" s="4"/>
      <c r="GC644" s="4"/>
      <c r="GD644" s="4"/>
      <c r="GE644" s="4"/>
      <c r="GF644" s="4"/>
      <c r="GG644" s="4"/>
      <c r="GH644" s="4"/>
      <c r="GI644" s="4"/>
      <c r="GJ644" s="4"/>
      <c r="GK644" s="4"/>
      <c r="GL644" s="4"/>
      <c r="GM644" s="4"/>
      <c r="GN644" s="4"/>
      <c r="GO644" s="4"/>
      <c r="GP644" s="4"/>
      <c r="GQ644" s="4"/>
      <c r="GR644" s="4"/>
      <c r="GS644" s="4"/>
      <c r="GT644" s="4"/>
      <c r="GU644" s="4"/>
      <c r="GV644" s="4"/>
      <c r="GW644" s="4"/>
      <c r="GX644" s="4"/>
      <c r="GY644" s="4"/>
      <c r="GZ644" s="4"/>
      <c r="HA644" s="4"/>
      <c r="HB644" s="4"/>
      <c r="HC644" s="4"/>
      <c r="HD644" s="4"/>
      <c r="HE644" s="4"/>
      <c r="HF644" s="4"/>
      <c r="HG644" s="4"/>
      <c r="HH644" s="4"/>
      <c r="HI644" s="4"/>
      <c r="HJ644" s="4"/>
    </row>
    <row r="645" spans="1:218" hidden="1">
      <c r="A645" t="s">
        <v>1646</v>
      </c>
      <c r="B645" t="s">
        <v>1647</v>
      </c>
      <c r="C645" t="s">
        <v>484</v>
      </c>
      <c r="D645" t="s">
        <v>1648</v>
      </c>
      <c r="E645" t="s">
        <v>1649</v>
      </c>
      <c r="F645" s="3">
        <v>1</v>
      </c>
      <c r="G645" s="12">
        <f t="shared" si="18"/>
        <v>14.88</v>
      </c>
      <c r="H645" s="12" t="e">
        <f t="shared" si="19"/>
        <v>#NUM!</v>
      </c>
      <c r="I645" s="3">
        <v>14.88062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>
        <v>14.88</v>
      </c>
      <c r="DQ645" s="4"/>
      <c r="DR645" s="4"/>
      <c r="DS645" s="4"/>
      <c r="DT645" s="4"/>
      <c r="DU645" s="4"/>
      <c r="DV645" s="4"/>
      <c r="DW645" s="4"/>
      <c r="DX645" s="4"/>
      <c r="DY645" s="4"/>
      <c r="DZ645" s="4"/>
      <c r="EA645" s="4"/>
      <c r="EB645" s="4"/>
      <c r="EC645" s="4"/>
      <c r="ED645" s="4"/>
      <c r="EE645" s="4"/>
      <c r="EF645" s="4"/>
      <c r="EG645" s="4"/>
      <c r="EH645" s="4"/>
      <c r="EI645" s="4"/>
      <c r="EJ645" s="4"/>
      <c r="EK645" s="4"/>
      <c r="EL645" s="4"/>
      <c r="EM645" s="4"/>
      <c r="EN645" s="4"/>
      <c r="EO645" s="4"/>
      <c r="EP645" s="4"/>
      <c r="EQ645" s="4"/>
      <c r="ER645" s="4"/>
      <c r="ES645" s="4"/>
      <c r="ET645" s="4"/>
      <c r="EU645" s="4"/>
      <c r="EV645" s="4"/>
      <c r="EW645" s="4"/>
      <c r="EX645" s="4"/>
      <c r="EY645" s="4"/>
      <c r="EZ645" s="4"/>
      <c r="FA645" s="4"/>
      <c r="FB645" s="4"/>
      <c r="FC645" s="4"/>
      <c r="FD645" s="4"/>
      <c r="FE645" s="4"/>
      <c r="FF645" s="4"/>
      <c r="FG645" s="4"/>
      <c r="FH645" s="4"/>
      <c r="FI645" s="4"/>
      <c r="FJ645" s="4"/>
      <c r="FK645" s="4"/>
      <c r="FL645" s="4"/>
      <c r="FM645" s="4"/>
      <c r="FN645" s="4"/>
      <c r="FO645" s="4"/>
      <c r="FP645" s="4"/>
      <c r="FQ645" s="4"/>
      <c r="FR645" s="4"/>
      <c r="FS645" s="4"/>
      <c r="FT645" s="4"/>
      <c r="FU645" s="4"/>
      <c r="FV645" s="4"/>
      <c r="FW645" s="4"/>
      <c r="FX645" s="4"/>
      <c r="FY645" s="4"/>
      <c r="FZ645" s="4"/>
      <c r="GA645" s="4"/>
      <c r="GB645" s="4"/>
      <c r="GC645" s="4"/>
      <c r="GD645" s="4"/>
      <c r="GE645" s="4"/>
      <c r="GF645" s="4"/>
      <c r="GG645" s="4"/>
      <c r="GH645" s="4"/>
      <c r="GI645" s="4"/>
      <c r="GJ645" s="4"/>
      <c r="GK645" s="4"/>
      <c r="GL645" s="4"/>
      <c r="GM645" s="4"/>
      <c r="GN645" s="4"/>
      <c r="GO645" s="4"/>
      <c r="GP645" s="4"/>
      <c r="GQ645" s="4"/>
      <c r="GR645" s="4"/>
      <c r="GS645" s="4"/>
      <c r="GT645" s="4"/>
      <c r="GU645" s="4"/>
      <c r="GV645" s="4"/>
      <c r="GW645" s="4"/>
      <c r="GX645" s="4"/>
      <c r="GY645" s="4"/>
      <c r="GZ645" s="4"/>
      <c r="HA645" s="4"/>
      <c r="HB645" s="4"/>
      <c r="HC645" s="4"/>
      <c r="HD645" s="4"/>
      <c r="HE645" s="4"/>
      <c r="HF645" s="4"/>
      <c r="HG645" s="4"/>
      <c r="HH645" s="4"/>
      <c r="HI645" s="4"/>
      <c r="HJ645" s="4"/>
    </row>
    <row r="646" spans="1:218" hidden="1">
      <c r="A646" t="s">
        <v>1679</v>
      </c>
      <c r="B646" t="s">
        <v>1680</v>
      </c>
      <c r="C646" t="s">
        <v>489</v>
      </c>
      <c r="D646" t="s">
        <v>490</v>
      </c>
      <c r="E646" t="s">
        <v>490</v>
      </c>
      <c r="F646" s="3">
        <v>1</v>
      </c>
      <c r="G646" s="12">
        <f t="shared" si="18"/>
        <v>9.1</v>
      </c>
      <c r="H646" s="12" t="e">
        <f t="shared" si="19"/>
        <v>#NUM!</v>
      </c>
      <c r="I646" s="3">
        <v>9.0968099999999996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  <c r="DQ646" s="4"/>
      <c r="DR646" s="4"/>
      <c r="DS646" s="4"/>
      <c r="DT646" s="4"/>
      <c r="DU646" s="4"/>
      <c r="DV646" s="4"/>
      <c r="DW646" s="4"/>
      <c r="DX646" s="4"/>
      <c r="DY646" s="4"/>
      <c r="DZ646" s="4"/>
      <c r="EA646" s="4"/>
      <c r="EB646" s="4"/>
      <c r="EC646" s="4"/>
      <c r="ED646" s="4"/>
      <c r="EE646" s="4"/>
      <c r="EF646" s="4"/>
      <c r="EG646" s="4"/>
      <c r="EH646" s="4"/>
      <c r="EI646" s="4">
        <v>9.1</v>
      </c>
      <c r="EJ646" s="4"/>
      <c r="EK646" s="4"/>
      <c r="EL646" s="4"/>
      <c r="EM646" s="4"/>
      <c r="EN646" s="4"/>
      <c r="EO646" s="4"/>
      <c r="EP646" s="4"/>
      <c r="EQ646" s="4"/>
      <c r="ER646" s="4"/>
      <c r="ES646" s="4"/>
      <c r="ET646" s="4"/>
      <c r="EU646" s="4"/>
      <c r="EV646" s="4"/>
      <c r="EW646" s="4"/>
      <c r="EX646" s="4"/>
      <c r="EY646" s="4"/>
      <c r="EZ646" s="4"/>
      <c r="FA646" s="4"/>
      <c r="FB646" s="4"/>
      <c r="FC646" s="4"/>
      <c r="FD646" s="4"/>
      <c r="FE646" s="4"/>
      <c r="FF646" s="4"/>
      <c r="FG646" s="4"/>
      <c r="FH646" s="4"/>
      <c r="FI646" s="4"/>
      <c r="FJ646" s="4"/>
      <c r="FK646" s="4"/>
      <c r="FL646" s="4"/>
      <c r="FM646" s="4"/>
      <c r="FN646" s="4"/>
      <c r="FO646" s="4"/>
      <c r="FP646" s="4"/>
      <c r="FQ646" s="4"/>
      <c r="FR646" s="4"/>
      <c r="FS646" s="4"/>
      <c r="FT646" s="4"/>
      <c r="FU646" s="4"/>
      <c r="FV646" s="4"/>
      <c r="FW646" s="4"/>
      <c r="FX646" s="4"/>
      <c r="FY646" s="4"/>
      <c r="FZ646" s="4"/>
      <c r="GA646" s="4"/>
      <c r="GB646" s="4"/>
      <c r="GC646" s="4"/>
      <c r="GD646" s="4"/>
      <c r="GE646" s="4"/>
      <c r="GF646" s="4"/>
      <c r="GG646" s="4"/>
      <c r="GH646" s="4"/>
      <c r="GI646" s="4"/>
      <c r="GJ646" s="4"/>
      <c r="GK646" s="4"/>
      <c r="GL646" s="4"/>
      <c r="GM646" s="4"/>
      <c r="GN646" s="4"/>
      <c r="GO646" s="4"/>
      <c r="GP646" s="4"/>
      <c r="GQ646" s="4"/>
      <c r="GR646" s="4"/>
      <c r="GS646" s="4"/>
      <c r="GT646" s="4"/>
      <c r="GU646" s="4"/>
      <c r="GV646" s="4"/>
      <c r="GW646" s="4"/>
      <c r="GX646" s="4"/>
      <c r="GY646" s="4"/>
      <c r="GZ646" s="4"/>
      <c r="HA646" s="4"/>
      <c r="HB646" s="4"/>
      <c r="HC646" s="4"/>
      <c r="HD646" s="4"/>
      <c r="HE646" s="4"/>
      <c r="HF646" s="4"/>
      <c r="HG646" s="4"/>
      <c r="HH646" s="4"/>
      <c r="HI646" s="4"/>
      <c r="HJ646" s="4"/>
    </row>
    <row r="647" spans="1:218" hidden="1">
      <c r="A647" t="s">
        <v>3162</v>
      </c>
      <c r="B647" t="s">
        <v>3163</v>
      </c>
      <c r="C647" t="s">
        <v>489</v>
      </c>
      <c r="D647" t="s">
        <v>490</v>
      </c>
      <c r="E647" t="s">
        <v>490</v>
      </c>
      <c r="F647" s="3">
        <v>1</v>
      </c>
      <c r="G647" s="12">
        <f t="shared" ref="G647:G710" si="20">LARGE($J647:$HJ647,1)</f>
        <v>0.88</v>
      </c>
      <c r="H647" s="12" t="e">
        <f t="shared" ref="H647:H710" si="21">LARGE($J647:$HJ647,2)</f>
        <v>#NUM!</v>
      </c>
      <c r="I647" s="3">
        <v>0.88155000000000006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>
        <v>0.88</v>
      </c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  <c r="DQ647" s="4"/>
      <c r="DR647" s="4"/>
      <c r="DS647" s="4"/>
      <c r="DT647" s="4"/>
      <c r="DU647" s="4"/>
      <c r="DV647" s="4"/>
      <c r="DW647" s="4"/>
      <c r="DX647" s="4"/>
      <c r="DY647" s="4"/>
      <c r="DZ647" s="4"/>
      <c r="EA647" s="4"/>
      <c r="EB647" s="4"/>
      <c r="EC647" s="4"/>
      <c r="ED647" s="4"/>
      <c r="EE647" s="4"/>
      <c r="EF647" s="4"/>
      <c r="EG647" s="4"/>
      <c r="EH647" s="4"/>
      <c r="EI647" s="4"/>
      <c r="EJ647" s="4"/>
      <c r="EK647" s="4"/>
      <c r="EL647" s="4"/>
      <c r="EM647" s="4"/>
      <c r="EN647" s="4"/>
      <c r="EO647" s="4"/>
      <c r="EP647" s="4"/>
      <c r="EQ647" s="4"/>
      <c r="ER647" s="4"/>
      <c r="ES647" s="4"/>
      <c r="ET647" s="4"/>
      <c r="EU647" s="4"/>
      <c r="EV647" s="4"/>
      <c r="EW647" s="4"/>
      <c r="EX647" s="4"/>
      <c r="EY647" s="4"/>
      <c r="EZ647" s="4"/>
      <c r="FA647" s="4"/>
      <c r="FB647" s="4"/>
      <c r="FC647" s="4"/>
      <c r="FD647" s="4"/>
      <c r="FE647" s="4"/>
      <c r="FF647" s="4"/>
      <c r="FG647" s="4"/>
      <c r="FH647" s="4"/>
      <c r="FI647" s="4"/>
      <c r="FJ647" s="4"/>
      <c r="FK647" s="4"/>
      <c r="FL647" s="4"/>
      <c r="FM647" s="4"/>
      <c r="FN647" s="4"/>
      <c r="FO647" s="4"/>
      <c r="FP647" s="4"/>
      <c r="FQ647" s="4"/>
      <c r="FR647" s="4"/>
      <c r="FS647" s="4"/>
      <c r="FT647" s="4"/>
      <c r="FU647" s="4"/>
      <c r="FV647" s="4"/>
      <c r="FW647" s="4"/>
      <c r="FX647" s="4"/>
      <c r="FY647" s="4"/>
      <c r="FZ647" s="4"/>
      <c r="GA647" s="4"/>
      <c r="GB647" s="4"/>
      <c r="GC647" s="4"/>
      <c r="GD647" s="4"/>
      <c r="GE647" s="4"/>
      <c r="GF647" s="4"/>
      <c r="GG647" s="4"/>
      <c r="GH647" s="4"/>
      <c r="GI647" s="4"/>
      <c r="GJ647" s="4"/>
      <c r="GK647" s="4"/>
      <c r="GL647" s="4"/>
      <c r="GM647" s="4"/>
      <c r="GN647" s="4"/>
      <c r="GO647" s="4"/>
      <c r="GP647" s="4"/>
      <c r="GQ647" s="4"/>
      <c r="GR647" s="4"/>
      <c r="GS647" s="4"/>
      <c r="GT647" s="4"/>
      <c r="GU647" s="4"/>
      <c r="GV647" s="4"/>
      <c r="GW647" s="4"/>
      <c r="GX647" s="4"/>
      <c r="GY647" s="4"/>
      <c r="GZ647" s="4"/>
      <c r="HA647" s="4"/>
      <c r="HB647" s="4"/>
      <c r="HC647" s="4"/>
      <c r="HD647" s="4"/>
      <c r="HE647" s="4"/>
      <c r="HF647" s="4"/>
      <c r="HG647" s="4"/>
      <c r="HH647" s="4"/>
      <c r="HI647" s="4"/>
      <c r="HJ647" s="4"/>
    </row>
    <row r="648" spans="1:218" hidden="1">
      <c r="A648" t="s">
        <v>2810</v>
      </c>
      <c r="B648" t="s">
        <v>2811</v>
      </c>
      <c r="C648" t="s">
        <v>489</v>
      </c>
      <c r="D648" t="s">
        <v>490</v>
      </c>
      <c r="E648" t="s">
        <v>490</v>
      </c>
      <c r="F648" s="3">
        <v>1</v>
      </c>
      <c r="G648" s="12">
        <f t="shared" si="20"/>
        <v>2.73</v>
      </c>
      <c r="H648" s="12" t="e">
        <f t="shared" si="21"/>
        <v>#NUM!</v>
      </c>
      <c r="I648" s="3">
        <v>2.7276099999999999</v>
      </c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>
        <v>2.73</v>
      </c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  <c r="DQ648" s="4"/>
      <c r="DR648" s="4"/>
      <c r="DS648" s="4"/>
      <c r="DT648" s="4"/>
      <c r="DU648" s="4"/>
      <c r="DV648" s="4"/>
      <c r="DW648" s="4"/>
      <c r="DX648" s="4"/>
      <c r="DY648" s="4"/>
      <c r="DZ648" s="4"/>
      <c r="EA648" s="4"/>
      <c r="EB648" s="4"/>
      <c r="EC648" s="4"/>
      <c r="ED648" s="4"/>
      <c r="EE648" s="4"/>
      <c r="EF648" s="4"/>
      <c r="EG648" s="4"/>
      <c r="EH648" s="4"/>
      <c r="EI648" s="4"/>
      <c r="EJ648" s="4"/>
      <c r="EK648" s="4"/>
      <c r="EL648" s="4"/>
      <c r="EM648" s="4"/>
      <c r="EN648" s="4"/>
      <c r="EO648" s="4"/>
      <c r="EP648" s="4"/>
      <c r="EQ648" s="4"/>
      <c r="ER648" s="4"/>
      <c r="ES648" s="4"/>
      <c r="ET648" s="4"/>
      <c r="EU648" s="4"/>
      <c r="EV648" s="4"/>
      <c r="EW648" s="4"/>
      <c r="EX648" s="4"/>
      <c r="EY648" s="4"/>
      <c r="EZ648" s="4"/>
      <c r="FA648" s="4"/>
      <c r="FB648" s="4"/>
      <c r="FC648" s="4"/>
      <c r="FD648" s="4"/>
      <c r="FE648" s="4"/>
      <c r="FF648" s="4"/>
      <c r="FG648" s="4"/>
      <c r="FH648" s="4"/>
      <c r="FI648" s="4"/>
      <c r="FJ648" s="4"/>
      <c r="FK648" s="4"/>
      <c r="FL648" s="4"/>
      <c r="FM648" s="4"/>
      <c r="FN648" s="4"/>
      <c r="FO648" s="4"/>
      <c r="FP648" s="4"/>
      <c r="FQ648" s="4"/>
      <c r="FR648" s="4"/>
      <c r="FS648" s="4"/>
      <c r="FT648" s="4"/>
      <c r="FU648" s="4"/>
      <c r="FV648" s="4"/>
      <c r="FW648" s="4"/>
      <c r="FX648" s="4"/>
      <c r="FY648" s="4"/>
      <c r="FZ648" s="4"/>
      <c r="GA648" s="4"/>
      <c r="GB648" s="4"/>
      <c r="GC648" s="4"/>
      <c r="GD648" s="4"/>
      <c r="GE648" s="4"/>
      <c r="GF648" s="4"/>
      <c r="GG648" s="4"/>
      <c r="GH648" s="4"/>
      <c r="GI648" s="4"/>
      <c r="GJ648" s="4"/>
      <c r="GK648" s="4"/>
      <c r="GL648" s="4"/>
      <c r="GM648" s="4"/>
      <c r="GN648" s="4"/>
      <c r="GO648" s="4"/>
      <c r="GP648" s="4"/>
      <c r="GQ648" s="4"/>
      <c r="GR648" s="4"/>
      <c r="GS648" s="4"/>
      <c r="GT648" s="4"/>
      <c r="GU648" s="4"/>
      <c r="GV648" s="4"/>
      <c r="GW648" s="4"/>
      <c r="GX648" s="4"/>
      <c r="GY648" s="4"/>
      <c r="GZ648" s="4"/>
      <c r="HA648" s="4"/>
      <c r="HB648" s="4"/>
      <c r="HC648" s="4"/>
      <c r="HD648" s="4"/>
      <c r="HE648" s="4"/>
      <c r="HF648" s="4"/>
      <c r="HG648" s="4"/>
      <c r="HH648" s="4"/>
      <c r="HI648" s="4"/>
      <c r="HJ648" s="4"/>
    </row>
    <row r="649" spans="1:218" hidden="1">
      <c r="A649" t="s">
        <v>3085</v>
      </c>
      <c r="B649" t="s">
        <v>3086</v>
      </c>
      <c r="C649" t="s">
        <v>489</v>
      </c>
      <c r="D649" t="s">
        <v>490</v>
      </c>
      <c r="E649" t="s">
        <v>490</v>
      </c>
      <c r="F649" s="3">
        <v>1</v>
      </c>
      <c r="G649" s="12">
        <f t="shared" si="20"/>
        <v>1.72</v>
      </c>
      <c r="H649" s="12" t="e">
        <f t="shared" si="21"/>
        <v>#NUM!</v>
      </c>
      <c r="I649" s="3">
        <v>1.71688</v>
      </c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>
        <v>1.72</v>
      </c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  <c r="DQ649" s="4"/>
      <c r="DR649" s="4"/>
      <c r="DS649" s="4"/>
      <c r="DT649" s="4"/>
      <c r="DU649" s="4"/>
      <c r="DV649" s="4"/>
      <c r="DW649" s="4"/>
      <c r="DX649" s="4"/>
      <c r="DY649" s="4"/>
      <c r="DZ649" s="4"/>
      <c r="EA649" s="4"/>
      <c r="EB649" s="4"/>
      <c r="EC649" s="4"/>
      <c r="ED649" s="4"/>
      <c r="EE649" s="4"/>
      <c r="EF649" s="4"/>
      <c r="EG649" s="4"/>
      <c r="EH649" s="4"/>
      <c r="EI649" s="4"/>
      <c r="EJ649" s="4"/>
      <c r="EK649" s="4"/>
      <c r="EL649" s="4"/>
      <c r="EM649" s="4"/>
      <c r="EN649" s="4"/>
      <c r="EO649" s="4"/>
      <c r="EP649" s="4"/>
      <c r="EQ649" s="4"/>
      <c r="ER649" s="4"/>
      <c r="ES649" s="4"/>
      <c r="ET649" s="4"/>
      <c r="EU649" s="4"/>
      <c r="EV649" s="4"/>
      <c r="EW649" s="4"/>
      <c r="EX649" s="4"/>
      <c r="EY649" s="4"/>
      <c r="EZ649" s="4"/>
      <c r="FA649" s="4"/>
      <c r="FB649" s="4"/>
      <c r="FC649" s="4"/>
      <c r="FD649" s="4"/>
      <c r="FE649" s="4"/>
      <c r="FF649" s="4"/>
      <c r="FG649" s="4"/>
      <c r="FH649" s="4"/>
      <c r="FI649" s="4"/>
      <c r="FJ649" s="4"/>
      <c r="FK649" s="4"/>
      <c r="FL649" s="4"/>
      <c r="FM649" s="4"/>
      <c r="FN649" s="4"/>
      <c r="FO649" s="4"/>
      <c r="FP649" s="4"/>
      <c r="FQ649" s="4"/>
      <c r="FR649" s="4"/>
      <c r="FS649" s="4"/>
      <c r="FT649" s="4"/>
      <c r="FU649" s="4"/>
      <c r="FV649" s="4"/>
      <c r="FW649" s="4"/>
      <c r="FX649" s="4"/>
      <c r="FY649" s="4"/>
      <c r="FZ649" s="4"/>
      <c r="GA649" s="4"/>
      <c r="GB649" s="4"/>
      <c r="GC649" s="4"/>
      <c r="GD649" s="4"/>
      <c r="GE649" s="4"/>
      <c r="GF649" s="4"/>
      <c r="GG649" s="4"/>
      <c r="GH649" s="4"/>
      <c r="GI649" s="4"/>
      <c r="GJ649" s="4"/>
      <c r="GK649" s="4"/>
      <c r="GL649" s="4"/>
      <c r="GM649" s="4"/>
      <c r="GN649" s="4"/>
      <c r="GO649" s="4"/>
      <c r="GP649" s="4"/>
      <c r="GQ649" s="4"/>
      <c r="GR649" s="4"/>
      <c r="GS649" s="4"/>
      <c r="GT649" s="4"/>
      <c r="GU649" s="4"/>
      <c r="GV649" s="4"/>
      <c r="GW649" s="4"/>
      <c r="GX649" s="4"/>
      <c r="GY649" s="4"/>
      <c r="GZ649" s="4"/>
      <c r="HA649" s="4"/>
      <c r="HB649" s="4"/>
      <c r="HC649" s="4"/>
      <c r="HD649" s="4"/>
      <c r="HE649" s="4"/>
      <c r="HF649" s="4"/>
      <c r="HG649" s="4"/>
      <c r="HH649" s="4"/>
      <c r="HI649" s="4"/>
      <c r="HJ649" s="4"/>
    </row>
    <row r="650" spans="1:218" hidden="1">
      <c r="A650" t="s">
        <v>2359</v>
      </c>
      <c r="B650" t="s">
        <v>2360</v>
      </c>
      <c r="C650" t="s">
        <v>489</v>
      </c>
      <c r="D650" t="s">
        <v>490</v>
      </c>
      <c r="E650" t="s">
        <v>490</v>
      </c>
      <c r="F650" s="3">
        <v>1</v>
      </c>
      <c r="G650" s="12">
        <f t="shared" si="20"/>
        <v>4.01</v>
      </c>
      <c r="H650" s="12" t="e">
        <f t="shared" si="21"/>
        <v>#NUM!</v>
      </c>
      <c r="I650" s="3">
        <v>4.0076200000000002</v>
      </c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>
        <v>4.01</v>
      </c>
      <c r="DI650" s="4"/>
      <c r="DJ650" s="4"/>
      <c r="DK650" s="4"/>
      <c r="DL650" s="4"/>
      <c r="DM650" s="4"/>
      <c r="DN650" s="4"/>
      <c r="DO650" s="4"/>
      <c r="DP650" s="4"/>
      <c r="DQ650" s="4"/>
      <c r="DR650" s="4"/>
      <c r="DS650" s="4"/>
      <c r="DT650" s="4"/>
      <c r="DU650" s="4"/>
      <c r="DV650" s="4"/>
      <c r="DW650" s="4"/>
      <c r="DX650" s="4"/>
      <c r="DY650" s="4"/>
      <c r="DZ650" s="4"/>
      <c r="EA650" s="4"/>
      <c r="EB650" s="4"/>
      <c r="EC650" s="4"/>
      <c r="ED650" s="4"/>
      <c r="EE650" s="4"/>
      <c r="EF650" s="4"/>
      <c r="EG650" s="4"/>
      <c r="EH650" s="4"/>
      <c r="EI650" s="4"/>
      <c r="EJ650" s="4"/>
      <c r="EK650" s="4"/>
      <c r="EL650" s="4"/>
      <c r="EM650" s="4"/>
      <c r="EN650" s="4"/>
      <c r="EO650" s="4"/>
      <c r="EP650" s="4"/>
      <c r="EQ650" s="4"/>
      <c r="ER650" s="4"/>
      <c r="ES650" s="4"/>
      <c r="ET650" s="4"/>
      <c r="EU650" s="4"/>
      <c r="EV650" s="4"/>
      <c r="EW650" s="4"/>
      <c r="EX650" s="4"/>
      <c r="EY650" s="4"/>
      <c r="EZ650" s="4"/>
      <c r="FA650" s="4"/>
      <c r="FB650" s="4"/>
      <c r="FC650" s="4"/>
      <c r="FD650" s="4"/>
      <c r="FE650" s="4"/>
      <c r="FF650" s="4"/>
      <c r="FG650" s="4"/>
      <c r="FH650" s="4"/>
      <c r="FI650" s="4"/>
      <c r="FJ650" s="4"/>
      <c r="FK650" s="4"/>
      <c r="FL650" s="4"/>
      <c r="FM650" s="4"/>
      <c r="FN650" s="4"/>
      <c r="FO650" s="4"/>
      <c r="FP650" s="4"/>
      <c r="FQ650" s="4"/>
      <c r="FR650" s="4"/>
      <c r="FS650" s="4"/>
      <c r="FT650" s="4"/>
      <c r="FU650" s="4"/>
      <c r="FV650" s="4"/>
      <c r="FW650" s="4"/>
      <c r="FX650" s="4"/>
      <c r="FY650" s="4"/>
      <c r="FZ650" s="4"/>
      <c r="GA650" s="4"/>
      <c r="GB650" s="4"/>
      <c r="GC650" s="4"/>
      <c r="GD650" s="4"/>
      <c r="GE650" s="4"/>
      <c r="GF650" s="4"/>
      <c r="GG650" s="4"/>
      <c r="GH650" s="4"/>
      <c r="GI650" s="4"/>
      <c r="GJ650" s="4"/>
      <c r="GK650" s="4"/>
      <c r="GL650" s="4"/>
      <c r="GM650" s="4"/>
      <c r="GN650" s="4"/>
      <c r="GO650" s="4"/>
      <c r="GP650" s="4"/>
      <c r="GQ650" s="4"/>
      <c r="GR650" s="4"/>
      <c r="GS650" s="4"/>
      <c r="GT650" s="4"/>
      <c r="GU650" s="4"/>
      <c r="GV650" s="4"/>
      <c r="GW650" s="4"/>
      <c r="GX650" s="4"/>
      <c r="GY650" s="4"/>
      <c r="GZ650" s="4"/>
      <c r="HA650" s="4"/>
      <c r="HB650" s="4"/>
      <c r="HC650" s="4"/>
      <c r="HD650" s="4"/>
      <c r="HE650" s="4"/>
      <c r="HF650" s="4"/>
      <c r="HG650" s="4"/>
      <c r="HH650" s="4"/>
      <c r="HI650" s="4"/>
      <c r="HJ650" s="4"/>
    </row>
    <row r="651" spans="1:218" hidden="1">
      <c r="A651" t="s">
        <v>2547</v>
      </c>
      <c r="B651" t="s">
        <v>2548</v>
      </c>
      <c r="C651" t="s">
        <v>489</v>
      </c>
      <c r="D651" t="s">
        <v>490</v>
      </c>
      <c r="E651" t="s">
        <v>490</v>
      </c>
      <c r="F651" s="3">
        <v>1</v>
      </c>
      <c r="G651" s="12">
        <f t="shared" si="20"/>
        <v>3.53</v>
      </c>
      <c r="H651" s="12" t="e">
        <f t="shared" si="21"/>
        <v>#NUM!</v>
      </c>
      <c r="I651" s="3">
        <v>3.5329000000000002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>
        <v>3.53</v>
      </c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  <c r="DQ651" s="4"/>
      <c r="DR651" s="4"/>
      <c r="DS651" s="4"/>
      <c r="DT651" s="4"/>
      <c r="DU651" s="4"/>
      <c r="DV651" s="4"/>
      <c r="DW651" s="4"/>
      <c r="DX651" s="4"/>
      <c r="DY651" s="4"/>
      <c r="DZ651" s="4"/>
      <c r="EA651" s="4"/>
      <c r="EB651" s="4"/>
      <c r="EC651" s="4"/>
      <c r="ED651" s="4"/>
      <c r="EE651" s="4"/>
      <c r="EF651" s="4"/>
      <c r="EG651" s="4"/>
      <c r="EH651" s="4"/>
      <c r="EI651" s="4"/>
      <c r="EJ651" s="4"/>
      <c r="EK651" s="4"/>
      <c r="EL651" s="4"/>
      <c r="EM651" s="4"/>
      <c r="EN651" s="4"/>
      <c r="EO651" s="4"/>
      <c r="EP651" s="4"/>
      <c r="EQ651" s="4"/>
      <c r="ER651" s="4"/>
      <c r="ES651" s="4"/>
      <c r="ET651" s="4"/>
      <c r="EU651" s="4"/>
      <c r="EV651" s="4"/>
      <c r="EW651" s="4"/>
      <c r="EX651" s="4"/>
      <c r="EY651" s="4"/>
      <c r="EZ651" s="4"/>
      <c r="FA651" s="4"/>
      <c r="FB651" s="4"/>
      <c r="FC651" s="4"/>
      <c r="FD651" s="4"/>
      <c r="FE651" s="4"/>
      <c r="FF651" s="4"/>
      <c r="FG651" s="4"/>
      <c r="FH651" s="4"/>
      <c r="FI651" s="4"/>
      <c r="FJ651" s="4"/>
      <c r="FK651" s="4"/>
      <c r="FL651" s="4"/>
      <c r="FM651" s="4"/>
      <c r="FN651" s="4"/>
      <c r="FO651" s="4"/>
      <c r="FP651" s="4"/>
      <c r="FQ651" s="4"/>
      <c r="FR651" s="4"/>
      <c r="FS651" s="4"/>
      <c r="FT651" s="4"/>
      <c r="FU651" s="4"/>
      <c r="FV651" s="4"/>
      <c r="FW651" s="4"/>
      <c r="FX651" s="4"/>
      <c r="FY651" s="4"/>
      <c r="FZ651" s="4"/>
      <c r="GA651" s="4"/>
      <c r="GB651" s="4"/>
      <c r="GC651" s="4"/>
      <c r="GD651" s="4"/>
      <c r="GE651" s="4"/>
      <c r="GF651" s="4"/>
      <c r="GG651" s="4"/>
      <c r="GH651" s="4"/>
      <c r="GI651" s="4"/>
      <c r="GJ651" s="4"/>
      <c r="GK651" s="4"/>
      <c r="GL651" s="4"/>
      <c r="GM651" s="4"/>
      <c r="GN651" s="4"/>
      <c r="GO651" s="4"/>
      <c r="GP651" s="4"/>
      <c r="GQ651" s="4"/>
      <c r="GR651" s="4"/>
      <c r="GS651" s="4"/>
      <c r="GT651" s="4"/>
      <c r="GU651" s="4"/>
      <c r="GV651" s="4"/>
      <c r="GW651" s="4"/>
      <c r="GX651" s="4"/>
      <c r="GY651" s="4"/>
      <c r="GZ651" s="4"/>
      <c r="HA651" s="4"/>
      <c r="HB651" s="4"/>
      <c r="HC651" s="4"/>
      <c r="HD651" s="4"/>
      <c r="HE651" s="4"/>
      <c r="HF651" s="4"/>
      <c r="HG651" s="4"/>
      <c r="HH651" s="4"/>
      <c r="HI651" s="4"/>
      <c r="HJ651" s="4"/>
    </row>
    <row r="652" spans="1:218" hidden="1">
      <c r="A652" t="s">
        <v>1892</v>
      </c>
      <c r="B652" t="s">
        <v>1893</v>
      </c>
      <c r="C652" t="s">
        <v>489</v>
      </c>
      <c r="D652" t="s">
        <v>490</v>
      </c>
      <c r="E652" t="s">
        <v>490</v>
      </c>
      <c r="F652" s="3">
        <v>1</v>
      </c>
      <c r="G652" s="12">
        <f t="shared" si="20"/>
        <v>5.41</v>
      </c>
      <c r="H652" s="12" t="e">
        <f t="shared" si="21"/>
        <v>#NUM!</v>
      </c>
      <c r="I652" s="3">
        <v>5.4074999999999998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  <c r="DQ652" s="4"/>
      <c r="DR652" s="4"/>
      <c r="DS652" s="4"/>
      <c r="DT652" s="4"/>
      <c r="DU652" s="4"/>
      <c r="DV652" s="4"/>
      <c r="DW652" s="4"/>
      <c r="DX652" s="4"/>
      <c r="DY652" s="4"/>
      <c r="DZ652" s="4"/>
      <c r="EA652" s="4"/>
      <c r="EB652" s="4"/>
      <c r="EC652" s="4"/>
      <c r="ED652" s="4"/>
      <c r="EE652" s="4"/>
      <c r="EF652" s="4"/>
      <c r="EG652" s="4"/>
      <c r="EH652" s="4"/>
      <c r="EI652" s="4"/>
      <c r="EJ652" s="4"/>
      <c r="EK652" s="4"/>
      <c r="EL652" s="4"/>
      <c r="EM652" s="4"/>
      <c r="EN652" s="4"/>
      <c r="EO652" s="4"/>
      <c r="EP652" s="4"/>
      <c r="EQ652" s="4"/>
      <c r="ER652" s="4"/>
      <c r="ES652" s="4"/>
      <c r="ET652" s="4">
        <v>5.41</v>
      </c>
      <c r="EU652" s="4"/>
      <c r="EV652" s="4"/>
      <c r="EW652" s="4"/>
      <c r="EX652" s="4"/>
      <c r="EY652" s="4"/>
      <c r="EZ652" s="4"/>
      <c r="FA652" s="4"/>
      <c r="FB652" s="4"/>
      <c r="FC652" s="4"/>
      <c r="FD652" s="4"/>
      <c r="FE652" s="4"/>
      <c r="FF652" s="4"/>
      <c r="FG652" s="4"/>
      <c r="FH652" s="4"/>
      <c r="FI652" s="4"/>
      <c r="FJ652" s="4"/>
      <c r="FK652" s="4"/>
      <c r="FL652" s="4"/>
      <c r="FM652" s="4"/>
      <c r="FN652" s="4"/>
      <c r="FO652" s="4"/>
      <c r="FP652" s="4"/>
      <c r="FQ652" s="4"/>
      <c r="FR652" s="4"/>
      <c r="FS652" s="4"/>
      <c r="FT652" s="4"/>
      <c r="FU652" s="4"/>
      <c r="FV652" s="4"/>
      <c r="FW652" s="4"/>
      <c r="FX652" s="4"/>
      <c r="FY652" s="4"/>
      <c r="FZ652" s="4"/>
      <c r="GA652" s="4"/>
      <c r="GB652" s="4"/>
      <c r="GC652" s="4"/>
      <c r="GD652" s="4"/>
      <c r="GE652" s="4"/>
      <c r="GF652" s="4"/>
      <c r="GG652" s="4"/>
      <c r="GH652" s="4"/>
      <c r="GI652" s="4"/>
      <c r="GJ652" s="4"/>
      <c r="GK652" s="4"/>
      <c r="GL652" s="4"/>
      <c r="GM652" s="4"/>
      <c r="GN652" s="4"/>
      <c r="GO652" s="4"/>
      <c r="GP652" s="4"/>
      <c r="GQ652" s="4"/>
      <c r="GR652" s="4"/>
      <c r="GS652" s="4"/>
      <c r="GT652" s="4"/>
      <c r="GU652" s="4"/>
      <c r="GV652" s="4"/>
      <c r="GW652" s="4"/>
      <c r="GX652" s="4"/>
      <c r="GY652" s="4"/>
      <c r="GZ652" s="4"/>
      <c r="HA652" s="4"/>
      <c r="HB652" s="4"/>
      <c r="HC652" s="4"/>
      <c r="HD652" s="4"/>
      <c r="HE652" s="4"/>
      <c r="HF652" s="4"/>
      <c r="HG652" s="4"/>
      <c r="HH652" s="4"/>
      <c r="HI652" s="4"/>
      <c r="HJ652" s="4"/>
    </row>
    <row r="653" spans="1:218" hidden="1">
      <c r="A653" t="s">
        <v>2298</v>
      </c>
      <c r="B653" t="s">
        <v>2299</v>
      </c>
      <c r="C653" t="s">
        <v>826</v>
      </c>
      <c r="D653" t="s">
        <v>2300</v>
      </c>
      <c r="E653" t="s">
        <v>2301</v>
      </c>
      <c r="F653" s="3">
        <v>1</v>
      </c>
      <c r="G653" s="12">
        <f t="shared" si="20"/>
        <v>4.13</v>
      </c>
      <c r="H653" s="12" t="e">
        <f t="shared" si="21"/>
        <v>#NUM!</v>
      </c>
      <c r="I653" s="3">
        <v>4.1301097999999996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>
        <v>4.13</v>
      </c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  <c r="DQ653" s="4"/>
      <c r="DR653" s="4"/>
      <c r="DS653" s="4"/>
      <c r="DT653" s="4"/>
      <c r="DU653" s="4"/>
      <c r="DV653" s="4"/>
      <c r="DW653" s="4"/>
      <c r="DX653" s="4"/>
      <c r="DY653" s="4"/>
      <c r="DZ653" s="4"/>
      <c r="EA653" s="4"/>
      <c r="EB653" s="4"/>
      <c r="EC653" s="4"/>
      <c r="ED653" s="4"/>
      <c r="EE653" s="4"/>
      <c r="EF653" s="4"/>
      <c r="EG653" s="4"/>
      <c r="EH653" s="4"/>
      <c r="EI653" s="4"/>
      <c r="EJ653" s="4"/>
      <c r="EK653" s="4"/>
      <c r="EL653" s="4"/>
      <c r="EM653" s="4"/>
      <c r="EN653" s="4"/>
      <c r="EO653" s="4"/>
      <c r="EP653" s="4"/>
      <c r="EQ653" s="4"/>
      <c r="ER653" s="4"/>
      <c r="ES653" s="4"/>
      <c r="ET653" s="4"/>
      <c r="EU653" s="4"/>
      <c r="EV653" s="4"/>
      <c r="EW653" s="4"/>
      <c r="EX653" s="4"/>
      <c r="EY653" s="4"/>
      <c r="EZ653" s="4"/>
      <c r="FA653" s="4"/>
      <c r="FB653" s="4"/>
      <c r="FC653" s="4"/>
      <c r="FD653" s="4"/>
      <c r="FE653" s="4"/>
      <c r="FF653" s="4"/>
      <c r="FG653" s="4"/>
      <c r="FH653" s="4"/>
      <c r="FI653" s="4"/>
      <c r="FJ653" s="4"/>
      <c r="FK653" s="4"/>
      <c r="FL653" s="4"/>
      <c r="FM653" s="4"/>
      <c r="FN653" s="4"/>
      <c r="FO653" s="4"/>
      <c r="FP653" s="4"/>
      <c r="FQ653" s="4"/>
      <c r="FR653" s="4"/>
      <c r="FS653" s="4"/>
      <c r="FT653" s="4"/>
      <c r="FU653" s="4"/>
      <c r="FV653" s="4"/>
      <c r="FW653" s="4"/>
      <c r="FX653" s="4"/>
      <c r="FY653" s="4"/>
      <c r="FZ653" s="4"/>
      <c r="GA653" s="4"/>
      <c r="GB653" s="4"/>
      <c r="GC653" s="4"/>
      <c r="GD653" s="4"/>
      <c r="GE653" s="4"/>
      <c r="GF653" s="4"/>
      <c r="GG653" s="4"/>
      <c r="GH653" s="4"/>
      <c r="GI653" s="4"/>
      <c r="GJ653" s="4"/>
      <c r="GK653" s="4"/>
      <c r="GL653" s="4"/>
      <c r="GM653" s="4"/>
      <c r="GN653" s="4"/>
      <c r="GO653" s="4"/>
      <c r="GP653" s="4"/>
      <c r="GQ653" s="4"/>
      <c r="GR653" s="4"/>
      <c r="GS653" s="4"/>
      <c r="GT653" s="4"/>
      <c r="GU653" s="4"/>
      <c r="GV653" s="4"/>
      <c r="GW653" s="4"/>
      <c r="GX653" s="4"/>
      <c r="GY653" s="4"/>
      <c r="GZ653" s="4"/>
      <c r="HA653" s="4"/>
      <c r="HB653" s="4"/>
      <c r="HC653" s="4"/>
      <c r="HD653" s="4"/>
      <c r="HE653" s="4"/>
      <c r="HF653" s="4"/>
      <c r="HG653" s="4"/>
      <c r="HH653" s="4"/>
      <c r="HI653" s="4"/>
      <c r="HJ653" s="4"/>
    </row>
    <row r="654" spans="1:218" hidden="1">
      <c r="A654" t="s">
        <v>2681</v>
      </c>
      <c r="B654" t="s">
        <v>2682</v>
      </c>
      <c r="C654" t="s">
        <v>1028</v>
      </c>
      <c r="D654" t="s">
        <v>2683</v>
      </c>
      <c r="E654" t="s">
        <v>2684</v>
      </c>
      <c r="F654" s="3">
        <v>1</v>
      </c>
      <c r="G654" s="12">
        <f t="shared" si="20"/>
        <v>3.1</v>
      </c>
      <c r="H654" s="12" t="e">
        <f t="shared" si="21"/>
        <v>#NUM!</v>
      </c>
      <c r="I654" s="3">
        <v>3.10148</v>
      </c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>
        <v>3.1</v>
      </c>
      <c r="DN654" s="4"/>
      <c r="DO654" s="4"/>
      <c r="DP654" s="4"/>
      <c r="DQ654" s="4"/>
      <c r="DR654" s="4"/>
      <c r="DS654" s="4"/>
      <c r="DT654" s="4"/>
      <c r="DU654" s="4"/>
      <c r="DV654" s="4"/>
      <c r="DW654" s="4"/>
      <c r="DX654" s="4"/>
      <c r="DY654" s="4"/>
      <c r="DZ654" s="4"/>
      <c r="EA654" s="4"/>
      <c r="EB654" s="4"/>
      <c r="EC654" s="4"/>
      <c r="ED654" s="4"/>
      <c r="EE654" s="4"/>
      <c r="EF654" s="4"/>
      <c r="EG654" s="4"/>
      <c r="EH654" s="4"/>
      <c r="EI654" s="4"/>
      <c r="EJ654" s="4"/>
      <c r="EK654" s="4"/>
      <c r="EL654" s="4"/>
      <c r="EM654" s="4"/>
      <c r="EN654" s="4"/>
      <c r="EO654" s="4"/>
      <c r="EP654" s="4"/>
      <c r="EQ654" s="4"/>
      <c r="ER654" s="4"/>
      <c r="ES654" s="4"/>
      <c r="ET654" s="4"/>
      <c r="EU654" s="4"/>
      <c r="EV654" s="4"/>
      <c r="EW654" s="4"/>
      <c r="EX654" s="4"/>
      <c r="EY654" s="4"/>
      <c r="EZ654" s="4"/>
      <c r="FA654" s="4"/>
      <c r="FB654" s="4"/>
      <c r="FC654" s="4"/>
      <c r="FD654" s="4"/>
      <c r="FE654" s="4"/>
      <c r="FF654" s="4"/>
      <c r="FG654" s="4"/>
      <c r="FH654" s="4"/>
      <c r="FI654" s="4"/>
      <c r="FJ654" s="4"/>
      <c r="FK654" s="4"/>
      <c r="FL654" s="4"/>
      <c r="FM654" s="4"/>
      <c r="FN654" s="4"/>
      <c r="FO654" s="4"/>
      <c r="FP654" s="4"/>
      <c r="FQ654" s="4"/>
      <c r="FR654" s="4"/>
      <c r="FS654" s="4"/>
      <c r="FT654" s="4"/>
      <c r="FU654" s="4"/>
      <c r="FV654" s="4"/>
      <c r="FW654" s="4"/>
      <c r="FX654" s="4"/>
      <c r="FY654" s="4"/>
      <c r="FZ654" s="4"/>
      <c r="GA654" s="4"/>
      <c r="GB654" s="4"/>
      <c r="GC654" s="4"/>
      <c r="GD654" s="4"/>
      <c r="GE654" s="4"/>
      <c r="GF654" s="4"/>
      <c r="GG654" s="4"/>
      <c r="GH654" s="4"/>
      <c r="GI654" s="4"/>
      <c r="GJ654" s="4"/>
      <c r="GK654" s="4"/>
      <c r="GL654" s="4"/>
      <c r="GM654" s="4"/>
      <c r="GN654" s="4"/>
      <c r="GO654" s="4"/>
      <c r="GP654" s="4"/>
      <c r="GQ654" s="4"/>
      <c r="GR654" s="4"/>
      <c r="GS654" s="4"/>
      <c r="GT654" s="4"/>
      <c r="GU654" s="4"/>
      <c r="GV654" s="4"/>
      <c r="GW654" s="4"/>
      <c r="GX654" s="4"/>
      <c r="GY654" s="4"/>
      <c r="GZ654" s="4"/>
      <c r="HA654" s="4"/>
      <c r="HB654" s="4"/>
      <c r="HC654" s="4"/>
      <c r="HD654" s="4"/>
      <c r="HE654" s="4"/>
      <c r="HF654" s="4"/>
      <c r="HG654" s="4"/>
      <c r="HH654" s="4"/>
      <c r="HI654" s="4"/>
      <c r="HJ654" s="4"/>
    </row>
    <row r="655" spans="1:218" hidden="1">
      <c r="A655" t="s">
        <v>3035</v>
      </c>
      <c r="B655" t="s">
        <v>3036</v>
      </c>
      <c r="C655" t="s">
        <v>489</v>
      </c>
      <c r="D655" t="s">
        <v>490</v>
      </c>
      <c r="E655" t="s">
        <v>490</v>
      </c>
      <c r="F655" s="3">
        <v>1</v>
      </c>
      <c r="G655" s="12">
        <f t="shared" si="20"/>
        <v>2.0499999999999998</v>
      </c>
      <c r="H655" s="12" t="e">
        <f t="shared" si="21"/>
        <v>#NUM!</v>
      </c>
      <c r="I655" s="3">
        <v>2.0473002</v>
      </c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>
        <v>2.0499999999999998</v>
      </c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  <c r="DQ655" s="4"/>
      <c r="DR655" s="4"/>
      <c r="DS655" s="4"/>
      <c r="DT655" s="4"/>
      <c r="DU655" s="4"/>
      <c r="DV655" s="4"/>
      <c r="DW655" s="4"/>
      <c r="DX655" s="4"/>
      <c r="DY655" s="4"/>
      <c r="DZ655" s="4"/>
      <c r="EA655" s="4"/>
      <c r="EB655" s="4"/>
      <c r="EC655" s="4"/>
      <c r="ED655" s="4"/>
      <c r="EE655" s="4"/>
      <c r="EF655" s="4"/>
      <c r="EG655" s="4"/>
      <c r="EH655" s="4"/>
      <c r="EI655" s="4"/>
      <c r="EJ655" s="4"/>
      <c r="EK655" s="4"/>
      <c r="EL655" s="4"/>
      <c r="EM655" s="4"/>
      <c r="EN655" s="4"/>
      <c r="EO655" s="4"/>
      <c r="EP655" s="4"/>
      <c r="EQ655" s="4"/>
      <c r="ER655" s="4"/>
      <c r="ES655" s="4"/>
      <c r="ET655" s="4"/>
      <c r="EU655" s="4"/>
      <c r="EV655" s="4"/>
      <c r="EW655" s="4"/>
      <c r="EX655" s="4"/>
      <c r="EY655" s="4"/>
      <c r="EZ655" s="4"/>
      <c r="FA655" s="4"/>
      <c r="FB655" s="4"/>
      <c r="FC655" s="4"/>
      <c r="FD655" s="4"/>
      <c r="FE655" s="4"/>
      <c r="FF655" s="4"/>
      <c r="FG655" s="4"/>
      <c r="FH655" s="4"/>
      <c r="FI655" s="4"/>
      <c r="FJ655" s="4"/>
      <c r="FK655" s="4"/>
      <c r="FL655" s="4"/>
      <c r="FM655" s="4"/>
      <c r="FN655" s="4"/>
      <c r="FO655" s="4"/>
      <c r="FP655" s="4"/>
      <c r="FQ655" s="4"/>
      <c r="FR655" s="4"/>
      <c r="FS655" s="4"/>
      <c r="FT655" s="4"/>
      <c r="FU655" s="4"/>
      <c r="FV655" s="4"/>
      <c r="FW655" s="4"/>
      <c r="FX655" s="4"/>
      <c r="FY655" s="4"/>
      <c r="FZ655" s="4"/>
      <c r="GA655" s="4"/>
      <c r="GB655" s="4"/>
      <c r="GC655" s="4"/>
      <c r="GD655" s="4"/>
      <c r="GE655" s="4"/>
      <c r="GF655" s="4"/>
      <c r="GG655" s="4"/>
      <c r="GH655" s="4"/>
      <c r="GI655" s="4"/>
      <c r="GJ655" s="4"/>
      <c r="GK655" s="4"/>
      <c r="GL655" s="4"/>
      <c r="GM655" s="4"/>
      <c r="GN655" s="4"/>
      <c r="GO655" s="4"/>
      <c r="GP655" s="4"/>
      <c r="GQ655" s="4"/>
      <c r="GR655" s="4"/>
      <c r="GS655" s="4"/>
      <c r="GT655" s="4"/>
      <c r="GU655" s="4"/>
      <c r="GV655" s="4"/>
      <c r="GW655" s="4"/>
      <c r="GX655" s="4"/>
      <c r="GY655" s="4"/>
      <c r="GZ655" s="4"/>
      <c r="HA655" s="4"/>
      <c r="HB655" s="4"/>
      <c r="HC655" s="4"/>
      <c r="HD655" s="4"/>
      <c r="HE655" s="4"/>
      <c r="HF655" s="4"/>
      <c r="HG655" s="4"/>
      <c r="HH655" s="4"/>
      <c r="HI655" s="4"/>
      <c r="HJ655" s="4"/>
    </row>
    <row r="656" spans="1:218" hidden="1">
      <c r="A656" t="s">
        <v>2202</v>
      </c>
      <c r="B656" t="s">
        <v>2203</v>
      </c>
      <c r="C656" t="s">
        <v>1329</v>
      </c>
      <c r="D656" t="s">
        <v>2204</v>
      </c>
      <c r="E656" t="s">
        <v>2205</v>
      </c>
      <c r="F656" s="3">
        <v>1</v>
      </c>
      <c r="G656" s="12">
        <f t="shared" si="20"/>
        <v>4.32</v>
      </c>
      <c r="H656" s="12" t="e">
        <f t="shared" si="21"/>
        <v>#NUM!</v>
      </c>
      <c r="I656" s="3">
        <v>4.3162699999999994</v>
      </c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>
        <v>4.32</v>
      </c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  <c r="DQ656" s="4"/>
      <c r="DR656" s="4"/>
      <c r="DS656" s="4"/>
      <c r="DT656" s="4"/>
      <c r="DU656" s="4"/>
      <c r="DV656" s="4"/>
      <c r="DW656" s="4"/>
      <c r="DX656" s="4"/>
      <c r="DY656" s="4"/>
      <c r="DZ656" s="4"/>
      <c r="EA656" s="4"/>
      <c r="EB656" s="4"/>
      <c r="EC656" s="4"/>
      <c r="ED656" s="4"/>
      <c r="EE656" s="4"/>
      <c r="EF656" s="4"/>
      <c r="EG656" s="4"/>
      <c r="EH656" s="4"/>
      <c r="EI656" s="4"/>
      <c r="EJ656" s="4"/>
      <c r="EK656" s="4"/>
      <c r="EL656" s="4"/>
      <c r="EM656" s="4"/>
      <c r="EN656" s="4"/>
      <c r="EO656" s="4"/>
      <c r="EP656" s="4"/>
      <c r="EQ656" s="4"/>
      <c r="ER656" s="4"/>
      <c r="ES656" s="4"/>
      <c r="ET656" s="4"/>
      <c r="EU656" s="4"/>
      <c r="EV656" s="4"/>
      <c r="EW656" s="4"/>
      <c r="EX656" s="4"/>
      <c r="EY656" s="4"/>
      <c r="EZ656" s="4"/>
      <c r="FA656" s="4"/>
      <c r="FB656" s="4"/>
      <c r="FC656" s="4"/>
      <c r="FD656" s="4"/>
      <c r="FE656" s="4"/>
      <c r="FF656" s="4"/>
      <c r="FG656" s="4"/>
      <c r="FH656" s="4"/>
      <c r="FI656" s="4"/>
      <c r="FJ656" s="4"/>
      <c r="FK656" s="4"/>
      <c r="FL656" s="4"/>
      <c r="FM656" s="4"/>
      <c r="FN656" s="4"/>
      <c r="FO656" s="4"/>
      <c r="FP656" s="4"/>
      <c r="FQ656" s="4"/>
      <c r="FR656" s="4"/>
      <c r="FS656" s="4"/>
      <c r="FT656" s="4"/>
      <c r="FU656" s="4"/>
      <c r="FV656" s="4"/>
      <c r="FW656" s="4"/>
      <c r="FX656" s="4"/>
      <c r="FY656" s="4"/>
      <c r="FZ656" s="4"/>
      <c r="GA656" s="4"/>
      <c r="GB656" s="4"/>
      <c r="GC656" s="4"/>
      <c r="GD656" s="4"/>
      <c r="GE656" s="4"/>
      <c r="GF656" s="4"/>
      <c r="GG656" s="4"/>
      <c r="GH656" s="4"/>
      <c r="GI656" s="4"/>
      <c r="GJ656" s="4"/>
      <c r="GK656" s="4"/>
      <c r="GL656" s="4"/>
      <c r="GM656" s="4"/>
      <c r="GN656" s="4"/>
      <c r="GO656" s="4"/>
      <c r="GP656" s="4"/>
      <c r="GQ656" s="4"/>
      <c r="GR656" s="4"/>
      <c r="GS656" s="4"/>
      <c r="GT656" s="4"/>
      <c r="GU656" s="4"/>
      <c r="GV656" s="4"/>
      <c r="GW656" s="4"/>
      <c r="GX656" s="4"/>
      <c r="GY656" s="4"/>
      <c r="GZ656" s="4"/>
      <c r="HA656" s="4"/>
      <c r="HB656" s="4"/>
      <c r="HC656" s="4"/>
      <c r="HD656" s="4"/>
      <c r="HE656" s="4"/>
      <c r="HF656" s="4"/>
      <c r="HG656" s="4"/>
      <c r="HH656" s="4"/>
      <c r="HI656" s="4"/>
      <c r="HJ656" s="4"/>
    </row>
    <row r="657" spans="1:218" hidden="1">
      <c r="A657" t="s">
        <v>2695</v>
      </c>
      <c r="B657" t="s">
        <v>2696</v>
      </c>
      <c r="C657" t="s">
        <v>1055</v>
      </c>
      <c r="D657" t="s">
        <v>2697</v>
      </c>
      <c r="E657" t="s">
        <v>2698</v>
      </c>
      <c r="F657" s="3">
        <v>1</v>
      </c>
      <c r="G657" s="12">
        <f t="shared" si="20"/>
        <v>3.08</v>
      </c>
      <c r="H657" s="12" t="e">
        <f t="shared" si="21"/>
        <v>#NUM!</v>
      </c>
      <c r="I657" s="3">
        <v>3.0827599999999999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  <c r="DQ657" s="4"/>
      <c r="DR657" s="4"/>
      <c r="DS657" s="4"/>
      <c r="DT657" s="4"/>
      <c r="DU657" s="4"/>
      <c r="DV657" s="4"/>
      <c r="DW657" s="4"/>
      <c r="DX657" s="4"/>
      <c r="DY657" s="4"/>
      <c r="DZ657" s="4"/>
      <c r="EA657" s="4">
        <v>3.08</v>
      </c>
      <c r="EB657" s="4"/>
      <c r="EC657" s="4"/>
      <c r="ED657" s="4"/>
      <c r="EE657" s="4"/>
      <c r="EF657" s="4"/>
      <c r="EG657" s="4"/>
      <c r="EH657" s="4"/>
      <c r="EI657" s="4"/>
      <c r="EJ657" s="4"/>
      <c r="EK657" s="4"/>
      <c r="EL657" s="4"/>
      <c r="EM657" s="4"/>
      <c r="EN657" s="4"/>
      <c r="EO657" s="4"/>
      <c r="EP657" s="4"/>
      <c r="EQ657" s="4"/>
      <c r="ER657" s="4"/>
      <c r="ES657" s="4"/>
      <c r="ET657" s="4"/>
      <c r="EU657" s="4"/>
      <c r="EV657" s="4"/>
      <c r="EW657" s="4"/>
      <c r="EX657" s="4"/>
      <c r="EY657" s="4"/>
      <c r="EZ657" s="4"/>
      <c r="FA657" s="4"/>
      <c r="FB657" s="4"/>
      <c r="FC657" s="4"/>
      <c r="FD657" s="4"/>
      <c r="FE657" s="4"/>
      <c r="FF657" s="4"/>
      <c r="FG657" s="4"/>
      <c r="FH657" s="4"/>
      <c r="FI657" s="4"/>
      <c r="FJ657" s="4"/>
      <c r="FK657" s="4"/>
      <c r="FL657" s="4"/>
      <c r="FM657" s="4"/>
      <c r="FN657" s="4"/>
      <c r="FO657" s="4"/>
      <c r="FP657" s="4"/>
      <c r="FQ657" s="4"/>
      <c r="FR657" s="4"/>
      <c r="FS657" s="4"/>
      <c r="FT657" s="4"/>
      <c r="FU657" s="4"/>
      <c r="FV657" s="4"/>
      <c r="FW657" s="4"/>
      <c r="FX657" s="4"/>
      <c r="FY657" s="4"/>
      <c r="FZ657" s="4"/>
      <c r="GA657" s="4"/>
      <c r="GB657" s="4"/>
      <c r="GC657" s="4"/>
      <c r="GD657" s="4"/>
      <c r="GE657" s="4"/>
      <c r="GF657" s="4"/>
      <c r="GG657" s="4"/>
      <c r="GH657" s="4"/>
      <c r="GI657" s="4"/>
      <c r="GJ657" s="4"/>
      <c r="GK657" s="4"/>
      <c r="GL657" s="4"/>
      <c r="GM657" s="4"/>
      <c r="GN657" s="4"/>
      <c r="GO657" s="4"/>
      <c r="GP657" s="4"/>
      <c r="GQ657" s="4"/>
      <c r="GR657" s="4"/>
      <c r="GS657" s="4"/>
      <c r="GT657" s="4"/>
      <c r="GU657" s="4"/>
      <c r="GV657" s="4"/>
      <c r="GW657" s="4"/>
      <c r="GX657" s="4"/>
      <c r="GY657" s="4"/>
      <c r="GZ657" s="4"/>
      <c r="HA657" s="4"/>
      <c r="HB657" s="4"/>
      <c r="HC657" s="4"/>
      <c r="HD657" s="4"/>
      <c r="HE657" s="4"/>
      <c r="HF657" s="4"/>
      <c r="HG657" s="4"/>
      <c r="HH657" s="4"/>
      <c r="HI657" s="4"/>
      <c r="HJ657" s="4"/>
    </row>
    <row r="658" spans="1:218" hidden="1">
      <c r="A658" t="s">
        <v>2471</v>
      </c>
      <c r="B658" t="s">
        <v>2472</v>
      </c>
      <c r="C658" t="s">
        <v>489</v>
      </c>
      <c r="D658" t="s">
        <v>490</v>
      </c>
      <c r="E658" t="s">
        <v>490</v>
      </c>
      <c r="F658" s="3">
        <v>1</v>
      </c>
      <c r="G658" s="12">
        <f t="shared" si="20"/>
        <v>3.75</v>
      </c>
      <c r="H658" s="12" t="e">
        <f t="shared" si="21"/>
        <v>#NUM!</v>
      </c>
      <c r="I658" s="3">
        <v>3.74892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>
        <v>3.75</v>
      </c>
      <c r="DI658" s="4"/>
      <c r="DJ658" s="4"/>
      <c r="DK658" s="4"/>
      <c r="DL658" s="4"/>
      <c r="DM658" s="4"/>
      <c r="DN658" s="4"/>
      <c r="DO658" s="4"/>
      <c r="DP658" s="4"/>
      <c r="DQ658" s="4"/>
      <c r="DR658" s="4"/>
      <c r="DS658" s="4"/>
      <c r="DT658" s="4"/>
      <c r="DU658" s="4"/>
      <c r="DV658" s="4"/>
      <c r="DW658" s="4"/>
      <c r="DX658" s="4"/>
      <c r="DY658" s="4"/>
      <c r="DZ658" s="4"/>
      <c r="EA658" s="4"/>
      <c r="EB658" s="4"/>
      <c r="EC658" s="4"/>
      <c r="ED658" s="4"/>
      <c r="EE658" s="4"/>
      <c r="EF658" s="4"/>
      <c r="EG658" s="4"/>
      <c r="EH658" s="4"/>
      <c r="EI658" s="4"/>
      <c r="EJ658" s="4"/>
      <c r="EK658" s="4"/>
      <c r="EL658" s="4"/>
      <c r="EM658" s="4"/>
      <c r="EN658" s="4"/>
      <c r="EO658" s="4"/>
      <c r="EP658" s="4"/>
      <c r="EQ658" s="4"/>
      <c r="ER658" s="4"/>
      <c r="ES658" s="4"/>
      <c r="ET658" s="4"/>
      <c r="EU658" s="4"/>
      <c r="EV658" s="4"/>
      <c r="EW658" s="4"/>
      <c r="EX658" s="4"/>
      <c r="EY658" s="4"/>
      <c r="EZ658" s="4"/>
      <c r="FA658" s="4"/>
      <c r="FB658" s="4"/>
      <c r="FC658" s="4"/>
      <c r="FD658" s="4"/>
      <c r="FE658" s="4"/>
      <c r="FF658" s="4"/>
      <c r="FG658" s="4"/>
      <c r="FH658" s="4"/>
      <c r="FI658" s="4"/>
      <c r="FJ658" s="4"/>
      <c r="FK658" s="4"/>
      <c r="FL658" s="4"/>
      <c r="FM658" s="4"/>
      <c r="FN658" s="4"/>
      <c r="FO658" s="4"/>
      <c r="FP658" s="4"/>
      <c r="FQ658" s="4"/>
      <c r="FR658" s="4"/>
      <c r="FS658" s="4"/>
      <c r="FT658" s="4"/>
      <c r="FU658" s="4"/>
      <c r="FV658" s="4"/>
      <c r="FW658" s="4"/>
      <c r="FX658" s="4"/>
      <c r="FY658" s="4"/>
      <c r="FZ658" s="4"/>
      <c r="GA658" s="4"/>
      <c r="GB658" s="4"/>
      <c r="GC658" s="4"/>
      <c r="GD658" s="4"/>
      <c r="GE658" s="4"/>
      <c r="GF658" s="4"/>
      <c r="GG658" s="4"/>
      <c r="GH658" s="4"/>
      <c r="GI658" s="4"/>
      <c r="GJ658" s="4"/>
      <c r="GK658" s="4"/>
      <c r="GL658" s="4"/>
      <c r="GM658" s="4"/>
      <c r="GN658" s="4"/>
      <c r="GO658" s="4"/>
      <c r="GP658" s="4"/>
      <c r="GQ658" s="4"/>
      <c r="GR658" s="4"/>
      <c r="GS658" s="4"/>
      <c r="GT658" s="4"/>
      <c r="GU658" s="4"/>
      <c r="GV658" s="4"/>
      <c r="GW658" s="4"/>
      <c r="GX658" s="4"/>
      <c r="GY658" s="4"/>
      <c r="GZ658" s="4"/>
      <c r="HA658" s="4"/>
      <c r="HB658" s="4"/>
      <c r="HC658" s="4"/>
      <c r="HD658" s="4"/>
      <c r="HE658" s="4"/>
      <c r="HF658" s="4"/>
      <c r="HG658" s="4"/>
      <c r="HH658" s="4"/>
      <c r="HI658" s="4"/>
      <c r="HJ658" s="4"/>
    </row>
    <row r="659" spans="1:218" hidden="1">
      <c r="A659" t="s">
        <v>2677</v>
      </c>
      <c r="B659" t="s">
        <v>2678</v>
      </c>
      <c r="C659" t="s">
        <v>1329</v>
      </c>
      <c r="D659" t="s">
        <v>2679</v>
      </c>
      <c r="E659" t="s">
        <v>2680</v>
      </c>
      <c r="F659" s="3">
        <v>1</v>
      </c>
      <c r="G659" s="12">
        <f t="shared" si="20"/>
        <v>3.12</v>
      </c>
      <c r="H659" s="12" t="e">
        <f t="shared" si="21"/>
        <v>#NUM!</v>
      </c>
      <c r="I659" s="3">
        <v>3.1216198999999998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>
        <v>3.12</v>
      </c>
      <c r="DN659" s="4"/>
      <c r="DO659" s="4"/>
      <c r="DP659" s="4"/>
      <c r="DQ659" s="4"/>
      <c r="DR659" s="4"/>
      <c r="DS659" s="4"/>
      <c r="DT659" s="4"/>
      <c r="DU659" s="4"/>
      <c r="DV659" s="4"/>
      <c r="DW659" s="4"/>
      <c r="DX659" s="4"/>
      <c r="DY659" s="4"/>
      <c r="DZ659" s="4"/>
      <c r="EA659" s="4"/>
      <c r="EB659" s="4"/>
      <c r="EC659" s="4"/>
      <c r="ED659" s="4"/>
      <c r="EE659" s="4"/>
      <c r="EF659" s="4"/>
      <c r="EG659" s="4"/>
      <c r="EH659" s="4"/>
      <c r="EI659" s="4"/>
      <c r="EJ659" s="4"/>
      <c r="EK659" s="4"/>
      <c r="EL659" s="4"/>
      <c r="EM659" s="4"/>
      <c r="EN659" s="4"/>
      <c r="EO659" s="4"/>
      <c r="EP659" s="4"/>
      <c r="EQ659" s="4"/>
      <c r="ER659" s="4"/>
      <c r="ES659" s="4"/>
      <c r="ET659" s="4"/>
      <c r="EU659" s="4"/>
      <c r="EV659" s="4"/>
      <c r="EW659" s="4"/>
      <c r="EX659" s="4"/>
      <c r="EY659" s="4"/>
      <c r="EZ659" s="4"/>
      <c r="FA659" s="4"/>
      <c r="FB659" s="4"/>
      <c r="FC659" s="4"/>
      <c r="FD659" s="4"/>
      <c r="FE659" s="4"/>
      <c r="FF659" s="4"/>
      <c r="FG659" s="4"/>
      <c r="FH659" s="4"/>
      <c r="FI659" s="4"/>
      <c r="FJ659" s="4"/>
      <c r="FK659" s="4"/>
      <c r="FL659" s="4"/>
      <c r="FM659" s="4"/>
      <c r="FN659" s="4"/>
      <c r="FO659" s="4"/>
      <c r="FP659" s="4"/>
      <c r="FQ659" s="4"/>
      <c r="FR659" s="4"/>
      <c r="FS659" s="4"/>
      <c r="FT659" s="4"/>
      <c r="FU659" s="4"/>
      <c r="FV659" s="4"/>
      <c r="FW659" s="4"/>
      <c r="FX659" s="4"/>
      <c r="FY659" s="4"/>
      <c r="FZ659" s="4"/>
      <c r="GA659" s="4"/>
      <c r="GB659" s="4"/>
      <c r="GC659" s="4"/>
      <c r="GD659" s="4"/>
      <c r="GE659" s="4"/>
      <c r="GF659" s="4"/>
      <c r="GG659" s="4"/>
      <c r="GH659" s="4"/>
      <c r="GI659" s="4"/>
      <c r="GJ659" s="4"/>
      <c r="GK659" s="4"/>
      <c r="GL659" s="4"/>
      <c r="GM659" s="4"/>
      <c r="GN659" s="4"/>
      <c r="GO659" s="4"/>
      <c r="GP659" s="4"/>
      <c r="GQ659" s="4"/>
      <c r="GR659" s="4"/>
      <c r="GS659" s="4"/>
      <c r="GT659" s="4"/>
      <c r="GU659" s="4"/>
      <c r="GV659" s="4"/>
      <c r="GW659" s="4"/>
      <c r="GX659" s="4"/>
      <c r="GY659" s="4"/>
      <c r="GZ659" s="4"/>
      <c r="HA659" s="4"/>
      <c r="HB659" s="4"/>
      <c r="HC659" s="4"/>
      <c r="HD659" s="4"/>
      <c r="HE659" s="4"/>
      <c r="HF659" s="4"/>
      <c r="HG659" s="4"/>
      <c r="HH659" s="4"/>
      <c r="HI659" s="4"/>
      <c r="HJ659" s="4"/>
    </row>
    <row r="660" spans="1:218" hidden="1">
      <c r="A660" t="s">
        <v>2463</v>
      </c>
      <c r="B660" t="s">
        <v>2464</v>
      </c>
      <c r="C660" t="s">
        <v>489</v>
      </c>
      <c r="D660" t="s">
        <v>490</v>
      </c>
      <c r="E660" t="s">
        <v>490</v>
      </c>
      <c r="F660" s="3">
        <v>1</v>
      </c>
      <c r="G660" s="12">
        <f t="shared" si="20"/>
        <v>3.76</v>
      </c>
      <c r="H660" s="12" t="e">
        <f t="shared" si="21"/>
        <v>#NUM!</v>
      </c>
      <c r="I660" s="3">
        <v>3.7592698000000002</v>
      </c>
      <c r="K660" s="4"/>
      <c r="L660" s="4"/>
      <c r="M660" s="4"/>
      <c r="N660" s="4"/>
      <c r="O660" s="4"/>
      <c r="P660" s="4"/>
      <c r="Q660" s="4"/>
      <c r="R660" s="4">
        <v>3.76</v>
      </c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  <c r="DQ660" s="4"/>
      <c r="DR660" s="4"/>
      <c r="DS660" s="4"/>
      <c r="DT660" s="4"/>
      <c r="DU660" s="4"/>
      <c r="DV660" s="4"/>
      <c r="DW660" s="4"/>
      <c r="DX660" s="4"/>
      <c r="DY660" s="4"/>
      <c r="DZ660" s="4"/>
      <c r="EA660" s="4"/>
      <c r="EB660" s="4"/>
      <c r="EC660" s="4"/>
      <c r="ED660" s="4"/>
      <c r="EE660" s="4"/>
      <c r="EF660" s="4"/>
      <c r="EG660" s="4"/>
      <c r="EH660" s="4"/>
      <c r="EI660" s="4"/>
      <c r="EJ660" s="4"/>
      <c r="EK660" s="4"/>
      <c r="EL660" s="4"/>
      <c r="EM660" s="4"/>
      <c r="EN660" s="4"/>
      <c r="EO660" s="4"/>
      <c r="EP660" s="4"/>
      <c r="EQ660" s="4"/>
      <c r="ER660" s="4"/>
      <c r="ES660" s="4"/>
      <c r="ET660" s="4"/>
      <c r="EU660" s="4"/>
      <c r="EV660" s="4"/>
      <c r="EW660" s="4"/>
      <c r="EX660" s="4"/>
      <c r="EY660" s="4"/>
      <c r="EZ660" s="4"/>
      <c r="FA660" s="4"/>
      <c r="FB660" s="4"/>
      <c r="FC660" s="4"/>
      <c r="FD660" s="4"/>
      <c r="FE660" s="4"/>
      <c r="FF660" s="4"/>
      <c r="FG660" s="4"/>
      <c r="FH660" s="4"/>
      <c r="FI660" s="4"/>
      <c r="FJ660" s="4"/>
      <c r="FK660" s="4"/>
      <c r="FL660" s="4"/>
      <c r="FM660" s="4"/>
      <c r="FN660" s="4"/>
      <c r="FO660" s="4"/>
      <c r="FP660" s="4"/>
      <c r="FQ660" s="4"/>
      <c r="FR660" s="4"/>
      <c r="FS660" s="4"/>
      <c r="FT660" s="4"/>
      <c r="FU660" s="4"/>
      <c r="FV660" s="4"/>
      <c r="FW660" s="4"/>
      <c r="FX660" s="4"/>
      <c r="FY660" s="4"/>
      <c r="FZ660" s="4"/>
      <c r="GA660" s="4"/>
      <c r="GB660" s="4"/>
      <c r="GC660" s="4"/>
      <c r="GD660" s="4"/>
      <c r="GE660" s="4"/>
      <c r="GF660" s="4"/>
      <c r="GG660" s="4"/>
      <c r="GH660" s="4"/>
      <c r="GI660" s="4"/>
      <c r="GJ660" s="4"/>
      <c r="GK660" s="4"/>
      <c r="GL660" s="4"/>
      <c r="GM660" s="4"/>
      <c r="GN660" s="4"/>
      <c r="GO660" s="4"/>
      <c r="GP660" s="4"/>
      <c r="GQ660" s="4"/>
      <c r="GR660" s="4"/>
      <c r="GS660" s="4"/>
      <c r="GT660" s="4"/>
      <c r="GU660" s="4"/>
      <c r="GV660" s="4"/>
      <c r="GW660" s="4"/>
      <c r="GX660" s="4"/>
      <c r="GY660" s="4"/>
      <c r="GZ660" s="4"/>
      <c r="HA660" s="4"/>
      <c r="HB660" s="4"/>
      <c r="HC660" s="4"/>
      <c r="HD660" s="4"/>
      <c r="HE660" s="4"/>
      <c r="HF660" s="4"/>
      <c r="HG660" s="4"/>
      <c r="HH660" s="4"/>
      <c r="HI660" s="4"/>
      <c r="HJ660" s="4"/>
    </row>
    <row r="661" spans="1:218" hidden="1">
      <c r="A661" t="s">
        <v>2042</v>
      </c>
      <c r="B661" t="s">
        <v>2043</v>
      </c>
      <c r="C661" t="s">
        <v>489</v>
      </c>
      <c r="D661" t="s">
        <v>490</v>
      </c>
      <c r="E661" t="s">
        <v>490</v>
      </c>
      <c r="F661" s="3">
        <v>1</v>
      </c>
      <c r="G661" s="12">
        <f t="shared" si="20"/>
        <v>4.63</v>
      </c>
      <c r="H661" s="12" t="e">
        <f t="shared" si="21"/>
        <v>#NUM!</v>
      </c>
      <c r="I661" s="3">
        <v>4.6314202</v>
      </c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  <c r="DQ661" s="4"/>
      <c r="DR661" s="4"/>
      <c r="DS661" s="4"/>
      <c r="DT661" s="4"/>
      <c r="DU661" s="4"/>
      <c r="DV661" s="4"/>
      <c r="DW661" s="4"/>
      <c r="DX661" s="4"/>
      <c r="DY661" s="4"/>
      <c r="DZ661" s="4"/>
      <c r="EA661" s="4"/>
      <c r="EB661" s="4"/>
      <c r="EC661" s="4"/>
      <c r="ED661" s="4"/>
      <c r="EE661" s="4"/>
      <c r="EF661" s="4"/>
      <c r="EG661" s="4"/>
      <c r="EH661" s="4"/>
      <c r="EI661" s="4"/>
      <c r="EJ661" s="4"/>
      <c r="EK661" s="4"/>
      <c r="EL661" s="4"/>
      <c r="EM661" s="4"/>
      <c r="EN661" s="4"/>
      <c r="EO661" s="4"/>
      <c r="EP661" s="4"/>
      <c r="EQ661" s="4"/>
      <c r="ER661" s="4"/>
      <c r="ES661" s="4"/>
      <c r="ET661" s="4"/>
      <c r="EU661" s="4"/>
      <c r="EV661" s="4"/>
      <c r="EW661" s="4"/>
      <c r="EX661" s="4"/>
      <c r="EY661" s="4"/>
      <c r="EZ661" s="4"/>
      <c r="FA661" s="4"/>
      <c r="FB661" s="4"/>
      <c r="FC661" s="4"/>
      <c r="FD661" s="4"/>
      <c r="FE661" s="4"/>
      <c r="FF661" s="4"/>
      <c r="FG661" s="4"/>
      <c r="FH661" s="4"/>
      <c r="FI661" s="4"/>
      <c r="FJ661" s="4"/>
      <c r="FK661" s="4"/>
      <c r="FL661" s="4"/>
      <c r="FM661" s="4"/>
      <c r="FN661" s="4"/>
      <c r="FO661" s="4"/>
      <c r="FP661" s="4"/>
      <c r="FQ661" s="4"/>
      <c r="FR661" s="4"/>
      <c r="FS661" s="4"/>
      <c r="FT661" s="4"/>
      <c r="FU661" s="4"/>
      <c r="FV661" s="4"/>
      <c r="FW661" s="4"/>
      <c r="FX661" s="4"/>
      <c r="FY661" s="4"/>
      <c r="FZ661" s="4"/>
      <c r="GA661" s="4"/>
      <c r="GB661" s="4"/>
      <c r="GC661" s="4"/>
      <c r="GD661" s="4"/>
      <c r="GE661" s="4"/>
      <c r="GF661" s="4"/>
      <c r="GG661" s="4"/>
      <c r="GH661" s="4"/>
      <c r="GI661" s="4"/>
      <c r="GJ661" s="4"/>
      <c r="GK661" s="4"/>
      <c r="GL661" s="4"/>
      <c r="GM661" s="4"/>
      <c r="GN661" s="4"/>
      <c r="GO661" s="4"/>
      <c r="GP661" s="4"/>
      <c r="GQ661" s="4"/>
      <c r="GR661" s="4"/>
      <c r="GS661" s="4"/>
      <c r="GT661" s="4"/>
      <c r="GU661" s="4"/>
      <c r="GV661" s="4"/>
      <c r="GW661" s="4"/>
      <c r="GX661" s="4">
        <v>4.63</v>
      </c>
      <c r="GY661" s="4"/>
      <c r="GZ661" s="4"/>
      <c r="HA661" s="4"/>
      <c r="HB661" s="4"/>
      <c r="HC661" s="4"/>
      <c r="HD661" s="4"/>
      <c r="HE661" s="4"/>
      <c r="HF661" s="4"/>
      <c r="HG661" s="4"/>
      <c r="HH661" s="4"/>
      <c r="HI661" s="4"/>
      <c r="HJ661" s="4"/>
    </row>
    <row r="662" spans="1:218" hidden="1">
      <c r="A662" t="s">
        <v>2177</v>
      </c>
      <c r="B662" t="s">
        <v>2178</v>
      </c>
      <c r="C662" t="s">
        <v>489</v>
      </c>
      <c r="D662" t="s">
        <v>490</v>
      </c>
      <c r="E662" t="s">
        <v>490</v>
      </c>
      <c r="F662" s="3">
        <v>1</v>
      </c>
      <c r="G662" s="12">
        <f t="shared" si="20"/>
        <v>4.37</v>
      </c>
      <c r="H662" s="12" t="e">
        <f t="shared" si="21"/>
        <v>#NUM!</v>
      </c>
      <c r="I662" s="3">
        <v>4.3740402999999999</v>
      </c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  <c r="DQ662" s="4"/>
      <c r="DR662" s="4"/>
      <c r="DS662" s="4"/>
      <c r="DT662" s="4"/>
      <c r="DU662" s="4"/>
      <c r="DV662" s="4"/>
      <c r="DW662" s="4"/>
      <c r="DX662" s="4"/>
      <c r="DY662" s="4"/>
      <c r="DZ662" s="4"/>
      <c r="EA662" s="4"/>
      <c r="EB662" s="4"/>
      <c r="EC662" s="4"/>
      <c r="ED662" s="4"/>
      <c r="EE662" s="4"/>
      <c r="EF662" s="4"/>
      <c r="EG662" s="4"/>
      <c r="EH662" s="4"/>
      <c r="EI662" s="4"/>
      <c r="EJ662" s="4"/>
      <c r="EK662" s="4"/>
      <c r="EL662" s="4"/>
      <c r="EM662" s="4"/>
      <c r="EN662" s="4"/>
      <c r="EO662" s="4"/>
      <c r="EP662" s="4"/>
      <c r="EQ662" s="4"/>
      <c r="ER662" s="4"/>
      <c r="ES662" s="4"/>
      <c r="ET662" s="4"/>
      <c r="EU662" s="4"/>
      <c r="EV662" s="4"/>
      <c r="EW662" s="4"/>
      <c r="EX662" s="4"/>
      <c r="EY662" s="4"/>
      <c r="EZ662" s="4"/>
      <c r="FA662" s="4"/>
      <c r="FB662" s="4"/>
      <c r="FC662" s="4"/>
      <c r="FD662" s="4"/>
      <c r="FE662" s="4"/>
      <c r="FF662" s="4"/>
      <c r="FG662" s="4"/>
      <c r="FH662" s="4"/>
      <c r="FI662" s="4"/>
      <c r="FJ662" s="4"/>
      <c r="FK662" s="4"/>
      <c r="FL662" s="4"/>
      <c r="FM662" s="4"/>
      <c r="FN662" s="4"/>
      <c r="FO662" s="4"/>
      <c r="FP662" s="4"/>
      <c r="FQ662" s="4"/>
      <c r="FR662" s="4"/>
      <c r="FS662" s="4"/>
      <c r="FT662" s="4"/>
      <c r="FU662" s="4"/>
      <c r="FV662" s="4"/>
      <c r="FW662" s="4"/>
      <c r="FX662" s="4"/>
      <c r="FY662" s="4"/>
      <c r="FZ662" s="4"/>
      <c r="GA662" s="4"/>
      <c r="GB662" s="4"/>
      <c r="GC662" s="4"/>
      <c r="GD662" s="4"/>
      <c r="GE662" s="4"/>
      <c r="GF662" s="4"/>
      <c r="GG662" s="4">
        <v>4.37</v>
      </c>
      <c r="GH662" s="4"/>
      <c r="GI662" s="4"/>
      <c r="GJ662" s="4"/>
      <c r="GK662" s="4"/>
      <c r="GL662" s="4"/>
      <c r="GM662" s="4"/>
      <c r="GN662" s="4"/>
      <c r="GO662" s="4"/>
      <c r="GP662" s="4"/>
      <c r="GQ662" s="4"/>
      <c r="GR662" s="4"/>
      <c r="GS662" s="4"/>
      <c r="GT662" s="4"/>
      <c r="GU662" s="4"/>
      <c r="GV662" s="4"/>
      <c r="GW662" s="4"/>
      <c r="GX662" s="4"/>
      <c r="GY662" s="4"/>
      <c r="GZ662" s="4"/>
      <c r="HA662" s="4"/>
      <c r="HB662" s="4"/>
      <c r="HC662" s="4"/>
      <c r="HD662" s="4"/>
      <c r="HE662" s="4"/>
      <c r="HF662" s="4"/>
      <c r="HG662" s="4"/>
      <c r="HH662" s="4"/>
      <c r="HI662" s="4"/>
      <c r="HJ662" s="4"/>
    </row>
    <row r="663" spans="1:218" hidden="1">
      <c r="A663" t="s">
        <v>2736</v>
      </c>
      <c r="B663" t="s">
        <v>2737</v>
      </c>
      <c r="C663" t="s">
        <v>489</v>
      </c>
      <c r="D663" t="s">
        <v>490</v>
      </c>
      <c r="E663" t="s">
        <v>490</v>
      </c>
      <c r="F663" s="3">
        <v>1</v>
      </c>
      <c r="G663" s="12">
        <f t="shared" si="20"/>
        <v>3.01</v>
      </c>
      <c r="H663" s="12" t="e">
        <f t="shared" si="21"/>
        <v>#NUM!</v>
      </c>
      <c r="I663" s="3">
        <v>3.0121699999999998</v>
      </c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  <c r="DQ663" s="4"/>
      <c r="DR663" s="4"/>
      <c r="DS663" s="4"/>
      <c r="DT663" s="4"/>
      <c r="DU663" s="4"/>
      <c r="DV663" s="4"/>
      <c r="DW663" s="4"/>
      <c r="DX663" s="4"/>
      <c r="DY663" s="4"/>
      <c r="DZ663" s="4"/>
      <c r="EA663" s="4"/>
      <c r="EB663" s="4"/>
      <c r="EC663" s="4"/>
      <c r="ED663" s="4"/>
      <c r="EE663" s="4"/>
      <c r="EF663" s="4"/>
      <c r="EG663" s="4"/>
      <c r="EH663" s="4"/>
      <c r="EI663" s="4"/>
      <c r="EJ663" s="4"/>
      <c r="EK663" s="4"/>
      <c r="EL663" s="4"/>
      <c r="EM663" s="4"/>
      <c r="EN663" s="4"/>
      <c r="EO663" s="4"/>
      <c r="EP663" s="4"/>
      <c r="EQ663" s="4"/>
      <c r="ER663" s="4"/>
      <c r="ES663" s="4"/>
      <c r="ET663" s="4"/>
      <c r="EU663" s="4"/>
      <c r="EV663" s="4"/>
      <c r="EW663" s="4"/>
      <c r="EX663" s="4"/>
      <c r="EY663" s="4"/>
      <c r="EZ663" s="4"/>
      <c r="FA663" s="4"/>
      <c r="FB663" s="4"/>
      <c r="FC663" s="4"/>
      <c r="FD663" s="4"/>
      <c r="FE663" s="4"/>
      <c r="FF663" s="4"/>
      <c r="FG663" s="4"/>
      <c r="FH663" s="4"/>
      <c r="FI663" s="4"/>
      <c r="FJ663" s="4"/>
      <c r="FK663" s="4"/>
      <c r="FL663" s="4"/>
      <c r="FM663" s="4"/>
      <c r="FN663" s="4"/>
      <c r="FO663" s="4"/>
      <c r="FP663" s="4"/>
      <c r="FQ663" s="4"/>
      <c r="FR663" s="4"/>
      <c r="FS663" s="4"/>
      <c r="FT663" s="4"/>
      <c r="FU663" s="4"/>
      <c r="FV663" s="4"/>
      <c r="FW663" s="4"/>
      <c r="FX663" s="4"/>
      <c r="FY663" s="4"/>
      <c r="FZ663" s="4"/>
      <c r="GA663" s="4"/>
      <c r="GB663" s="4"/>
      <c r="GC663" s="4"/>
      <c r="GD663" s="4"/>
      <c r="GE663" s="4"/>
      <c r="GF663" s="4"/>
      <c r="GG663" s="4"/>
      <c r="GH663" s="4"/>
      <c r="GI663" s="4"/>
      <c r="GJ663" s="4"/>
      <c r="GK663" s="4"/>
      <c r="GL663" s="4"/>
      <c r="GM663" s="4"/>
      <c r="GN663" s="4"/>
      <c r="GO663" s="4"/>
      <c r="GP663" s="4"/>
      <c r="GQ663" s="4"/>
      <c r="GR663" s="4"/>
      <c r="GS663" s="4"/>
      <c r="GT663" s="4"/>
      <c r="GU663" s="4"/>
      <c r="GV663" s="4"/>
      <c r="GW663" s="4"/>
      <c r="GX663" s="4"/>
      <c r="GY663" s="4"/>
      <c r="GZ663" s="4"/>
      <c r="HA663" s="4"/>
      <c r="HB663" s="4"/>
      <c r="HC663" s="4"/>
      <c r="HD663" s="4"/>
      <c r="HE663" s="4"/>
      <c r="HF663" s="4"/>
      <c r="HG663" s="4"/>
      <c r="HH663" s="4"/>
      <c r="HI663" s="4">
        <v>3.01</v>
      </c>
      <c r="HJ663" s="4"/>
    </row>
    <row r="664" spans="1:218" hidden="1">
      <c r="A664" t="s">
        <v>3073</v>
      </c>
      <c r="B664" t="s">
        <v>3074</v>
      </c>
      <c r="C664" t="s">
        <v>489</v>
      </c>
      <c r="D664" t="s">
        <v>490</v>
      </c>
      <c r="E664" t="s">
        <v>490</v>
      </c>
      <c r="F664" s="3">
        <v>1</v>
      </c>
      <c r="G664" s="12">
        <f t="shared" si="20"/>
        <v>1.84</v>
      </c>
      <c r="H664" s="12" t="e">
        <f t="shared" si="21"/>
        <v>#NUM!</v>
      </c>
      <c r="I664" s="3">
        <v>1.8429500000000001</v>
      </c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>
        <v>1.84</v>
      </c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  <c r="DQ664" s="4"/>
      <c r="DR664" s="4"/>
      <c r="DS664" s="4"/>
      <c r="DT664" s="4"/>
      <c r="DU664" s="4"/>
      <c r="DV664" s="4"/>
      <c r="DW664" s="4"/>
      <c r="DX664" s="4"/>
      <c r="DY664" s="4"/>
      <c r="DZ664" s="4"/>
      <c r="EA664" s="4"/>
      <c r="EB664" s="4"/>
      <c r="EC664" s="4"/>
      <c r="ED664" s="4"/>
      <c r="EE664" s="4"/>
      <c r="EF664" s="4"/>
      <c r="EG664" s="4"/>
      <c r="EH664" s="4"/>
      <c r="EI664" s="4"/>
      <c r="EJ664" s="4"/>
      <c r="EK664" s="4"/>
      <c r="EL664" s="4"/>
      <c r="EM664" s="4"/>
      <c r="EN664" s="4"/>
      <c r="EO664" s="4"/>
      <c r="EP664" s="4"/>
      <c r="EQ664" s="4"/>
      <c r="ER664" s="4"/>
      <c r="ES664" s="4"/>
      <c r="ET664" s="4"/>
      <c r="EU664" s="4"/>
      <c r="EV664" s="4"/>
      <c r="EW664" s="4"/>
      <c r="EX664" s="4"/>
      <c r="EY664" s="4"/>
      <c r="EZ664" s="4"/>
      <c r="FA664" s="4"/>
      <c r="FB664" s="4"/>
      <c r="FC664" s="4"/>
      <c r="FD664" s="4"/>
      <c r="FE664" s="4"/>
      <c r="FF664" s="4"/>
      <c r="FG664" s="4"/>
      <c r="FH664" s="4"/>
      <c r="FI664" s="4"/>
      <c r="FJ664" s="4"/>
      <c r="FK664" s="4"/>
      <c r="FL664" s="4"/>
      <c r="FM664" s="4"/>
      <c r="FN664" s="4"/>
      <c r="FO664" s="4"/>
      <c r="FP664" s="4"/>
      <c r="FQ664" s="4"/>
      <c r="FR664" s="4"/>
      <c r="FS664" s="4"/>
      <c r="FT664" s="4"/>
      <c r="FU664" s="4"/>
      <c r="FV664" s="4"/>
      <c r="FW664" s="4"/>
      <c r="FX664" s="4"/>
      <c r="FY664" s="4"/>
      <c r="FZ664" s="4"/>
      <c r="GA664" s="4"/>
      <c r="GB664" s="4"/>
      <c r="GC664" s="4"/>
      <c r="GD664" s="4"/>
      <c r="GE664" s="4"/>
      <c r="GF664" s="4"/>
      <c r="GG664" s="4"/>
      <c r="GH664" s="4"/>
      <c r="GI664" s="4"/>
      <c r="GJ664" s="4"/>
      <c r="GK664" s="4"/>
      <c r="GL664" s="4"/>
      <c r="GM664" s="4"/>
      <c r="GN664" s="4"/>
      <c r="GO664" s="4"/>
      <c r="GP664" s="4"/>
      <c r="GQ664" s="4"/>
      <c r="GR664" s="4"/>
      <c r="GS664" s="4"/>
      <c r="GT664" s="4"/>
      <c r="GU664" s="4"/>
      <c r="GV664" s="4"/>
      <c r="GW664" s="4"/>
      <c r="GX664" s="4"/>
      <c r="GY664" s="4"/>
      <c r="GZ664" s="4"/>
      <c r="HA664" s="4"/>
      <c r="HB664" s="4"/>
      <c r="HC664" s="4"/>
      <c r="HD664" s="4"/>
      <c r="HE664" s="4"/>
      <c r="HF664" s="4"/>
      <c r="HG664" s="4"/>
      <c r="HH664" s="4"/>
      <c r="HI664" s="4"/>
      <c r="HJ664" s="4"/>
    </row>
    <row r="665" spans="1:218" hidden="1">
      <c r="A665" t="s">
        <v>2425</v>
      </c>
      <c r="B665" t="s">
        <v>2426</v>
      </c>
      <c r="C665" t="s">
        <v>1055</v>
      </c>
      <c r="D665" t="s">
        <v>2427</v>
      </c>
      <c r="E665" t="s">
        <v>2428</v>
      </c>
      <c r="F665" s="3">
        <v>1</v>
      </c>
      <c r="G665" s="12">
        <f t="shared" si="20"/>
        <v>3.85</v>
      </c>
      <c r="H665" s="12" t="e">
        <f t="shared" si="21"/>
        <v>#NUM!</v>
      </c>
      <c r="I665" s="3">
        <v>3.8455599999999999</v>
      </c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  <c r="DQ665" s="4"/>
      <c r="DR665" s="4"/>
      <c r="DS665" s="4"/>
      <c r="DT665" s="4"/>
      <c r="DU665" s="4"/>
      <c r="DV665" s="4"/>
      <c r="DW665" s="4">
        <v>3.85</v>
      </c>
      <c r="DX665" s="4"/>
      <c r="DY665" s="4"/>
      <c r="DZ665" s="4"/>
      <c r="EA665" s="4"/>
      <c r="EB665" s="4"/>
      <c r="EC665" s="4"/>
      <c r="ED665" s="4"/>
      <c r="EE665" s="4"/>
      <c r="EF665" s="4"/>
      <c r="EG665" s="4"/>
      <c r="EH665" s="4"/>
      <c r="EI665" s="4"/>
      <c r="EJ665" s="4"/>
      <c r="EK665" s="4"/>
      <c r="EL665" s="4"/>
      <c r="EM665" s="4"/>
      <c r="EN665" s="4"/>
      <c r="EO665" s="4"/>
      <c r="EP665" s="4"/>
      <c r="EQ665" s="4"/>
      <c r="ER665" s="4"/>
      <c r="ES665" s="4"/>
      <c r="ET665" s="4"/>
      <c r="EU665" s="4"/>
      <c r="EV665" s="4"/>
      <c r="EW665" s="4"/>
      <c r="EX665" s="4"/>
      <c r="EY665" s="4"/>
      <c r="EZ665" s="4"/>
      <c r="FA665" s="4"/>
      <c r="FB665" s="4"/>
      <c r="FC665" s="4"/>
      <c r="FD665" s="4"/>
      <c r="FE665" s="4"/>
      <c r="FF665" s="4"/>
      <c r="FG665" s="4"/>
      <c r="FH665" s="4"/>
      <c r="FI665" s="4"/>
      <c r="FJ665" s="4"/>
      <c r="FK665" s="4"/>
      <c r="FL665" s="4"/>
      <c r="FM665" s="4"/>
      <c r="FN665" s="4"/>
      <c r="FO665" s="4"/>
      <c r="FP665" s="4"/>
      <c r="FQ665" s="4"/>
      <c r="FR665" s="4"/>
      <c r="FS665" s="4"/>
      <c r="FT665" s="4"/>
      <c r="FU665" s="4"/>
      <c r="FV665" s="4"/>
      <c r="FW665" s="4"/>
      <c r="FX665" s="4"/>
      <c r="FY665" s="4"/>
      <c r="FZ665" s="4"/>
      <c r="GA665" s="4"/>
      <c r="GB665" s="4"/>
      <c r="GC665" s="4"/>
      <c r="GD665" s="4"/>
      <c r="GE665" s="4"/>
      <c r="GF665" s="4"/>
      <c r="GG665" s="4"/>
      <c r="GH665" s="4"/>
      <c r="GI665" s="4"/>
      <c r="GJ665" s="4"/>
      <c r="GK665" s="4"/>
      <c r="GL665" s="4"/>
      <c r="GM665" s="4"/>
      <c r="GN665" s="4"/>
      <c r="GO665" s="4"/>
      <c r="GP665" s="4"/>
      <c r="GQ665" s="4"/>
      <c r="GR665" s="4"/>
      <c r="GS665" s="4"/>
      <c r="GT665" s="4"/>
      <c r="GU665" s="4"/>
      <c r="GV665" s="4"/>
      <c r="GW665" s="4"/>
      <c r="GX665" s="4"/>
      <c r="GY665" s="4"/>
      <c r="GZ665" s="4"/>
      <c r="HA665" s="4"/>
      <c r="HB665" s="4"/>
      <c r="HC665" s="4"/>
      <c r="HD665" s="4"/>
      <c r="HE665" s="4"/>
      <c r="HF665" s="4"/>
      <c r="HG665" s="4"/>
      <c r="HH665" s="4"/>
      <c r="HI665" s="4"/>
      <c r="HJ665" s="4"/>
    </row>
    <row r="666" spans="1:218" hidden="1">
      <c r="A666" t="s">
        <v>2504</v>
      </c>
      <c r="B666" t="s">
        <v>2505</v>
      </c>
      <c r="C666" t="s">
        <v>489</v>
      </c>
      <c r="D666" t="s">
        <v>490</v>
      </c>
      <c r="E666" t="s">
        <v>490</v>
      </c>
      <c r="F666" s="3">
        <v>1</v>
      </c>
      <c r="G666" s="12">
        <f t="shared" si="20"/>
        <v>3.64</v>
      </c>
      <c r="H666" s="12" t="e">
        <f t="shared" si="21"/>
        <v>#NUM!</v>
      </c>
      <c r="I666" s="3">
        <v>3.63754</v>
      </c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  <c r="DQ666" s="4"/>
      <c r="DR666" s="4"/>
      <c r="DS666" s="4"/>
      <c r="DT666" s="4"/>
      <c r="DU666" s="4"/>
      <c r="DV666" s="4"/>
      <c r="DW666" s="4"/>
      <c r="DX666" s="4"/>
      <c r="DY666" s="4"/>
      <c r="DZ666" s="4"/>
      <c r="EA666" s="4"/>
      <c r="EB666" s="4"/>
      <c r="EC666" s="4"/>
      <c r="ED666" s="4"/>
      <c r="EE666" s="4"/>
      <c r="EF666" s="4"/>
      <c r="EG666" s="4"/>
      <c r="EH666" s="4"/>
      <c r="EI666" s="4"/>
      <c r="EJ666" s="4"/>
      <c r="EK666" s="4"/>
      <c r="EL666" s="4"/>
      <c r="EM666" s="4"/>
      <c r="EN666" s="4"/>
      <c r="EO666" s="4"/>
      <c r="EP666" s="4"/>
      <c r="EQ666" s="4"/>
      <c r="ER666" s="4"/>
      <c r="ES666" s="4"/>
      <c r="ET666" s="4"/>
      <c r="EU666" s="4"/>
      <c r="EV666" s="4"/>
      <c r="EW666" s="4"/>
      <c r="EX666" s="4"/>
      <c r="EY666" s="4"/>
      <c r="EZ666" s="4"/>
      <c r="FA666" s="4"/>
      <c r="FB666" s="4"/>
      <c r="FC666" s="4"/>
      <c r="FD666" s="4"/>
      <c r="FE666" s="4"/>
      <c r="FF666" s="4"/>
      <c r="FG666" s="4"/>
      <c r="FH666" s="4"/>
      <c r="FI666" s="4"/>
      <c r="FJ666" s="4"/>
      <c r="FK666" s="4"/>
      <c r="FL666" s="4"/>
      <c r="FM666" s="4"/>
      <c r="FN666" s="4"/>
      <c r="FO666" s="4"/>
      <c r="FP666" s="4"/>
      <c r="FQ666" s="4"/>
      <c r="FR666" s="4"/>
      <c r="FS666" s="4"/>
      <c r="FT666" s="4"/>
      <c r="FU666" s="4">
        <v>3.64</v>
      </c>
      <c r="FV666" s="4"/>
      <c r="FW666" s="4"/>
      <c r="FX666" s="4"/>
      <c r="FY666" s="4"/>
      <c r="FZ666" s="4"/>
      <c r="GA666" s="4"/>
      <c r="GB666" s="4"/>
      <c r="GC666" s="4"/>
      <c r="GD666" s="4"/>
      <c r="GE666" s="4"/>
      <c r="GF666" s="4"/>
      <c r="GG666" s="4"/>
      <c r="GH666" s="4"/>
      <c r="GI666" s="4"/>
      <c r="GJ666" s="4"/>
      <c r="GK666" s="4"/>
      <c r="GL666" s="4"/>
      <c r="GM666" s="4"/>
      <c r="GN666" s="4"/>
      <c r="GO666" s="4"/>
      <c r="GP666" s="4"/>
      <c r="GQ666" s="4"/>
      <c r="GR666" s="4"/>
      <c r="GS666" s="4"/>
      <c r="GT666" s="4"/>
      <c r="GU666" s="4"/>
      <c r="GV666" s="4"/>
      <c r="GW666" s="4"/>
      <c r="GX666" s="4"/>
      <c r="GY666" s="4"/>
      <c r="GZ666" s="4"/>
      <c r="HA666" s="4"/>
      <c r="HB666" s="4"/>
      <c r="HC666" s="4"/>
      <c r="HD666" s="4"/>
      <c r="HE666" s="4"/>
      <c r="HF666" s="4"/>
      <c r="HG666" s="4"/>
      <c r="HH666" s="4"/>
      <c r="HI666" s="4"/>
      <c r="HJ666" s="4"/>
    </row>
    <row r="667" spans="1:218" hidden="1">
      <c r="A667" t="s">
        <v>3103</v>
      </c>
      <c r="B667" t="s">
        <v>3104</v>
      </c>
      <c r="C667" t="s">
        <v>489</v>
      </c>
      <c r="D667" t="s">
        <v>490</v>
      </c>
      <c r="E667" t="s">
        <v>490</v>
      </c>
      <c r="F667" s="3">
        <v>1</v>
      </c>
      <c r="G667" s="12">
        <f t="shared" si="20"/>
        <v>1.46</v>
      </c>
      <c r="H667" s="12" t="e">
        <f t="shared" si="21"/>
        <v>#NUM!</v>
      </c>
      <c r="I667" s="3">
        <v>1.4573898999999999</v>
      </c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  <c r="DQ667" s="4"/>
      <c r="DR667" s="4"/>
      <c r="DS667" s="4"/>
      <c r="DT667" s="4"/>
      <c r="DU667" s="4"/>
      <c r="DV667" s="4"/>
      <c r="DW667" s="4"/>
      <c r="DX667" s="4"/>
      <c r="DY667" s="4"/>
      <c r="DZ667" s="4"/>
      <c r="EA667" s="4"/>
      <c r="EB667" s="4"/>
      <c r="EC667" s="4"/>
      <c r="ED667" s="4"/>
      <c r="EE667" s="4"/>
      <c r="EF667" s="4"/>
      <c r="EG667" s="4"/>
      <c r="EH667" s="4"/>
      <c r="EI667" s="4"/>
      <c r="EJ667" s="4"/>
      <c r="EK667" s="4"/>
      <c r="EL667" s="4"/>
      <c r="EM667" s="4">
        <v>1.46</v>
      </c>
      <c r="EN667" s="4"/>
      <c r="EO667" s="4"/>
      <c r="EP667" s="4"/>
      <c r="EQ667" s="4"/>
      <c r="ER667" s="4"/>
      <c r="ES667" s="4"/>
      <c r="ET667" s="4"/>
      <c r="EU667" s="4"/>
      <c r="EV667" s="4"/>
      <c r="EW667" s="4"/>
      <c r="EX667" s="4"/>
      <c r="EY667" s="4"/>
      <c r="EZ667" s="4"/>
      <c r="FA667" s="4"/>
      <c r="FB667" s="4"/>
      <c r="FC667" s="4"/>
      <c r="FD667" s="4"/>
      <c r="FE667" s="4"/>
      <c r="FF667" s="4"/>
      <c r="FG667" s="4"/>
      <c r="FH667" s="4"/>
      <c r="FI667" s="4"/>
      <c r="FJ667" s="4"/>
      <c r="FK667" s="4"/>
      <c r="FL667" s="4"/>
      <c r="FM667" s="4"/>
      <c r="FN667" s="4"/>
      <c r="FO667" s="4"/>
      <c r="FP667" s="4"/>
      <c r="FQ667" s="4"/>
      <c r="FR667" s="4"/>
      <c r="FS667" s="4"/>
      <c r="FT667" s="4"/>
      <c r="FU667" s="4"/>
      <c r="FV667" s="4"/>
      <c r="FW667" s="4"/>
      <c r="FX667" s="4"/>
      <c r="FY667" s="4"/>
      <c r="FZ667" s="4"/>
      <c r="GA667" s="4"/>
      <c r="GB667" s="4"/>
      <c r="GC667" s="4"/>
      <c r="GD667" s="4"/>
      <c r="GE667" s="4"/>
      <c r="GF667" s="4"/>
      <c r="GG667" s="4"/>
      <c r="GH667" s="4"/>
      <c r="GI667" s="4"/>
      <c r="GJ667" s="4"/>
      <c r="GK667" s="4"/>
      <c r="GL667" s="4"/>
      <c r="GM667" s="4"/>
      <c r="GN667" s="4"/>
      <c r="GO667" s="4"/>
      <c r="GP667" s="4"/>
      <c r="GQ667" s="4"/>
      <c r="GR667" s="4"/>
      <c r="GS667" s="4"/>
      <c r="GT667" s="4"/>
      <c r="GU667" s="4"/>
      <c r="GV667" s="4"/>
      <c r="GW667" s="4"/>
      <c r="GX667" s="4"/>
      <c r="GY667" s="4"/>
      <c r="GZ667" s="4"/>
      <c r="HA667" s="4"/>
      <c r="HB667" s="4"/>
      <c r="HC667" s="4"/>
      <c r="HD667" s="4"/>
      <c r="HE667" s="4"/>
      <c r="HF667" s="4"/>
      <c r="HG667" s="4"/>
      <c r="HH667" s="4"/>
      <c r="HI667" s="4"/>
      <c r="HJ667" s="4"/>
    </row>
    <row r="668" spans="1:218" hidden="1">
      <c r="A668" t="s">
        <v>2361</v>
      </c>
      <c r="B668" t="s">
        <v>2362</v>
      </c>
      <c r="C668" t="s">
        <v>1055</v>
      </c>
      <c r="D668" t="s">
        <v>2363</v>
      </c>
      <c r="E668" t="s">
        <v>2364</v>
      </c>
      <c r="F668" s="3">
        <v>1</v>
      </c>
      <c r="G668" s="12">
        <f t="shared" si="20"/>
        <v>4.01</v>
      </c>
      <c r="H668" s="12" t="e">
        <f t="shared" si="21"/>
        <v>#NUM!</v>
      </c>
      <c r="I668" s="3">
        <v>4.0058199999999999</v>
      </c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>
        <v>4.01</v>
      </c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  <c r="DQ668" s="4"/>
      <c r="DR668" s="4"/>
      <c r="DS668" s="4"/>
      <c r="DT668" s="4"/>
      <c r="DU668" s="4"/>
      <c r="DV668" s="4"/>
      <c r="DW668" s="4"/>
      <c r="DX668" s="4"/>
      <c r="DY668" s="4"/>
      <c r="DZ668" s="4"/>
      <c r="EA668" s="4"/>
      <c r="EB668" s="4"/>
      <c r="EC668" s="4"/>
      <c r="ED668" s="4"/>
      <c r="EE668" s="4"/>
      <c r="EF668" s="4"/>
      <c r="EG668" s="4"/>
      <c r="EH668" s="4"/>
      <c r="EI668" s="4"/>
      <c r="EJ668" s="4"/>
      <c r="EK668" s="4"/>
      <c r="EL668" s="4"/>
      <c r="EM668" s="4"/>
      <c r="EN668" s="4"/>
      <c r="EO668" s="4"/>
      <c r="EP668" s="4"/>
      <c r="EQ668" s="4"/>
      <c r="ER668" s="4"/>
      <c r="ES668" s="4"/>
      <c r="ET668" s="4"/>
      <c r="EU668" s="4"/>
      <c r="EV668" s="4"/>
      <c r="EW668" s="4"/>
      <c r="EX668" s="4"/>
      <c r="EY668" s="4"/>
      <c r="EZ668" s="4"/>
      <c r="FA668" s="4"/>
      <c r="FB668" s="4"/>
      <c r="FC668" s="4"/>
      <c r="FD668" s="4"/>
      <c r="FE668" s="4"/>
      <c r="FF668" s="4"/>
      <c r="FG668" s="4"/>
      <c r="FH668" s="4"/>
      <c r="FI668" s="4"/>
      <c r="FJ668" s="4"/>
      <c r="FK668" s="4"/>
      <c r="FL668" s="4"/>
      <c r="FM668" s="4"/>
      <c r="FN668" s="4"/>
      <c r="FO668" s="4"/>
      <c r="FP668" s="4"/>
      <c r="FQ668" s="4"/>
      <c r="FR668" s="4"/>
      <c r="FS668" s="4"/>
      <c r="FT668" s="4"/>
      <c r="FU668" s="4"/>
      <c r="FV668" s="4"/>
      <c r="FW668" s="4"/>
      <c r="FX668" s="4"/>
      <c r="FY668" s="4"/>
      <c r="FZ668" s="4"/>
      <c r="GA668" s="4"/>
      <c r="GB668" s="4"/>
      <c r="GC668" s="4"/>
      <c r="GD668" s="4"/>
      <c r="GE668" s="4"/>
      <c r="GF668" s="4"/>
      <c r="GG668" s="4"/>
      <c r="GH668" s="4"/>
      <c r="GI668" s="4"/>
      <c r="GJ668" s="4"/>
      <c r="GK668" s="4"/>
      <c r="GL668" s="4"/>
      <c r="GM668" s="4"/>
      <c r="GN668" s="4"/>
      <c r="GO668" s="4"/>
      <c r="GP668" s="4"/>
      <c r="GQ668" s="4"/>
      <c r="GR668" s="4"/>
      <c r="GS668" s="4"/>
      <c r="GT668" s="4"/>
      <c r="GU668" s="4"/>
      <c r="GV668" s="4"/>
      <c r="GW668" s="4"/>
      <c r="GX668" s="4"/>
      <c r="GY668" s="4"/>
      <c r="GZ668" s="4"/>
      <c r="HA668" s="4"/>
      <c r="HB668" s="4"/>
      <c r="HC668" s="4"/>
      <c r="HD668" s="4"/>
      <c r="HE668" s="4"/>
      <c r="HF668" s="4"/>
      <c r="HG668" s="4"/>
      <c r="HH668" s="4"/>
      <c r="HI668" s="4"/>
      <c r="HJ668" s="4"/>
    </row>
    <row r="669" spans="1:218" hidden="1">
      <c r="A669" t="s">
        <v>1831</v>
      </c>
      <c r="B669" t="s">
        <v>1832</v>
      </c>
      <c r="C669" t="s">
        <v>489</v>
      </c>
      <c r="D669" t="s">
        <v>490</v>
      </c>
      <c r="E669" t="s">
        <v>490</v>
      </c>
      <c r="F669" s="3">
        <v>1</v>
      </c>
      <c r="G669" s="12">
        <f t="shared" si="20"/>
        <v>5.93</v>
      </c>
      <c r="H669" s="12" t="e">
        <f t="shared" si="21"/>
        <v>#NUM!</v>
      </c>
      <c r="I669" s="3">
        <v>5.9330102</v>
      </c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>
        <v>5.93</v>
      </c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  <c r="DQ669" s="4"/>
      <c r="DR669" s="4"/>
      <c r="DS669" s="4"/>
      <c r="DT669" s="4"/>
      <c r="DU669" s="4"/>
      <c r="DV669" s="4"/>
      <c r="DW669" s="4"/>
      <c r="DX669" s="4"/>
      <c r="DY669" s="4"/>
      <c r="DZ669" s="4"/>
      <c r="EA669" s="4"/>
      <c r="EB669" s="4"/>
      <c r="EC669" s="4"/>
      <c r="ED669" s="4"/>
      <c r="EE669" s="4"/>
      <c r="EF669" s="4"/>
      <c r="EG669" s="4"/>
      <c r="EH669" s="4"/>
      <c r="EI669" s="4"/>
      <c r="EJ669" s="4"/>
      <c r="EK669" s="4"/>
      <c r="EL669" s="4"/>
      <c r="EM669" s="4"/>
      <c r="EN669" s="4"/>
      <c r="EO669" s="4"/>
      <c r="EP669" s="4"/>
      <c r="EQ669" s="4"/>
      <c r="ER669" s="4"/>
      <c r="ES669" s="4"/>
      <c r="ET669" s="4"/>
      <c r="EU669" s="4"/>
      <c r="EV669" s="4"/>
      <c r="EW669" s="4"/>
      <c r="EX669" s="4"/>
      <c r="EY669" s="4"/>
      <c r="EZ669" s="4"/>
      <c r="FA669" s="4"/>
      <c r="FB669" s="4"/>
      <c r="FC669" s="4"/>
      <c r="FD669" s="4"/>
      <c r="FE669" s="4"/>
      <c r="FF669" s="4"/>
      <c r="FG669" s="4"/>
      <c r="FH669" s="4"/>
      <c r="FI669" s="4"/>
      <c r="FJ669" s="4"/>
      <c r="FK669" s="4"/>
      <c r="FL669" s="4"/>
      <c r="FM669" s="4"/>
      <c r="FN669" s="4"/>
      <c r="FO669" s="4"/>
      <c r="FP669" s="4"/>
      <c r="FQ669" s="4"/>
      <c r="FR669" s="4"/>
      <c r="FS669" s="4"/>
      <c r="FT669" s="4"/>
      <c r="FU669" s="4"/>
      <c r="FV669" s="4"/>
      <c r="FW669" s="4"/>
      <c r="FX669" s="4"/>
      <c r="FY669" s="4"/>
      <c r="FZ669" s="4"/>
      <c r="GA669" s="4"/>
      <c r="GB669" s="4"/>
      <c r="GC669" s="4"/>
      <c r="GD669" s="4"/>
      <c r="GE669" s="4"/>
      <c r="GF669" s="4"/>
      <c r="GG669" s="4"/>
      <c r="GH669" s="4"/>
      <c r="GI669" s="4"/>
      <c r="GJ669" s="4"/>
      <c r="GK669" s="4"/>
      <c r="GL669" s="4"/>
      <c r="GM669" s="4"/>
      <c r="GN669" s="4"/>
      <c r="GO669" s="4"/>
      <c r="GP669" s="4"/>
      <c r="GQ669" s="4"/>
      <c r="GR669" s="4"/>
      <c r="GS669" s="4"/>
      <c r="GT669" s="4"/>
      <c r="GU669" s="4"/>
      <c r="GV669" s="4"/>
      <c r="GW669" s="4"/>
      <c r="GX669" s="4"/>
      <c r="GY669" s="4"/>
      <c r="GZ669" s="4"/>
      <c r="HA669" s="4"/>
      <c r="HB669" s="4"/>
      <c r="HC669" s="4"/>
      <c r="HD669" s="4"/>
      <c r="HE669" s="4"/>
      <c r="HF669" s="4"/>
      <c r="HG669" s="4"/>
      <c r="HH669" s="4"/>
      <c r="HI669" s="4"/>
      <c r="HJ669" s="4"/>
    </row>
    <row r="670" spans="1:218" hidden="1">
      <c r="A670" t="s">
        <v>3061</v>
      </c>
      <c r="B670" t="s">
        <v>3062</v>
      </c>
      <c r="C670" t="s">
        <v>489</v>
      </c>
      <c r="D670" t="s">
        <v>490</v>
      </c>
      <c r="E670" t="s">
        <v>490</v>
      </c>
      <c r="F670" s="3">
        <v>1</v>
      </c>
      <c r="G670" s="12">
        <f t="shared" si="20"/>
        <v>1.89</v>
      </c>
      <c r="H670" s="12" t="e">
        <f t="shared" si="21"/>
        <v>#NUM!</v>
      </c>
      <c r="I670" s="3">
        <v>1.8919600000000001</v>
      </c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>
        <v>1.89</v>
      </c>
      <c r="DH670" s="4"/>
      <c r="DI670" s="4"/>
      <c r="DJ670" s="4"/>
      <c r="DK670" s="4"/>
      <c r="DL670" s="4"/>
      <c r="DM670" s="4"/>
      <c r="DN670" s="4"/>
      <c r="DO670" s="4"/>
      <c r="DP670" s="4"/>
      <c r="DQ670" s="4"/>
      <c r="DR670" s="4"/>
      <c r="DS670" s="4"/>
      <c r="DT670" s="4"/>
      <c r="DU670" s="4"/>
      <c r="DV670" s="4"/>
      <c r="DW670" s="4"/>
      <c r="DX670" s="4"/>
      <c r="DY670" s="4"/>
      <c r="DZ670" s="4"/>
      <c r="EA670" s="4"/>
      <c r="EB670" s="4"/>
      <c r="EC670" s="4"/>
      <c r="ED670" s="4"/>
      <c r="EE670" s="4"/>
      <c r="EF670" s="4"/>
      <c r="EG670" s="4"/>
      <c r="EH670" s="4"/>
      <c r="EI670" s="4"/>
      <c r="EJ670" s="4"/>
      <c r="EK670" s="4"/>
      <c r="EL670" s="4"/>
      <c r="EM670" s="4"/>
      <c r="EN670" s="4"/>
      <c r="EO670" s="4"/>
      <c r="EP670" s="4"/>
      <c r="EQ670" s="4"/>
      <c r="ER670" s="4"/>
      <c r="ES670" s="4"/>
      <c r="ET670" s="4"/>
      <c r="EU670" s="4"/>
      <c r="EV670" s="4"/>
      <c r="EW670" s="4"/>
      <c r="EX670" s="4"/>
      <c r="EY670" s="4"/>
      <c r="EZ670" s="4"/>
      <c r="FA670" s="4"/>
      <c r="FB670" s="4"/>
      <c r="FC670" s="4"/>
      <c r="FD670" s="4"/>
      <c r="FE670" s="4"/>
      <c r="FF670" s="4"/>
      <c r="FG670" s="4"/>
      <c r="FH670" s="4"/>
      <c r="FI670" s="4"/>
      <c r="FJ670" s="4"/>
      <c r="FK670" s="4"/>
      <c r="FL670" s="4"/>
      <c r="FM670" s="4"/>
      <c r="FN670" s="4"/>
      <c r="FO670" s="4"/>
      <c r="FP670" s="4"/>
      <c r="FQ670" s="4"/>
      <c r="FR670" s="4"/>
      <c r="FS670" s="4"/>
      <c r="FT670" s="4"/>
      <c r="FU670" s="4"/>
      <c r="FV670" s="4"/>
      <c r="FW670" s="4"/>
      <c r="FX670" s="4"/>
      <c r="FY670" s="4"/>
      <c r="FZ670" s="4"/>
      <c r="GA670" s="4"/>
      <c r="GB670" s="4"/>
      <c r="GC670" s="4"/>
      <c r="GD670" s="4"/>
      <c r="GE670" s="4"/>
      <c r="GF670" s="4"/>
      <c r="GG670" s="4"/>
      <c r="GH670" s="4"/>
      <c r="GI670" s="4"/>
      <c r="GJ670" s="4"/>
      <c r="GK670" s="4"/>
      <c r="GL670" s="4"/>
      <c r="GM670" s="4"/>
      <c r="GN670" s="4"/>
      <c r="GO670" s="4"/>
      <c r="GP670" s="4"/>
      <c r="GQ670" s="4"/>
      <c r="GR670" s="4"/>
      <c r="GS670" s="4"/>
      <c r="GT670" s="4"/>
      <c r="GU670" s="4"/>
      <c r="GV670" s="4"/>
      <c r="GW670" s="4"/>
      <c r="GX670" s="4"/>
      <c r="GY670" s="4"/>
      <c r="GZ670" s="4"/>
      <c r="HA670" s="4"/>
      <c r="HB670" s="4"/>
      <c r="HC670" s="4"/>
      <c r="HD670" s="4"/>
      <c r="HE670" s="4"/>
      <c r="HF670" s="4"/>
      <c r="HG670" s="4"/>
      <c r="HH670" s="4"/>
      <c r="HI670" s="4"/>
      <c r="HJ670" s="4"/>
    </row>
    <row r="671" spans="1:218" hidden="1">
      <c r="A671" t="s">
        <v>2384</v>
      </c>
      <c r="B671" t="s">
        <v>2385</v>
      </c>
      <c r="C671" t="s">
        <v>484</v>
      </c>
      <c r="D671" t="s">
        <v>2386</v>
      </c>
      <c r="E671" t="s">
        <v>2387</v>
      </c>
      <c r="F671" s="3">
        <v>1</v>
      </c>
      <c r="G671" s="12">
        <f t="shared" si="20"/>
        <v>3.96</v>
      </c>
      <c r="H671" s="12" t="e">
        <f t="shared" si="21"/>
        <v>#NUM!</v>
      </c>
      <c r="I671" s="3">
        <v>3.9587699999999999</v>
      </c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>
        <v>3.96</v>
      </c>
      <c r="DO671" s="4"/>
      <c r="DP671" s="4"/>
      <c r="DQ671" s="4"/>
      <c r="DR671" s="4"/>
      <c r="DS671" s="4"/>
      <c r="DT671" s="4"/>
      <c r="DU671" s="4"/>
      <c r="DV671" s="4"/>
      <c r="DW671" s="4"/>
      <c r="DX671" s="4"/>
      <c r="DY671" s="4"/>
      <c r="DZ671" s="4"/>
      <c r="EA671" s="4"/>
      <c r="EB671" s="4"/>
      <c r="EC671" s="4"/>
      <c r="ED671" s="4"/>
      <c r="EE671" s="4"/>
      <c r="EF671" s="4"/>
      <c r="EG671" s="4"/>
      <c r="EH671" s="4"/>
      <c r="EI671" s="4"/>
      <c r="EJ671" s="4"/>
      <c r="EK671" s="4"/>
      <c r="EL671" s="4"/>
      <c r="EM671" s="4"/>
      <c r="EN671" s="4"/>
      <c r="EO671" s="4"/>
      <c r="EP671" s="4"/>
      <c r="EQ671" s="4"/>
      <c r="ER671" s="4"/>
      <c r="ES671" s="4"/>
      <c r="ET671" s="4"/>
      <c r="EU671" s="4"/>
      <c r="EV671" s="4"/>
      <c r="EW671" s="4"/>
      <c r="EX671" s="4"/>
      <c r="EY671" s="4"/>
      <c r="EZ671" s="4"/>
      <c r="FA671" s="4"/>
      <c r="FB671" s="4"/>
      <c r="FC671" s="4"/>
      <c r="FD671" s="4"/>
      <c r="FE671" s="4"/>
      <c r="FF671" s="4"/>
      <c r="FG671" s="4"/>
      <c r="FH671" s="4"/>
      <c r="FI671" s="4"/>
      <c r="FJ671" s="4"/>
      <c r="FK671" s="4"/>
      <c r="FL671" s="4"/>
      <c r="FM671" s="4"/>
      <c r="FN671" s="4"/>
      <c r="FO671" s="4"/>
      <c r="FP671" s="4"/>
      <c r="FQ671" s="4"/>
      <c r="FR671" s="4"/>
      <c r="FS671" s="4"/>
      <c r="FT671" s="4"/>
      <c r="FU671" s="4"/>
      <c r="FV671" s="4"/>
      <c r="FW671" s="4"/>
      <c r="FX671" s="4"/>
      <c r="FY671" s="4"/>
      <c r="FZ671" s="4"/>
      <c r="GA671" s="4"/>
      <c r="GB671" s="4"/>
      <c r="GC671" s="4"/>
      <c r="GD671" s="4"/>
      <c r="GE671" s="4"/>
      <c r="GF671" s="4"/>
      <c r="GG671" s="4"/>
      <c r="GH671" s="4"/>
      <c r="GI671" s="4"/>
      <c r="GJ671" s="4"/>
      <c r="GK671" s="4"/>
      <c r="GL671" s="4"/>
      <c r="GM671" s="4"/>
      <c r="GN671" s="4"/>
      <c r="GO671" s="4"/>
      <c r="GP671" s="4"/>
      <c r="GQ671" s="4"/>
      <c r="GR671" s="4"/>
      <c r="GS671" s="4"/>
      <c r="GT671" s="4"/>
      <c r="GU671" s="4"/>
      <c r="GV671" s="4"/>
      <c r="GW671" s="4"/>
      <c r="GX671" s="4"/>
      <c r="GY671" s="4"/>
      <c r="GZ671" s="4"/>
      <c r="HA671" s="4"/>
      <c r="HB671" s="4"/>
      <c r="HC671" s="4"/>
      <c r="HD671" s="4"/>
      <c r="HE671" s="4"/>
      <c r="HF671" s="4"/>
      <c r="HG671" s="4"/>
      <c r="HH671" s="4"/>
      <c r="HI671" s="4"/>
      <c r="HJ671" s="4"/>
    </row>
    <row r="672" spans="1:218" hidden="1">
      <c r="A672" t="s">
        <v>2647</v>
      </c>
      <c r="B672" t="s">
        <v>2648</v>
      </c>
      <c r="C672" t="s">
        <v>489</v>
      </c>
      <c r="D672" t="s">
        <v>490</v>
      </c>
      <c r="E672" t="s">
        <v>490</v>
      </c>
      <c r="F672" s="3">
        <v>1</v>
      </c>
      <c r="G672" s="12">
        <f t="shared" si="20"/>
        <v>3.27</v>
      </c>
      <c r="H672" s="12" t="e">
        <f t="shared" si="21"/>
        <v>#NUM!</v>
      </c>
      <c r="I672" s="3">
        <v>3.2710097999999999</v>
      </c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  <c r="DQ672" s="4"/>
      <c r="DR672" s="4"/>
      <c r="DS672" s="4"/>
      <c r="DT672" s="4"/>
      <c r="DU672" s="4"/>
      <c r="DV672" s="4"/>
      <c r="DW672" s="4"/>
      <c r="DX672" s="4"/>
      <c r="DY672" s="4"/>
      <c r="DZ672" s="4"/>
      <c r="EA672" s="4"/>
      <c r="EB672" s="4"/>
      <c r="EC672" s="4"/>
      <c r="ED672" s="4"/>
      <c r="EE672" s="4"/>
      <c r="EF672" s="4"/>
      <c r="EG672" s="4"/>
      <c r="EH672" s="4"/>
      <c r="EI672" s="4"/>
      <c r="EJ672" s="4"/>
      <c r="EK672" s="4"/>
      <c r="EL672" s="4"/>
      <c r="EM672" s="4"/>
      <c r="EN672" s="4"/>
      <c r="EO672" s="4"/>
      <c r="EP672" s="4"/>
      <c r="EQ672" s="4"/>
      <c r="ER672" s="4"/>
      <c r="ES672" s="4"/>
      <c r="ET672" s="4"/>
      <c r="EU672" s="4"/>
      <c r="EV672" s="4"/>
      <c r="EW672" s="4"/>
      <c r="EX672" s="4"/>
      <c r="EY672" s="4"/>
      <c r="EZ672" s="4"/>
      <c r="FA672" s="4"/>
      <c r="FB672" s="4"/>
      <c r="FC672" s="4"/>
      <c r="FD672" s="4"/>
      <c r="FE672" s="4"/>
      <c r="FF672" s="4"/>
      <c r="FG672" s="4"/>
      <c r="FH672" s="4"/>
      <c r="FI672" s="4"/>
      <c r="FJ672" s="4"/>
      <c r="FK672" s="4"/>
      <c r="FL672" s="4">
        <v>3.27</v>
      </c>
      <c r="FM672" s="4"/>
      <c r="FN672" s="4"/>
      <c r="FO672" s="4"/>
      <c r="FP672" s="4"/>
      <c r="FQ672" s="4"/>
      <c r="FR672" s="4"/>
      <c r="FS672" s="4"/>
      <c r="FT672" s="4"/>
      <c r="FU672" s="4"/>
      <c r="FV672" s="4"/>
      <c r="FW672" s="4"/>
      <c r="FX672" s="4"/>
      <c r="FY672" s="4"/>
      <c r="FZ672" s="4"/>
      <c r="GA672" s="4"/>
      <c r="GB672" s="4"/>
      <c r="GC672" s="4"/>
      <c r="GD672" s="4"/>
      <c r="GE672" s="4"/>
      <c r="GF672" s="4"/>
      <c r="GG672" s="4"/>
      <c r="GH672" s="4"/>
      <c r="GI672" s="4"/>
      <c r="GJ672" s="4"/>
      <c r="GK672" s="4"/>
      <c r="GL672" s="4"/>
      <c r="GM672" s="4"/>
      <c r="GN672" s="4"/>
      <c r="GO672" s="4"/>
      <c r="GP672" s="4"/>
      <c r="GQ672" s="4"/>
      <c r="GR672" s="4"/>
      <c r="GS672" s="4"/>
      <c r="GT672" s="4"/>
      <c r="GU672" s="4"/>
      <c r="GV672" s="4"/>
      <c r="GW672" s="4"/>
      <c r="GX672" s="4"/>
      <c r="GY672" s="4"/>
      <c r="GZ672" s="4"/>
      <c r="HA672" s="4"/>
      <c r="HB672" s="4"/>
      <c r="HC672" s="4"/>
      <c r="HD672" s="4"/>
      <c r="HE672" s="4"/>
      <c r="HF672" s="4"/>
      <c r="HG672" s="4"/>
      <c r="HH672" s="4"/>
      <c r="HI672" s="4"/>
      <c r="HJ672" s="4"/>
    </row>
    <row r="673" spans="1:218" hidden="1">
      <c r="A673" t="s">
        <v>2673</v>
      </c>
      <c r="B673" t="s">
        <v>2674</v>
      </c>
      <c r="C673" t="s">
        <v>489</v>
      </c>
      <c r="D673" t="s">
        <v>490</v>
      </c>
      <c r="E673" t="s">
        <v>490</v>
      </c>
      <c r="F673" s="3">
        <v>1</v>
      </c>
      <c r="G673" s="12">
        <f t="shared" si="20"/>
        <v>3.16</v>
      </c>
      <c r="H673" s="12" t="e">
        <f t="shared" si="21"/>
        <v>#NUM!</v>
      </c>
      <c r="I673" s="3">
        <v>3.1562399999999999</v>
      </c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>
        <v>3.16</v>
      </c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  <c r="DQ673" s="4"/>
      <c r="DR673" s="4"/>
      <c r="DS673" s="4"/>
      <c r="DT673" s="4"/>
      <c r="DU673" s="4"/>
      <c r="DV673" s="4"/>
      <c r="DW673" s="4"/>
      <c r="DX673" s="4"/>
      <c r="DY673" s="4"/>
      <c r="DZ673" s="4"/>
      <c r="EA673" s="4"/>
      <c r="EB673" s="4"/>
      <c r="EC673" s="4"/>
      <c r="ED673" s="4"/>
      <c r="EE673" s="4"/>
      <c r="EF673" s="4"/>
      <c r="EG673" s="4"/>
      <c r="EH673" s="4"/>
      <c r="EI673" s="4"/>
      <c r="EJ673" s="4"/>
      <c r="EK673" s="4"/>
      <c r="EL673" s="4"/>
      <c r="EM673" s="4"/>
      <c r="EN673" s="4"/>
      <c r="EO673" s="4"/>
      <c r="EP673" s="4"/>
      <c r="EQ673" s="4"/>
      <c r="ER673" s="4"/>
      <c r="ES673" s="4"/>
      <c r="ET673" s="4"/>
      <c r="EU673" s="4"/>
      <c r="EV673" s="4"/>
      <c r="EW673" s="4"/>
      <c r="EX673" s="4"/>
      <c r="EY673" s="4"/>
      <c r="EZ673" s="4"/>
      <c r="FA673" s="4"/>
      <c r="FB673" s="4"/>
      <c r="FC673" s="4"/>
      <c r="FD673" s="4"/>
      <c r="FE673" s="4"/>
      <c r="FF673" s="4"/>
      <c r="FG673" s="4"/>
      <c r="FH673" s="4"/>
      <c r="FI673" s="4"/>
      <c r="FJ673" s="4"/>
      <c r="FK673" s="4"/>
      <c r="FL673" s="4"/>
      <c r="FM673" s="4"/>
      <c r="FN673" s="4"/>
      <c r="FO673" s="4"/>
      <c r="FP673" s="4"/>
      <c r="FQ673" s="4"/>
      <c r="FR673" s="4"/>
      <c r="FS673" s="4"/>
      <c r="FT673" s="4"/>
      <c r="FU673" s="4"/>
      <c r="FV673" s="4"/>
      <c r="FW673" s="4"/>
      <c r="FX673" s="4"/>
      <c r="FY673" s="4"/>
      <c r="FZ673" s="4"/>
      <c r="GA673" s="4"/>
      <c r="GB673" s="4"/>
      <c r="GC673" s="4"/>
      <c r="GD673" s="4"/>
      <c r="GE673" s="4"/>
      <c r="GF673" s="4"/>
      <c r="GG673" s="4"/>
      <c r="GH673" s="4"/>
      <c r="GI673" s="4"/>
      <c r="GJ673" s="4"/>
      <c r="GK673" s="4"/>
      <c r="GL673" s="4"/>
      <c r="GM673" s="4"/>
      <c r="GN673" s="4"/>
      <c r="GO673" s="4"/>
      <c r="GP673" s="4"/>
      <c r="GQ673" s="4"/>
      <c r="GR673" s="4"/>
      <c r="GS673" s="4"/>
      <c r="GT673" s="4"/>
      <c r="GU673" s="4"/>
      <c r="GV673" s="4"/>
      <c r="GW673" s="4"/>
      <c r="GX673" s="4"/>
      <c r="GY673" s="4"/>
      <c r="GZ673" s="4"/>
      <c r="HA673" s="4"/>
      <c r="HB673" s="4"/>
      <c r="HC673" s="4"/>
      <c r="HD673" s="4"/>
      <c r="HE673" s="4"/>
      <c r="HF673" s="4"/>
      <c r="HG673" s="4"/>
      <c r="HH673" s="4"/>
      <c r="HI673" s="4"/>
      <c r="HJ673" s="4"/>
    </row>
    <row r="674" spans="1:218" hidden="1">
      <c r="A674" t="s">
        <v>2541</v>
      </c>
      <c r="B674" t="s">
        <v>2542</v>
      </c>
      <c r="C674" t="s">
        <v>489</v>
      </c>
      <c r="D674" t="s">
        <v>490</v>
      </c>
      <c r="E674" t="s">
        <v>490</v>
      </c>
      <c r="F674" s="3">
        <v>1</v>
      </c>
      <c r="G674" s="12">
        <f t="shared" si="20"/>
        <v>3.55</v>
      </c>
      <c r="H674" s="12" t="e">
        <f t="shared" si="21"/>
        <v>#NUM!</v>
      </c>
      <c r="I674" s="3">
        <v>3.5519197999999998</v>
      </c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>
        <v>3.55</v>
      </c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  <c r="DQ674" s="4"/>
      <c r="DR674" s="4"/>
      <c r="DS674" s="4"/>
      <c r="DT674" s="4"/>
      <c r="DU674" s="4"/>
      <c r="DV674" s="4"/>
      <c r="DW674" s="4"/>
      <c r="DX674" s="4"/>
      <c r="DY674" s="4"/>
      <c r="DZ674" s="4"/>
      <c r="EA674" s="4"/>
      <c r="EB674" s="4"/>
      <c r="EC674" s="4"/>
      <c r="ED674" s="4"/>
      <c r="EE674" s="4"/>
      <c r="EF674" s="4"/>
      <c r="EG674" s="4"/>
      <c r="EH674" s="4"/>
      <c r="EI674" s="4"/>
      <c r="EJ674" s="4"/>
      <c r="EK674" s="4"/>
      <c r="EL674" s="4"/>
      <c r="EM674" s="4"/>
      <c r="EN674" s="4"/>
      <c r="EO674" s="4"/>
      <c r="EP674" s="4"/>
      <c r="EQ674" s="4"/>
      <c r="ER674" s="4"/>
      <c r="ES674" s="4"/>
      <c r="ET674" s="4"/>
      <c r="EU674" s="4"/>
      <c r="EV674" s="4"/>
      <c r="EW674" s="4"/>
      <c r="EX674" s="4"/>
      <c r="EY674" s="4"/>
      <c r="EZ674" s="4"/>
      <c r="FA674" s="4"/>
      <c r="FB674" s="4"/>
      <c r="FC674" s="4"/>
      <c r="FD674" s="4"/>
      <c r="FE674" s="4"/>
      <c r="FF674" s="4"/>
      <c r="FG674" s="4"/>
      <c r="FH674" s="4"/>
      <c r="FI674" s="4"/>
      <c r="FJ674" s="4"/>
      <c r="FK674" s="4"/>
      <c r="FL674" s="4"/>
      <c r="FM674" s="4"/>
      <c r="FN674" s="4"/>
      <c r="FO674" s="4"/>
      <c r="FP674" s="4"/>
      <c r="FQ674" s="4"/>
      <c r="FR674" s="4"/>
      <c r="FS674" s="4"/>
      <c r="FT674" s="4"/>
      <c r="FU674" s="4"/>
      <c r="FV674" s="4"/>
      <c r="FW674" s="4"/>
      <c r="FX674" s="4"/>
      <c r="FY674" s="4"/>
      <c r="FZ674" s="4"/>
      <c r="GA674" s="4"/>
      <c r="GB674" s="4"/>
      <c r="GC674" s="4"/>
      <c r="GD674" s="4"/>
      <c r="GE674" s="4"/>
      <c r="GF674" s="4"/>
      <c r="GG674" s="4"/>
      <c r="GH674" s="4"/>
      <c r="GI674" s="4"/>
      <c r="GJ674" s="4"/>
      <c r="GK674" s="4"/>
      <c r="GL674" s="4"/>
      <c r="GM674" s="4"/>
      <c r="GN674" s="4"/>
      <c r="GO674" s="4"/>
      <c r="GP674" s="4"/>
      <c r="GQ674" s="4"/>
      <c r="GR674" s="4"/>
      <c r="GS674" s="4"/>
      <c r="GT674" s="4"/>
      <c r="GU674" s="4"/>
      <c r="GV674" s="4"/>
      <c r="GW674" s="4"/>
      <c r="GX674" s="4"/>
      <c r="GY674" s="4"/>
      <c r="GZ674" s="4"/>
      <c r="HA674" s="4"/>
      <c r="HB674" s="4"/>
      <c r="HC674" s="4"/>
      <c r="HD674" s="4"/>
      <c r="HE674" s="4"/>
      <c r="HF674" s="4"/>
      <c r="HG674" s="4"/>
      <c r="HH674" s="4"/>
      <c r="HI674" s="4"/>
      <c r="HJ674" s="4"/>
    </row>
    <row r="675" spans="1:218" hidden="1">
      <c r="A675" t="s">
        <v>1673</v>
      </c>
      <c r="B675" t="s">
        <v>1674</v>
      </c>
      <c r="C675" t="s">
        <v>489</v>
      </c>
      <c r="D675" t="s">
        <v>490</v>
      </c>
      <c r="E675" t="s">
        <v>490</v>
      </c>
      <c r="F675" s="3">
        <v>1</v>
      </c>
      <c r="G675" s="12">
        <f t="shared" si="20"/>
        <v>10.029999999999999</v>
      </c>
      <c r="H675" s="12" t="e">
        <f t="shared" si="21"/>
        <v>#NUM!</v>
      </c>
      <c r="I675" s="3">
        <v>10.0250594</v>
      </c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  <c r="DQ675" s="4"/>
      <c r="DR675" s="4"/>
      <c r="DS675" s="4"/>
      <c r="DT675" s="4"/>
      <c r="DU675" s="4"/>
      <c r="DV675" s="4"/>
      <c r="DW675" s="4"/>
      <c r="DX675" s="4"/>
      <c r="DY675" s="4"/>
      <c r="DZ675" s="4"/>
      <c r="EA675" s="4"/>
      <c r="EB675" s="4"/>
      <c r="EC675" s="4"/>
      <c r="ED675" s="4"/>
      <c r="EE675" s="4"/>
      <c r="EF675" s="4"/>
      <c r="EG675" s="4"/>
      <c r="EH675" s="4"/>
      <c r="EI675" s="4"/>
      <c r="EJ675" s="4"/>
      <c r="EK675" s="4"/>
      <c r="EL675" s="4"/>
      <c r="EM675" s="4"/>
      <c r="EN675" s="4"/>
      <c r="EO675" s="4"/>
      <c r="EP675" s="4"/>
      <c r="EQ675" s="4"/>
      <c r="ER675" s="4"/>
      <c r="ES675" s="4"/>
      <c r="ET675" s="4"/>
      <c r="EU675" s="4"/>
      <c r="EV675" s="4"/>
      <c r="EW675" s="4"/>
      <c r="EX675" s="4"/>
      <c r="EY675" s="4"/>
      <c r="EZ675" s="4"/>
      <c r="FA675" s="4"/>
      <c r="FB675" s="4"/>
      <c r="FC675" s="4"/>
      <c r="FD675" s="4"/>
      <c r="FE675" s="4"/>
      <c r="FF675" s="4"/>
      <c r="FG675" s="4"/>
      <c r="FH675" s="4"/>
      <c r="FI675" s="4"/>
      <c r="FJ675" s="4"/>
      <c r="FK675" s="4"/>
      <c r="FL675" s="4"/>
      <c r="FM675" s="4"/>
      <c r="FN675" s="4"/>
      <c r="FO675" s="4"/>
      <c r="FP675" s="4"/>
      <c r="FQ675" s="4"/>
      <c r="FR675" s="4"/>
      <c r="FS675" s="4"/>
      <c r="FT675" s="4"/>
      <c r="FU675" s="4"/>
      <c r="FV675" s="4"/>
      <c r="FW675" s="4"/>
      <c r="FX675" s="4"/>
      <c r="FY675" s="4"/>
      <c r="FZ675" s="4"/>
      <c r="GA675" s="4"/>
      <c r="GB675" s="4"/>
      <c r="GC675" s="4"/>
      <c r="GD675" s="4"/>
      <c r="GE675" s="4"/>
      <c r="GF675" s="4"/>
      <c r="GG675" s="4"/>
      <c r="GH675" s="4"/>
      <c r="GI675" s="4"/>
      <c r="GJ675" s="4"/>
      <c r="GK675" s="4"/>
      <c r="GL675" s="4"/>
      <c r="GM675" s="4">
        <v>10.029999999999999</v>
      </c>
      <c r="GN675" s="4"/>
      <c r="GO675" s="4"/>
      <c r="GP675" s="4"/>
      <c r="GQ675" s="4"/>
      <c r="GR675" s="4"/>
      <c r="GS675" s="4"/>
      <c r="GT675" s="4"/>
      <c r="GU675" s="4"/>
      <c r="GV675" s="4"/>
      <c r="GW675" s="4"/>
      <c r="GX675" s="4"/>
      <c r="GY675" s="4"/>
      <c r="GZ675" s="4"/>
      <c r="HA675" s="4"/>
      <c r="HB675" s="4"/>
      <c r="HC675" s="4"/>
      <c r="HD675" s="4"/>
      <c r="HE675" s="4"/>
      <c r="HF675" s="4"/>
      <c r="HG675" s="4"/>
      <c r="HH675" s="4"/>
      <c r="HI675" s="4"/>
      <c r="HJ675" s="4"/>
    </row>
    <row r="676" spans="1:218" hidden="1">
      <c r="A676" t="s">
        <v>2832</v>
      </c>
      <c r="B676" t="s">
        <v>2833</v>
      </c>
      <c r="C676" t="s">
        <v>489</v>
      </c>
      <c r="D676" t="s">
        <v>490</v>
      </c>
      <c r="E676" t="s">
        <v>490</v>
      </c>
      <c r="F676" s="3">
        <v>1</v>
      </c>
      <c r="G676" s="12">
        <f t="shared" si="20"/>
        <v>2.7</v>
      </c>
      <c r="H676" s="12" t="e">
        <f t="shared" si="21"/>
        <v>#NUM!</v>
      </c>
      <c r="I676" s="3">
        <v>2.7040801999999999</v>
      </c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  <c r="DQ676" s="4"/>
      <c r="DR676" s="4"/>
      <c r="DS676" s="4"/>
      <c r="DT676" s="4"/>
      <c r="DU676" s="4"/>
      <c r="DV676" s="4"/>
      <c r="DW676" s="4"/>
      <c r="DX676" s="4"/>
      <c r="DY676" s="4"/>
      <c r="DZ676" s="4"/>
      <c r="EA676" s="4"/>
      <c r="EB676" s="4"/>
      <c r="EC676" s="4"/>
      <c r="ED676" s="4"/>
      <c r="EE676" s="4"/>
      <c r="EF676" s="4"/>
      <c r="EG676" s="4"/>
      <c r="EH676" s="4"/>
      <c r="EI676" s="4"/>
      <c r="EJ676" s="4">
        <v>2.7</v>
      </c>
      <c r="EK676" s="4"/>
      <c r="EL676" s="4"/>
      <c r="EM676" s="4"/>
      <c r="EN676" s="4"/>
      <c r="EO676" s="4"/>
      <c r="EP676" s="4"/>
      <c r="EQ676" s="4"/>
      <c r="ER676" s="4"/>
      <c r="ES676" s="4"/>
      <c r="ET676" s="4"/>
      <c r="EU676" s="4"/>
      <c r="EV676" s="4"/>
      <c r="EW676" s="4"/>
      <c r="EX676" s="4"/>
      <c r="EY676" s="4"/>
      <c r="EZ676" s="4"/>
      <c r="FA676" s="4"/>
      <c r="FB676" s="4"/>
      <c r="FC676" s="4"/>
      <c r="FD676" s="4"/>
      <c r="FE676" s="4"/>
      <c r="FF676" s="4"/>
      <c r="FG676" s="4"/>
      <c r="FH676" s="4"/>
      <c r="FI676" s="4"/>
      <c r="FJ676" s="4"/>
      <c r="FK676" s="4"/>
      <c r="FL676" s="4"/>
      <c r="FM676" s="4"/>
      <c r="FN676" s="4"/>
      <c r="FO676" s="4"/>
      <c r="FP676" s="4"/>
      <c r="FQ676" s="4"/>
      <c r="FR676" s="4"/>
      <c r="FS676" s="4"/>
      <c r="FT676" s="4"/>
      <c r="FU676" s="4"/>
      <c r="FV676" s="4"/>
      <c r="FW676" s="4"/>
      <c r="FX676" s="4"/>
      <c r="FY676" s="4"/>
      <c r="FZ676" s="4"/>
      <c r="GA676" s="4"/>
      <c r="GB676" s="4"/>
      <c r="GC676" s="4"/>
      <c r="GD676" s="4"/>
      <c r="GE676" s="4"/>
      <c r="GF676" s="4"/>
      <c r="GG676" s="4"/>
      <c r="GH676" s="4"/>
      <c r="GI676" s="4"/>
      <c r="GJ676" s="4"/>
      <c r="GK676" s="4"/>
      <c r="GL676" s="4"/>
      <c r="GM676" s="4"/>
      <c r="GN676" s="4"/>
      <c r="GO676" s="4"/>
      <c r="GP676" s="4"/>
      <c r="GQ676" s="4"/>
      <c r="GR676" s="4"/>
      <c r="GS676" s="4"/>
      <c r="GT676" s="4"/>
      <c r="GU676" s="4"/>
      <c r="GV676" s="4"/>
      <c r="GW676" s="4"/>
      <c r="GX676" s="4"/>
      <c r="GY676" s="4"/>
      <c r="GZ676" s="4"/>
      <c r="HA676" s="4"/>
      <c r="HB676" s="4"/>
      <c r="HC676" s="4"/>
      <c r="HD676" s="4"/>
      <c r="HE676" s="4"/>
      <c r="HF676" s="4"/>
      <c r="HG676" s="4"/>
      <c r="HH676" s="4"/>
      <c r="HI676" s="4"/>
      <c r="HJ676" s="4"/>
    </row>
    <row r="677" spans="1:218" hidden="1">
      <c r="A677" t="s">
        <v>2329</v>
      </c>
      <c r="B677" t="s">
        <v>2330</v>
      </c>
      <c r="C677" t="s">
        <v>489</v>
      </c>
      <c r="D677" t="s">
        <v>490</v>
      </c>
      <c r="E677" t="s">
        <v>490</v>
      </c>
      <c r="F677" s="3">
        <v>1</v>
      </c>
      <c r="G677" s="12">
        <f t="shared" si="20"/>
        <v>4.09</v>
      </c>
      <c r="H677" s="12" t="e">
        <f t="shared" si="21"/>
        <v>#NUM!</v>
      </c>
      <c r="I677" s="3">
        <v>4.0879595999999996</v>
      </c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  <c r="DQ677" s="4"/>
      <c r="DR677" s="4"/>
      <c r="DS677" s="4"/>
      <c r="DT677" s="4"/>
      <c r="DU677" s="4"/>
      <c r="DV677" s="4"/>
      <c r="DW677" s="4"/>
      <c r="DX677" s="4"/>
      <c r="DY677" s="4"/>
      <c r="DZ677" s="4"/>
      <c r="EA677" s="4"/>
      <c r="EB677" s="4"/>
      <c r="EC677" s="4"/>
      <c r="ED677" s="4"/>
      <c r="EE677" s="4"/>
      <c r="EF677" s="4"/>
      <c r="EG677" s="4"/>
      <c r="EH677" s="4"/>
      <c r="EI677" s="4"/>
      <c r="EJ677" s="4"/>
      <c r="EK677" s="4"/>
      <c r="EL677" s="4"/>
      <c r="EM677" s="4"/>
      <c r="EN677" s="4"/>
      <c r="EO677" s="4"/>
      <c r="EP677" s="4"/>
      <c r="EQ677" s="4"/>
      <c r="ER677" s="4"/>
      <c r="ES677" s="4"/>
      <c r="ET677" s="4"/>
      <c r="EU677" s="4"/>
      <c r="EV677" s="4"/>
      <c r="EW677" s="4"/>
      <c r="EX677" s="4"/>
      <c r="EY677" s="4"/>
      <c r="EZ677" s="4"/>
      <c r="FA677" s="4"/>
      <c r="FB677" s="4"/>
      <c r="FC677" s="4"/>
      <c r="FD677" s="4"/>
      <c r="FE677" s="4"/>
      <c r="FF677" s="4"/>
      <c r="FG677" s="4"/>
      <c r="FH677" s="4"/>
      <c r="FI677" s="4"/>
      <c r="FJ677" s="4"/>
      <c r="FK677" s="4"/>
      <c r="FL677" s="4"/>
      <c r="FM677" s="4"/>
      <c r="FN677" s="4"/>
      <c r="FO677" s="4"/>
      <c r="FP677" s="4"/>
      <c r="FQ677" s="4"/>
      <c r="FR677" s="4"/>
      <c r="FS677" s="4"/>
      <c r="FT677" s="4"/>
      <c r="FU677" s="4"/>
      <c r="FV677" s="4"/>
      <c r="FW677" s="4"/>
      <c r="FX677" s="4"/>
      <c r="FY677" s="4"/>
      <c r="FZ677" s="4"/>
      <c r="GA677" s="4"/>
      <c r="GB677" s="4"/>
      <c r="GC677" s="4"/>
      <c r="GD677" s="4"/>
      <c r="GE677" s="4"/>
      <c r="GF677" s="4"/>
      <c r="GG677" s="4"/>
      <c r="GH677" s="4"/>
      <c r="GI677" s="4"/>
      <c r="GJ677" s="4"/>
      <c r="GK677" s="4"/>
      <c r="GL677" s="4"/>
      <c r="GM677" s="4"/>
      <c r="GN677" s="4"/>
      <c r="GO677" s="4"/>
      <c r="GP677" s="4"/>
      <c r="GQ677" s="4"/>
      <c r="GR677" s="4"/>
      <c r="GS677" s="4"/>
      <c r="GT677" s="4"/>
      <c r="GU677" s="4"/>
      <c r="GV677" s="4"/>
      <c r="GW677" s="4"/>
      <c r="GX677" s="4"/>
      <c r="GY677" s="4"/>
      <c r="GZ677" s="4">
        <v>4.09</v>
      </c>
      <c r="HA677" s="4"/>
      <c r="HB677" s="4"/>
      <c r="HC677" s="4"/>
      <c r="HD677" s="4"/>
      <c r="HE677" s="4"/>
      <c r="HF677" s="4"/>
      <c r="HG677" s="4"/>
      <c r="HH677" s="4"/>
      <c r="HI677" s="4"/>
      <c r="HJ677" s="4"/>
    </row>
    <row r="678" spans="1:218" hidden="1">
      <c r="A678" t="s">
        <v>2337</v>
      </c>
      <c r="B678" t="s">
        <v>2338</v>
      </c>
      <c r="C678" t="s">
        <v>489</v>
      </c>
      <c r="D678" t="s">
        <v>490</v>
      </c>
      <c r="E678" t="s">
        <v>490</v>
      </c>
      <c r="F678" s="3">
        <v>1</v>
      </c>
      <c r="G678" s="12">
        <f t="shared" si="20"/>
        <v>4.07</v>
      </c>
      <c r="H678" s="12" t="e">
        <f t="shared" si="21"/>
        <v>#NUM!</v>
      </c>
      <c r="I678" s="3">
        <v>4.0710499999999996</v>
      </c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  <c r="DQ678" s="4"/>
      <c r="DR678" s="4"/>
      <c r="DS678" s="4"/>
      <c r="DT678" s="4"/>
      <c r="DU678" s="4"/>
      <c r="DV678" s="4"/>
      <c r="DW678" s="4"/>
      <c r="DX678" s="4"/>
      <c r="DY678" s="4"/>
      <c r="DZ678" s="4"/>
      <c r="EA678" s="4"/>
      <c r="EB678" s="4"/>
      <c r="EC678" s="4"/>
      <c r="ED678" s="4">
        <v>4.07</v>
      </c>
      <c r="EE678" s="4"/>
      <c r="EF678" s="4"/>
      <c r="EG678" s="4"/>
      <c r="EH678" s="4"/>
      <c r="EI678" s="4"/>
      <c r="EJ678" s="4"/>
      <c r="EK678" s="4"/>
      <c r="EL678" s="4"/>
      <c r="EM678" s="4"/>
      <c r="EN678" s="4"/>
      <c r="EO678" s="4"/>
      <c r="EP678" s="4"/>
      <c r="EQ678" s="4"/>
      <c r="ER678" s="4"/>
      <c r="ES678" s="4"/>
      <c r="ET678" s="4"/>
      <c r="EU678" s="4"/>
      <c r="EV678" s="4"/>
      <c r="EW678" s="4"/>
      <c r="EX678" s="4"/>
      <c r="EY678" s="4"/>
      <c r="EZ678" s="4"/>
      <c r="FA678" s="4"/>
      <c r="FB678" s="4"/>
      <c r="FC678" s="4"/>
      <c r="FD678" s="4"/>
      <c r="FE678" s="4"/>
      <c r="FF678" s="4"/>
      <c r="FG678" s="4"/>
      <c r="FH678" s="4"/>
      <c r="FI678" s="4"/>
      <c r="FJ678" s="4"/>
      <c r="FK678" s="4"/>
      <c r="FL678" s="4"/>
      <c r="FM678" s="4"/>
      <c r="FN678" s="4"/>
      <c r="FO678" s="4"/>
      <c r="FP678" s="4"/>
      <c r="FQ678" s="4"/>
      <c r="FR678" s="4"/>
      <c r="FS678" s="4"/>
      <c r="FT678" s="4"/>
      <c r="FU678" s="4"/>
      <c r="FV678" s="4"/>
      <c r="FW678" s="4"/>
      <c r="FX678" s="4"/>
      <c r="FY678" s="4"/>
      <c r="FZ678" s="4"/>
      <c r="GA678" s="4"/>
      <c r="GB678" s="4"/>
      <c r="GC678" s="4"/>
      <c r="GD678" s="4"/>
      <c r="GE678" s="4"/>
      <c r="GF678" s="4"/>
      <c r="GG678" s="4"/>
      <c r="GH678" s="4"/>
      <c r="GI678" s="4"/>
      <c r="GJ678" s="4"/>
      <c r="GK678" s="4"/>
      <c r="GL678" s="4"/>
      <c r="GM678" s="4"/>
      <c r="GN678" s="4"/>
      <c r="GO678" s="4"/>
      <c r="GP678" s="4"/>
      <c r="GQ678" s="4"/>
      <c r="GR678" s="4"/>
      <c r="GS678" s="4"/>
      <c r="GT678" s="4"/>
      <c r="GU678" s="4"/>
      <c r="GV678" s="4"/>
      <c r="GW678" s="4"/>
      <c r="GX678" s="4"/>
      <c r="GY678" s="4"/>
      <c r="GZ678" s="4"/>
      <c r="HA678" s="4"/>
      <c r="HB678" s="4"/>
      <c r="HC678" s="4"/>
      <c r="HD678" s="4"/>
      <c r="HE678" s="4"/>
      <c r="HF678" s="4"/>
      <c r="HG678" s="4"/>
      <c r="HH678" s="4"/>
      <c r="HI678" s="4"/>
      <c r="HJ678" s="4"/>
    </row>
    <row r="679" spans="1:218" hidden="1">
      <c r="A679" t="s">
        <v>2200</v>
      </c>
      <c r="B679" t="s">
        <v>2201</v>
      </c>
      <c r="C679" t="s">
        <v>489</v>
      </c>
      <c r="D679" t="s">
        <v>490</v>
      </c>
      <c r="E679" t="s">
        <v>490</v>
      </c>
      <c r="F679" s="3">
        <v>1</v>
      </c>
      <c r="G679" s="12">
        <f t="shared" si="20"/>
        <v>4.32</v>
      </c>
      <c r="H679" s="12" t="e">
        <f t="shared" si="21"/>
        <v>#NUM!</v>
      </c>
      <c r="I679" s="3">
        <v>4.3192899999999996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>
        <v>4.32</v>
      </c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  <c r="DQ679" s="4"/>
      <c r="DR679" s="4"/>
      <c r="DS679" s="4"/>
      <c r="DT679" s="4"/>
      <c r="DU679" s="4"/>
      <c r="DV679" s="4"/>
      <c r="DW679" s="4"/>
      <c r="DX679" s="4"/>
      <c r="DY679" s="4"/>
      <c r="DZ679" s="4"/>
      <c r="EA679" s="4"/>
      <c r="EB679" s="4"/>
      <c r="EC679" s="4"/>
      <c r="ED679" s="4"/>
      <c r="EE679" s="4"/>
      <c r="EF679" s="4"/>
      <c r="EG679" s="4"/>
      <c r="EH679" s="4"/>
      <c r="EI679" s="4"/>
      <c r="EJ679" s="4"/>
      <c r="EK679" s="4"/>
      <c r="EL679" s="4"/>
      <c r="EM679" s="4"/>
      <c r="EN679" s="4"/>
      <c r="EO679" s="4"/>
      <c r="EP679" s="4"/>
      <c r="EQ679" s="4"/>
      <c r="ER679" s="4"/>
      <c r="ES679" s="4"/>
      <c r="ET679" s="4"/>
      <c r="EU679" s="4"/>
      <c r="EV679" s="4"/>
      <c r="EW679" s="4"/>
      <c r="EX679" s="4"/>
      <c r="EY679" s="4"/>
      <c r="EZ679" s="4"/>
      <c r="FA679" s="4"/>
      <c r="FB679" s="4"/>
      <c r="FC679" s="4"/>
      <c r="FD679" s="4"/>
      <c r="FE679" s="4"/>
      <c r="FF679" s="4"/>
      <c r="FG679" s="4"/>
      <c r="FH679" s="4"/>
      <c r="FI679" s="4"/>
      <c r="FJ679" s="4"/>
      <c r="FK679" s="4"/>
      <c r="FL679" s="4"/>
      <c r="FM679" s="4"/>
      <c r="FN679" s="4"/>
      <c r="FO679" s="4"/>
      <c r="FP679" s="4"/>
      <c r="FQ679" s="4"/>
      <c r="FR679" s="4"/>
      <c r="FS679" s="4"/>
      <c r="FT679" s="4"/>
      <c r="FU679" s="4"/>
      <c r="FV679" s="4"/>
      <c r="FW679" s="4"/>
      <c r="FX679" s="4"/>
      <c r="FY679" s="4"/>
      <c r="FZ679" s="4"/>
      <c r="GA679" s="4"/>
      <c r="GB679" s="4"/>
      <c r="GC679" s="4"/>
      <c r="GD679" s="4"/>
      <c r="GE679" s="4"/>
      <c r="GF679" s="4"/>
      <c r="GG679" s="4"/>
      <c r="GH679" s="4"/>
      <c r="GI679" s="4"/>
      <c r="GJ679" s="4"/>
      <c r="GK679" s="4"/>
      <c r="GL679" s="4"/>
      <c r="GM679" s="4"/>
      <c r="GN679" s="4"/>
      <c r="GO679" s="4"/>
      <c r="GP679" s="4"/>
      <c r="GQ679" s="4"/>
      <c r="GR679" s="4"/>
      <c r="GS679" s="4"/>
      <c r="GT679" s="4"/>
      <c r="GU679" s="4"/>
      <c r="GV679" s="4"/>
      <c r="GW679" s="4"/>
      <c r="GX679" s="4"/>
      <c r="GY679" s="4"/>
      <c r="GZ679" s="4"/>
      <c r="HA679" s="4"/>
      <c r="HB679" s="4"/>
      <c r="HC679" s="4"/>
      <c r="HD679" s="4"/>
      <c r="HE679" s="4"/>
      <c r="HF679" s="4"/>
      <c r="HG679" s="4"/>
      <c r="HH679" s="4"/>
      <c r="HI679" s="4"/>
      <c r="HJ679" s="4"/>
    </row>
    <row r="680" spans="1:218" hidden="1">
      <c r="A680" t="s">
        <v>3075</v>
      </c>
      <c r="B680" t="s">
        <v>3076</v>
      </c>
      <c r="C680" t="s">
        <v>489</v>
      </c>
      <c r="D680" t="s">
        <v>490</v>
      </c>
      <c r="E680" t="s">
        <v>490</v>
      </c>
      <c r="F680" s="3">
        <v>1</v>
      </c>
      <c r="G680" s="12">
        <f t="shared" si="20"/>
        <v>1.82</v>
      </c>
      <c r="H680" s="12" t="e">
        <f t="shared" si="21"/>
        <v>#NUM!</v>
      </c>
      <c r="I680" s="3">
        <v>1.8217300999999999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>
        <v>1.82</v>
      </c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  <c r="DQ680" s="4"/>
      <c r="DR680" s="4"/>
      <c r="DS680" s="4"/>
      <c r="DT680" s="4"/>
      <c r="DU680" s="4"/>
      <c r="DV680" s="4"/>
      <c r="DW680" s="4"/>
      <c r="DX680" s="4"/>
      <c r="DY680" s="4"/>
      <c r="DZ680" s="4"/>
      <c r="EA680" s="4"/>
      <c r="EB680" s="4"/>
      <c r="EC680" s="4"/>
      <c r="ED680" s="4"/>
      <c r="EE680" s="4"/>
      <c r="EF680" s="4"/>
      <c r="EG680" s="4"/>
      <c r="EH680" s="4"/>
      <c r="EI680" s="4"/>
      <c r="EJ680" s="4"/>
      <c r="EK680" s="4"/>
      <c r="EL680" s="4"/>
      <c r="EM680" s="4"/>
      <c r="EN680" s="4"/>
      <c r="EO680" s="4"/>
      <c r="EP680" s="4"/>
      <c r="EQ680" s="4"/>
      <c r="ER680" s="4"/>
      <c r="ES680" s="4"/>
      <c r="ET680" s="4"/>
      <c r="EU680" s="4"/>
      <c r="EV680" s="4"/>
      <c r="EW680" s="4"/>
      <c r="EX680" s="4"/>
      <c r="EY680" s="4"/>
      <c r="EZ680" s="4"/>
      <c r="FA680" s="4"/>
      <c r="FB680" s="4"/>
      <c r="FC680" s="4"/>
      <c r="FD680" s="4"/>
      <c r="FE680" s="4"/>
      <c r="FF680" s="4"/>
      <c r="FG680" s="4"/>
      <c r="FH680" s="4"/>
      <c r="FI680" s="4"/>
      <c r="FJ680" s="4"/>
      <c r="FK680" s="4"/>
      <c r="FL680" s="4"/>
      <c r="FM680" s="4"/>
      <c r="FN680" s="4"/>
      <c r="FO680" s="4"/>
      <c r="FP680" s="4"/>
      <c r="FQ680" s="4"/>
      <c r="FR680" s="4"/>
      <c r="FS680" s="4"/>
      <c r="FT680" s="4"/>
      <c r="FU680" s="4"/>
      <c r="FV680" s="4"/>
      <c r="FW680" s="4"/>
      <c r="FX680" s="4"/>
      <c r="FY680" s="4"/>
      <c r="FZ680" s="4"/>
      <c r="GA680" s="4"/>
      <c r="GB680" s="4"/>
      <c r="GC680" s="4"/>
      <c r="GD680" s="4"/>
      <c r="GE680" s="4"/>
      <c r="GF680" s="4"/>
      <c r="GG680" s="4"/>
      <c r="GH680" s="4"/>
      <c r="GI680" s="4"/>
      <c r="GJ680" s="4"/>
      <c r="GK680" s="4"/>
      <c r="GL680" s="4"/>
      <c r="GM680" s="4"/>
      <c r="GN680" s="4"/>
      <c r="GO680" s="4"/>
      <c r="GP680" s="4"/>
      <c r="GQ680" s="4"/>
      <c r="GR680" s="4"/>
      <c r="GS680" s="4"/>
      <c r="GT680" s="4"/>
      <c r="GU680" s="4"/>
      <c r="GV680" s="4"/>
      <c r="GW680" s="4"/>
      <c r="GX680" s="4"/>
      <c r="GY680" s="4"/>
      <c r="GZ680" s="4"/>
      <c r="HA680" s="4"/>
      <c r="HB680" s="4"/>
      <c r="HC680" s="4"/>
      <c r="HD680" s="4"/>
      <c r="HE680" s="4"/>
      <c r="HF680" s="4"/>
      <c r="HG680" s="4"/>
      <c r="HH680" s="4"/>
      <c r="HI680" s="4"/>
      <c r="HJ680" s="4"/>
    </row>
    <row r="681" spans="1:218" hidden="1">
      <c r="A681" t="s">
        <v>1803</v>
      </c>
      <c r="B681" t="s">
        <v>1804</v>
      </c>
      <c r="C681" t="s">
        <v>489</v>
      </c>
      <c r="D681" t="s">
        <v>490</v>
      </c>
      <c r="E681" t="s">
        <v>490</v>
      </c>
      <c r="F681" s="3">
        <v>1</v>
      </c>
      <c r="G681" s="12">
        <f t="shared" si="20"/>
        <v>6.2</v>
      </c>
      <c r="H681" s="12" t="e">
        <f t="shared" si="21"/>
        <v>#NUM!</v>
      </c>
      <c r="I681" s="3">
        <v>6.2020704000000002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>
        <v>6.2</v>
      </c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  <c r="DQ681" s="4"/>
      <c r="DR681" s="4"/>
      <c r="DS681" s="4"/>
      <c r="DT681" s="4"/>
      <c r="DU681" s="4"/>
      <c r="DV681" s="4"/>
      <c r="DW681" s="4"/>
      <c r="DX681" s="4"/>
      <c r="DY681" s="4"/>
      <c r="DZ681" s="4"/>
      <c r="EA681" s="4"/>
      <c r="EB681" s="4"/>
      <c r="EC681" s="4"/>
      <c r="ED681" s="4"/>
      <c r="EE681" s="4"/>
      <c r="EF681" s="4"/>
      <c r="EG681" s="4"/>
      <c r="EH681" s="4"/>
      <c r="EI681" s="4"/>
      <c r="EJ681" s="4"/>
      <c r="EK681" s="4"/>
      <c r="EL681" s="4"/>
      <c r="EM681" s="4"/>
      <c r="EN681" s="4"/>
      <c r="EO681" s="4"/>
      <c r="EP681" s="4"/>
      <c r="EQ681" s="4"/>
      <c r="ER681" s="4"/>
      <c r="ES681" s="4"/>
      <c r="ET681" s="4"/>
      <c r="EU681" s="4"/>
      <c r="EV681" s="4"/>
      <c r="EW681" s="4"/>
      <c r="EX681" s="4"/>
      <c r="EY681" s="4"/>
      <c r="EZ681" s="4"/>
      <c r="FA681" s="4"/>
      <c r="FB681" s="4"/>
      <c r="FC681" s="4"/>
      <c r="FD681" s="4"/>
      <c r="FE681" s="4"/>
      <c r="FF681" s="4"/>
      <c r="FG681" s="4"/>
      <c r="FH681" s="4"/>
      <c r="FI681" s="4"/>
      <c r="FJ681" s="4"/>
      <c r="FK681" s="4"/>
      <c r="FL681" s="4"/>
      <c r="FM681" s="4"/>
      <c r="FN681" s="4"/>
      <c r="FO681" s="4"/>
      <c r="FP681" s="4"/>
      <c r="FQ681" s="4"/>
      <c r="FR681" s="4"/>
      <c r="FS681" s="4"/>
      <c r="FT681" s="4"/>
      <c r="FU681" s="4"/>
      <c r="FV681" s="4"/>
      <c r="FW681" s="4"/>
      <c r="FX681" s="4"/>
      <c r="FY681" s="4"/>
      <c r="FZ681" s="4"/>
      <c r="GA681" s="4"/>
      <c r="GB681" s="4"/>
      <c r="GC681" s="4"/>
      <c r="GD681" s="4"/>
      <c r="GE681" s="4"/>
      <c r="GF681" s="4"/>
      <c r="GG681" s="4"/>
      <c r="GH681" s="4"/>
      <c r="GI681" s="4"/>
      <c r="GJ681" s="4"/>
      <c r="GK681" s="4"/>
      <c r="GL681" s="4"/>
      <c r="GM681" s="4"/>
      <c r="GN681" s="4"/>
      <c r="GO681" s="4"/>
      <c r="GP681" s="4"/>
      <c r="GQ681" s="4"/>
      <c r="GR681" s="4"/>
      <c r="GS681" s="4"/>
      <c r="GT681" s="4"/>
      <c r="GU681" s="4"/>
      <c r="GV681" s="4"/>
      <c r="GW681" s="4"/>
      <c r="GX681" s="4"/>
      <c r="GY681" s="4"/>
      <c r="GZ681" s="4"/>
      <c r="HA681" s="4"/>
      <c r="HB681" s="4"/>
      <c r="HC681" s="4"/>
      <c r="HD681" s="4"/>
      <c r="HE681" s="4"/>
      <c r="HF681" s="4"/>
      <c r="HG681" s="4"/>
      <c r="HH681" s="4"/>
      <c r="HI681" s="4"/>
      <c r="HJ681" s="4"/>
    </row>
    <row r="682" spans="1:218" hidden="1">
      <c r="A682" t="s">
        <v>2618</v>
      </c>
      <c r="B682" t="s">
        <v>2619</v>
      </c>
      <c r="C682" t="s">
        <v>1329</v>
      </c>
      <c r="D682" t="s">
        <v>2620</v>
      </c>
      <c r="E682" t="s">
        <v>2621</v>
      </c>
      <c r="F682" s="3">
        <v>1</v>
      </c>
      <c r="G682" s="12">
        <f t="shared" si="20"/>
        <v>3.37</v>
      </c>
      <c r="H682" s="12" t="e">
        <f t="shared" si="21"/>
        <v>#NUM!</v>
      </c>
      <c r="I682" s="3">
        <v>3.3683800000000002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>
        <v>3.37</v>
      </c>
      <c r="DP682" s="4"/>
      <c r="DQ682" s="4"/>
      <c r="DR682" s="4"/>
      <c r="DS682" s="4"/>
      <c r="DT682" s="4"/>
      <c r="DU682" s="4"/>
      <c r="DV682" s="4"/>
      <c r="DW682" s="4"/>
      <c r="DX682" s="4"/>
      <c r="DY682" s="4"/>
      <c r="DZ682" s="4"/>
      <c r="EA682" s="4"/>
      <c r="EB682" s="4"/>
      <c r="EC682" s="4"/>
      <c r="ED682" s="4"/>
      <c r="EE682" s="4"/>
      <c r="EF682" s="4"/>
      <c r="EG682" s="4"/>
      <c r="EH682" s="4"/>
      <c r="EI682" s="4"/>
      <c r="EJ682" s="4"/>
      <c r="EK682" s="4"/>
      <c r="EL682" s="4"/>
      <c r="EM682" s="4"/>
      <c r="EN682" s="4"/>
      <c r="EO682" s="4"/>
      <c r="EP682" s="4"/>
      <c r="EQ682" s="4"/>
      <c r="ER682" s="4"/>
      <c r="ES682" s="4"/>
      <c r="ET682" s="4"/>
      <c r="EU682" s="4"/>
      <c r="EV682" s="4"/>
      <c r="EW682" s="4"/>
      <c r="EX682" s="4"/>
      <c r="EY682" s="4"/>
      <c r="EZ682" s="4"/>
      <c r="FA682" s="4"/>
      <c r="FB682" s="4"/>
      <c r="FC682" s="4"/>
      <c r="FD682" s="4"/>
      <c r="FE682" s="4"/>
      <c r="FF682" s="4"/>
      <c r="FG682" s="4"/>
      <c r="FH682" s="4"/>
      <c r="FI682" s="4"/>
      <c r="FJ682" s="4"/>
      <c r="FK682" s="4"/>
      <c r="FL682" s="4"/>
      <c r="FM682" s="4"/>
      <c r="FN682" s="4"/>
      <c r="FO682" s="4"/>
      <c r="FP682" s="4"/>
      <c r="FQ682" s="4"/>
      <c r="FR682" s="4"/>
      <c r="FS682" s="4"/>
      <c r="FT682" s="4"/>
      <c r="FU682" s="4"/>
      <c r="FV682" s="4"/>
      <c r="FW682" s="4"/>
      <c r="FX682" s="4"/>
      <c r="FY682" s="4"/>
      <c r="FZ682" s="4"/>
      <c r="GA682" s="4"/>
      <c r="GB682" s="4"/>
      <c r="GC682" s="4"/>
      <c r="GD682" s="4"/>
      <c r="GE682" s="4"/>
      <c r="GF682" s="4"/>
      <c r="GG682" s="4"/>
      <c r="GH682" s="4"/>
      <c r="GI682" s="4"/>
      <c r="GJ682" s="4"/>
      <c r="GK682" s="4"/>
      <c r="GL682" s="4"/>
      <c r="GM682" s="4"/>
      <c r="GN682" s="4"/>
      <c r="GO682" s="4"/>
      <c r="GP682" s="4"/>
      <c r="GQ682" s="4"/>
      <c r="GR682" s="4"/>
      <c r="GS682" s="4"/>
      <c r="GT682" s="4"/>
      <c r="GU682" s="4"/>
      <c r="GV682" s="4"/>
      <c r="GW682" s="4"/>
      <c r="GX682" s="4"/>
      <c r="GY682" s="4"/>
      <c r="GZ682" s="4"/>
      <c r="HA682" s="4"/>
      <c r="HB682" s="4"/>
      <c r="HC682" s="4"/>
      <c r="HD682" s="4"/>
      <c r="HE682" s="4"/>
      <c r="HF682" s="4"/>
      <c r="HG682" s="4"/>
      <c r="HH682" s="4"/>
      <c r="HI682" s="4"/>
      <c r="HJ682" s="4"/>
    </row>
    <row r="683" spans="1:218" hidden="1">
      <c r="A683" t="s">
        <v>1988</v>
      </c>
      <c r="B683" t="s">
        <v>1989</v>
      </c>
      <c r="C683" t="s">
        <v>443</v>
      </c>
      <c r="D683" t="s">
        <v>1990</v>
      </c>
      <c r="E683" t="s">
        <v>1991</v>
      </c>
      <c r="F683" s="3">
        <v>1</v>
      </c>
      <c r="G683" s="12">
        <f t="shared" si="20"/>
        <v>4.83</v>
      </c>
      <c r="H683" s="12" t="e">
        <f t="shared" si="21"/>
        <v>#NUM!</v>
      </c>
      <c r="I683" s="3">
        <v>4.8265900000000004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  <c r="DQ683" s="4"/>
      <c r="DR683" s="4"/>
      <c r="DS683" s="4"/>
      <c r="DT683" s="4"/>
      <c r="DU683" s="4"/>
      <c r="DV683" s="4"/>
      <c r="DW683" s="4"/>
      <c r="DX683" s="4"/>
      <c r="DY683" s="4"/>
      <c r="DZ683" s="4"/>
      <c r="EA683" s="4"/>
      <c r="EB683" s="4"/>
      <c r="EC683" s="4"/>
      <c r="ED683" s="4"/>
      <c r="EE683" s="4"/>
      <c r="EF683" s="4"/>
      <c r="EG683" s="4"/>
      <c r="EH683" s="4"/>
      <c r="EI683" s="4"/>
      <c r="EJ683" s="4"/>
      <c r="EK683" s="4"/>
      <c r="EL683" s="4"/>
      <c r="EM683" s="4"/>
      <c r="EN683" s="4"/>
      <c r="EO683" s="4"/>
      <c r="EP683" s="4"/>
      <c r="EQ683" s="4"/>
      <c r="ER683" s="4"/>
      <c r="ES683" s="4"/>
      <c r="ET683" s="4"/>
      <c r="EU683" s="4"/>
      <c r="EV683" s="4"/>
      <c r="EW683" s="4"/>
      <c r="EX683" s="4"/>
      <c r="EY683" s="4"/>
      <c r="EZ683" s="4"/>
      <c r="FA683" s="4"/>
      <c r="FB683" s="4"/>
      <c r="FC683" s="4"/>
      <c r="FD683" s="4"/>
      <c r="FE683" s="4"/>
      <c r="FF683" s="4"/>
      <c r="FG683" s="4"/>
      <c r="FH683" s="4"/>
      <c r="FI683" s="4"/>
      <c r="FJ683" s="4"/>
      <c r="FK683" s="4"/>
      <c r="FL683" s="4"/>
      <c r="FM683" s="4"/>
      <c r="FN683" s="4"/>
      <c r="FO683" s="4"/>
      <c r="FP683" s="4"/>
      <c r="FQ683" s="4"/>
      <c r="FR683" s="4"/>
      <c r="FS683" s="4"/>
      <c r="FT683" s="4"/>
      <c r="FU683" s="4"/>
      <c r="FV683" s="4"/>
      <c r="FW683" s="4"/>
      <c r="FX683" s="4"/>
      <c r="FY683" s="4"/>
      <c r="FZ683" s="4"/>
      <c r="GA683" s="4">
        <v>4.83</v>
      </c>
      <c r="GB683" s="4"/>
      <c r="GC683" s="4"/>
      <c r="GD683" s="4"/>
      <c r="GE683" s="4"/>
      <c r="GF683" s="4"/>
      <c r="GG683" s="4"/>
      <c r="GH683" s="4"/>
      <c r="GI683" s="4"/>
      <c r="GJ683" s="4"/>
      <c r="GK683" s="4"/>
      <c r="GL683" s="4"/>
      <c r="GM683" s="4"/>
      <c r="GN683" s="4"/>
      <c r="GO683" s="4"/>
      <c r="GP683" s="4"/>
      <c r="GQ683" s="4"/>
      <c r="GR683" s="4"/>
      <c r="GS683" s="4"/>
      <c r="GT683" s="4"/>
      <c r="GU683" s="4"/>
      <c r="GV683" s="4"/>
      <c r="GW683" s="4"/>
      <c r="GX683" s="4"/>
      <c r="GY683" s="4"/>
      <c r="GZ683" s="4"/>
      <c r="HA683" s="4"/>
      <c r="HB683" s="4"/>
      <c r="HC683" s="4"/>
      <c r="HD683" s="4"/>
      <c r="HE683" s="4"/>
      <c r="HF683" s="4"/>
      <c r="HG683" s="4"/>
      <c r="HH683" s="4"/>
      <c r="HI683" s="4"/>
      <c r="HJ683" s="4"/>
    </row>
    <row r="684" spans="1:218" hidden="1">
      <c r="A684" t="s">
        <v>2139</v>
      </c>
      <c r="B684" t="s">
        <v>2140</v>
      </c>
      <c r="C684" t="s">
        <v>1329</v>
      </c>
      <c r="D684" t="s">
        <v>2141</v>
      </c>
      <c r="E684" t="s">
        <v>2142</v>
      </c>
      <c r="F684" s="3">
        <v>1</v>
      </c>
      <c r="G684" s="12">
        <f t="shared" si="20"/>
        <v>4.43</v>
      </c>
      <c r="H684" s="12" t="e">
        <f t="shared" si="21"/>
        <v>#NUM!</v>
      </c>
      <c r="I684" s="3">
        <v>4.4302000000000001</v>
      </c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>
        <v>4.43</v>
      </c>
      <c r="DN684" s="4"/>
      <c r="DO684" s="4"/>
      <c r="DP684" s="4"/>
      <c r="DQ684" s="4"/>
      <c r="DR684" s="4"/>
      <c r="DS684" s="4"/>
      <c r="DT684" s="4"/>
      <c r="DU684" s="4"/>
      <c r="DV684" s="4"/>
      <c r="DW684" s="4"/>
      <c r="DX684" s="4"/>
      <c r="DY684" s="4"/>
      <c r="DZ684" s="4"/>
      <c r="EA684" s="4"/>
      <c r="EB684" s="4"/>
      <c r="EC684" s="4"/>
      <c r="ED684" s="4"/>
      <c r="EE684" s="4"/>
      <c r="EF684" s="4"/>
      <c r="EG684" s="4"/>
      <c r="EH684" s="4"/>
      <c r="EI684" s="4"/>
      <c r="EJ684" s="4"/>
      <c r="EK684" s="4"/>
      <c r="EL684" s="4"/>
      <c r="EM684" s="4"/>
      <c r="EN684" s="4"/>
      <c r="EO684" s="4"/>
      <c r="EP684" s="4"/>
      <c r="EQ684" s="4"/>
      <c r="ER684" s="4"/>
      <c r="ES684" s="4"/>
      <c r="ET684" s="4"/>
      <c r="EU684" s="4"/>
      <c r="EV684" s="4"/>
      <c r="EW684" s="4"/>
      <c r="EX684" s="4"/>
      <c r="EY684" s="4"/>
      <c r="EZ684" s="4"/>
      <c r="FA684" s="4"/>
      <c r="FB684" s="4"/>
      <c r="FC684" s="4"/>
      <c r="FD684" s="4"/>
      <c r="FE684" s="4"/>
      <c r="FF684" s="4"/>
      <c r="FG684" s="4"/>
      <c r="FH684" s="4"/>
      <c r="FI684" s="4"/>
      <c r="FJ684" s="4"/>
      <c r="FK684" s="4"/>
      <c r="FL684" s="4"/>
      <c r="FM684" s="4"/>
      <c r="FN684" s="4"/>
      <c r="FO684" s="4"/>
      <c r="FP684" s="4"/>
      <c r="FQ684" s="4"/>
      <c r="FR684" s="4"/>
      <c r="FS684" s="4"/>
      <c r="FT684" s="4"/>
      <c r="FU684" s="4"/>
      <c r="FV684" s="4"/>
      <c r="FW684" s="4"/>
      <c r="FX684" s="4"/>
      <c r="FY684" s="4"/>
      <c r="FZ684" s="4"/>
      <c r="GA684" s="4"/>
      <c r="GB684" s="4"/>
      <c r="GC684" s="4"/>
      <c r="GD684" s="4"/>
      <c r="GE684" s="4"/>
      <c r="GF684" s="4"/>
      <c r="GG684" s="4"/>
      <c r="GH684" s="4"/>
      <c r="GI684" s="4"/>
      <c r="GJ684" s="4"/>
      <c r="GK684" s="4"/>
      <c r="GL684" s="4"/>
      <c r="GM684" s="4"/>
      <c r="GN684" s="4"/>
      <c r="GO684" s="4"/>
      <c r="GP684" s="4"/>
      <c r="GQ684" s="4"/>
      <c r="GR684" s="4"/>
      <c r="GS684" s="4"/>
      <c r="GT684" s="4"/>
      <c r="GU684" s="4"/>
      <c r="GV684" s="4"/>
      <c r="GW684" s="4"/>
      <c r="GX684" s="4"/>
      <c r="GY684" s="4"/>
      <c r="GZ684" s="4"/>
      <c r="HA684" s="4"/>
      <c r="HB684" s="4"/>
      <c r="HC684" s="4"/>
      <c r="HD684" s="4"/>
      <c r="HE684" s="4"/>
      <c r="HF684" s="4"/>
      <c r="HG684" s="4"/>
      <c r="HH684" s="4"/>
      <c r="HI684" s="4"/>
      <c r="HJ684" s="4"/>
    </row>
    <row r="685" spans="1:218" hidden="1">
      <c r="A685" t="s">
        <v>3023</v>
      </c>
      <c r="B685" t="s">
        <v>3024</v>
      </c>
      <c r="C685" t="s">
        <v>489</v>
      </c>
      <c r="D685" t="s">
        <v>490</v>
      </c>
      <c r="E685" t="s">
        <v>490</v>
      </c>
      <c r="F685" s="3">
        <v>1</v>
      </c>
      <c r="G685" s="12">
        <f t="shared" si="20"/>
        <v>2.13</v>
      </c>
      <c r="H685" s="12" t="e">
        <f t="shared" si="21"/>
        <v>#NUM!</v>
      </c>
      <c r="I685" s="3">
        <v>2.1258398999999999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>
        <v>2.13</v>
      </c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  <c r="DQ685" s="4"/>
      <c r="DR685" s="4"/>
      <c r="DS685" s="4"/>
      <c r="DT685" s="4"/>
      <c r="DU685" s="4"/>
      <c r="DV685" s="4"/>
      <c r="DW685" s="4"/>
      <c r="DX685" s="4"/>
      <c r="DY685" s="4"/>
      <c r="DZ685" s="4"/>
      <c r="EA685" s="4"/>
      <c r="EB685" s="4"/>
      <c r="EC685" s="4"/>
      <c r="ED685" s="4"/>
      <c r="EE685" s="4"/>
      <c r="EF685" s="4"/>
      <c r="EG685" s="4"/>
      <c r="EH685" s="4"/>
      <c r="EI685" s="4"/>
      <c r="EJ685" s="4"/>
      <c r="EK685" s="4"/>
      <c r="EL685" s="4"/>
      <c r="EM685" s="4"/>
      <c r="EN685" s="4"/>
      <c r="EO685" s="4"/>
      <c r="EP685" s="4"/>
      <c r="EQ685" s="4"/>
      <c r="ER685" s="4"/>
      <c r="ES685" s="4"/>
      <c r="ET685" s="4"/>
      <c r="EU685" s="4"/>
      <c r="EV685" s="4"/>
      <c r="EW685" s="4"/>
      <c r="EX685" s="4"/>
      <c r="EY685" s="4"/>
      <c r="EZ685" s="4"/>
      <c r="FA685" s="4"/>
      <c r="FB685" s="4"/>
      <c r="FC685" s="4"/>
      <c r="FD685" s="4"/>
      <c r="FE685" s="4"/>
      <c r="FF685" s="4"/>
      <c r="FG685" s="4"/>
      <c r="FH685" s="4"/>
      <c r="FI685" s="4"/>
      <c r="FJ685" s="4"/>
      <c r="FK685" s="4"/>
      <c r="FL685" s="4"/>
      <c r="FM685" s="4"/>
      <c r="FN685" s="4"/>
      <c r="FO685" s="4"/>
      <c r="FP685" s="4"/>
      <c r="FQ685" s="4"/>
      <c r="FR685" s="4"/>
      <c r="FS685" s="4"/>
      <c r="FT685" s="4"/>
      <c r="FU685" s="4"/>
      <c r="FV685" s="4"/>
      <c r="FW685" s="4"/>
      <c r="FX685" s="4"/>
      <c r="FY685" s="4"/>
      <c r="FZ685" s="4"/>
      <c r="GA685" s="4"/>
      <c r="GB685" s="4"/>
      <c r="GC685" s="4"/>
      <c r="GD685" s="4"/>
      <c r="GE685" s="4"/>
      <c r="GF685" s="4"/>
      <c r="GG685" s="4"/>
      <c r="GH685" s="4"/>
      <c r="GI685" s="4"/>
      <c r="GJ685" s="4"/>
      <c r="GK685" s="4"/>
      <c r="GL685" s="4"/>
      <c r="GM685" s="4"/>
      <c r="GN685" s="4"/>
      <c r="GO685" s="4"/>
      <c r="GP685" s="4"/>
      <c r="GQ685" s="4"/>
      <c r="GR685" s="4"/>
      <c r="GS685" s="4"/>
      <c r="GT685" s="4"/>
      <c r="GU685" s="4"/>
      <c r="GV685" s="4"/>
      <c r="GW685" s="4"/>
      <c r="GX685" s="4"/>
      <c r="GY685" s="4"/>
      <c r="GZ685" s="4"/>
      <c r="HA685" s="4"/>
      <c r="HB685" s="4"/>
      <c r="HC685" s="4"/>
      <c r="HD685" s="4"/>
      <c r="HE685" s="4"/>
      <c r="HF685" s="4"/>
      <c r="HG685" s="4"/>
      <c r="HH685" s="4"/>
      <c r="HI685" s="4"/>
      <c r="HJ685" s="4"/>
    </row>
    <row r="686" spans="1:218" hidden="1">
      <c r="A686" t="s">
        <v>2914</v>
      </c>
      <c r="B686" t="s">
        <v>2915</v>
      </c>
      <c r="C686" t="s">
        <v>489</v>
      </c>
      <c r="D686" t="s">
        <v>490</v>
      </c>
      <c r="E686" t="s">
        <v>490</v>
      </c>
      <c r="F686" s="3">
        <v>1</v>
      </c>
      <c r="G686" s="12">
        <f t="shared" si="20"/>
        <v>2.35</v>
      </c>
      <c r="H686" s="12" t="e">
        <f t="shared" si="21"/>
        <v>#NUM!</v>
      </c>
      <c r="I686" s="3">
        <v>2.3509099999999998</v>
      </c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  <c r="DQ686" s="4"/>
      <c r="DR686" s="4"/>
      <c r="DS686" s="4">
        <v>2.35</v>
      </c>
      <c r="DT686" s="4"/>
      <c r="DU686" s="4"/>
      <c r="DV686" s="4"/>
      <c r="DW686" s="4"/>
      <c r="DX686" s="4"/>
      <c r="DY686" s="4"/>
      <c r="DZ686" s="4"/>
      <c r="EA686" s="4"/>
      <c r="EB686" s="4"/>
      <c r="EC686" s="4"/>
      <c r="ED686" s="4"/>
      <c r="EE686" s="4"/>
      <c r="EF686" s="4"/>
      <c r="EG686" s="4"/>
      <c r="EH686" s="4"/>
      <c r="EI686" s="4"/>
      <c r="EJ686" s="4"/>
      <c r="EK686" s="4"/>
      <c r="EL686" s="4"/>
      <c r="EM686" s="4"/>
      <c r="EN686" s="4"/>
      <c r="EO686" s="4"/>
      <c r="EP686" s="4"/>
      <c r="EQ686" s="4"/>
      <c r="ER686" s="4"/>
      <c r="ES686" s="4"/>
      <c r="ET686" s="4"/>
      <c r="EU686" s="4"/>
      <c r="EV686" s="4"/>
      <c r="EW686" s="4"/>
      <c r="EX686" s="4"/>
      <c r="EY686" s="4"/>
      <c r="EZ686" s="4"/>
      <c r="FA686" s="4"/>
      <c r="FB686" s="4"/>
      <c r="FC686" s="4"/>
      <c r="FD686" s="4"/>
      <c r="FE686" s="4"/>
      <c r="FF686" s="4"/>
      <c r="FG686" s="4"/>
      <c r="FH686" s="4"/>
      <c r="FI686" s="4"/>
      <c r="FJ686" s="4"/>
      <c r="FK686" s="4"/>
      <c r="FL686" s="4"/>
      <c r="FM686" s="4"/>
      <c r="FN686" s="4"/>
      <c r="FO686" s="4"/>
      <c r="FP686" s="4"/>
      <c r="FQ686" s="4"/>
      <c r="FR686" s="4"/>
      <c r="FS686" s="4"/>
      <c r="FT686" s="4"/>
      <c r="FU686" s="4"/>
      <c r="FV686" s="4"/>
      <c r="FW686" s="4"/>
      <c r="FX686" s="4"/>
      <c r="FY686" s="4"/>
      <c r="FZ686" s="4"/>
      <c r="GA686" s="4"/>
      <c r="GB686" s="4"/>
      <c r="GC686" s="4"/>
      <c r="GD686" s="4"/>
      <c r="GE686" s="4"/>
      <c r="GF686" s="4"/>
      <c r="GG686" s="4"/>
      <c r="GH686" s="4"/>
      <c r="GI686" s="4"/>
      <c r="GJ686" s="4"/>
      <c r="GK686" s="4"/>
      <c r="GL686" s="4"/>
      <c r="GM686" s="4"/>
      <c r="GN686" s="4"/>
      <c r="GO686" s="4"/>
      <c r="GP686" s="4"/>
      <c r="GQ686" s="4"/>
      <c r="GR686" s="4"/>
      <c r="GS686" s="4"/>
      <c r="GT686" s="4"/>
      <c r="GU686" s="4"/>
      <c r="GV686" s="4"/>
      <c r="GW686" s="4"/>
      <c r="GX686" s="4"/>
      <c r="GY686" s="4"/>
      <c r="GZ686" s="4"/>
      <c r="HA686" s="4"/>
      <c r="HB686" s="4"/>
      <c r="HC686" s="4"/>
      <c r="HD686" s="4"/>
      <c r="HE686" s="4"/>
      <c r="HF686" s="4"/>
      <c r="HG686" s="4"/>
      <c r="HH686" s="4"/>
      <c r="HI686" s="4"/>
      <c r="HJ686" s="4"/>
    </row>
    <row r="687" spans="1:218" hidden="1">
      <c r="A687" t="s">
        <v>2836</v>
      </c>
      <c r="B687" t="s">
        <v>2837</v>
      </c>
      <c r="C687" t="s">
        <v>489</v>
      </c>
      <c r="D687" t="s">
        <v>490</v>
      </c>
      <c r="E687" t="s">
        <v>490</v>
      </c>
      <c r="F687" s="3">
        <v>1</v>
      </c>
      <c r="G687" s="12">
        <f t="shared" si="20"/>
        <v>2.69</v>
      </c>
      <c r="H687" s="12" t="e">
        <f t="shared" si="21"/>
        <v>#NUM!</v>
      </c>
      <c r="I687" s="3">
        <v>2.6929500000000002</v>
      </c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>
        <v>2.69</v>
      </c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  <c r="DQ687" s="4"/>
      <c r="DR687" s="4"/>
      <c r="DS687" s="4"/>
      <c r="DT687" s="4"/>
      <c r="DU687" s="4"/>
      <c r="DV687" s="4"/>
      <c r="DW687" s="4"/>
      <c r="DX687" s="4"/>
      <c r="DY687" s="4"/>
      <c r="DZ687" s="4"/>
      <c r="EA687" s="4"/>
      <c r="EB687" s="4"/>
      <c r="EC687" s="4"/>
      <c r="ED687" s="4"/>
      <c r="EE687" s="4"/>
      <c r="EF687" s="4"/>
      <c r="EG687" s="4"/>
      <c r="EH687" s="4"/>
      <c r="EI687" s="4"/>
      <c r="EJ687" s="4"/>
      <c r="EK687" s="4"/>
      <c r="EL687" s="4"/>
      <c r="EM687" s="4"/>
      <c r="EN687" s="4"/>
      <c r="EO687" s="4"/>
      <c r="EP687" s="4"/>
      <c r="EQ687" s="4"/>
      <c r="ER687" s="4"/>
      <c r="ES687" s="4"/>
      <c r="ET687" s="4"/>
      <c r="EU687" s="4"/>
      <c r="EV687" s="4"/>
      <c r="EW687" s="4"/>
      <c r="EX687" s="4"/>
      <c r="EY687" s="4"/>
      <c r="EZ687" s="4"/>
      <c r="FA687" s="4"/>
      <c r="FB687" s="4"/>
      <c r="FC687" s="4"/>
      <c r="FD687" s="4"/>
      <c r="FE687" s="4"/>
      <c r="FF687" s="4"/>
      <c r="FG687" s="4"/>
      <c r="FH687" s="4"/>
      <c r="FI687" s="4"/>
      <c r="FJ687" s="4"/>
      <c r="FK687" s="4"/>
      <c r="FL687" s="4"/>
      <c r="FM687" s="4"/>
      <c r="FN687" s="4"/>
      <c r="FO687" s="4"/>
      <c r="FP687" s="4"/>
      <c r="FQ687" s="4"/>
      <c r="FR687" s="4"/>
      <c r="FS687" s="4"/>
      <c r="FT687" s="4"/>
      <c r="FU687" s="4"/>
      <c r="FV687" s="4"/>
      <c r="FW687" s="4"/>
      <c r="FX687" s="4"/>
      <c r="FY687" s="4"/>
      <c r="FZ687" s="4"/>
      <c r="GA687" s="4"/>
      <c r="GB687" s="4"/>
      <c r="GC687" s="4"/>
      <c r="GD687" s="4"/>
      <c r="GE687" s="4"/>
      <c r="GF687" s="4"/>
      <c r="GG687" s="4"/>
      <c r="GH687" s="4"/>
      <c r="GI687" s="4"/>
      <c r="GJ687" s="4"/>
      <c r="GK687" s="4"/>
      <c r="GL687" s="4"/>
      <c r="GM687" s="4"/>
      <c r="GN687" s="4"/>
      <c r="GO687" s="4"/>
      <c r="GP687" s="4"/>
      <c r="GQ687" s="4"/>
      <c r="GR687" s="4"/>
      <c r="GS687" s="4"/>
      <c r="GT687" s="4"/>
      <c r="GU687" s="4"/>
      <c r="GV687" s="4"/>
      <c r="GW687" s="4"/>
      <c r="GX687" s="4"/>
      <c r="GY687" s="4"/>
      <c r="GZ687" s="4"/>
      <c r="HA687" s="4"/>
      <c r="HB687" s="4"/>
      <c r="HC687" s="4"/>
      <c r="HD687" s="4"/>
      <c r="HE687" s="4"/>
      <c r="HF687" s="4"/>
      <c r="HG687" s="4"/>
      <c r="HH687" s="4"/>
      <c r="HI687" s="4"/>
      <c r="HJ687" s="4"/>
    </row>
    <row r="688" spans="1:218" hidden="1">
      <c r="A688" t="s">
        <v>2040</v>
      </c>
      <c r="B688" t="s">
        <v>2041</v>
      </c>
      <c r="C688" t="s">
        <v>489</v>
      </c>
      <c r="D688" t="s">
        <v>490</v>
      </c>
      <c r="E688" t="s">
        <v>490</v>
      </c>
      <c r="F688" s="3">
        <v>1</v>
      </c>
      <c r="G688" s="12">
        <f t="shared" si="20"/>
        <v>4.6399999999999997</v>
      </c>
      <c r="H688" s="12" t="e">
        <f t="shared" si="21"/>
        <v>#NUM!</v>
      </c>
      <c r="I688" s="3">
        <v>4.6374899999999997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  <c r="DQ688" s="4"/>
      <c r="DR688" s="4"/>
      <c r="DS688" s="4"/>
      <c r="DT688" s="4"/>
      <c r="DU688" s="4"/>
      <c r="DV688" s="4"/>
      <c r="DW688" s="4"/>
      <c r="DX688" s="4"/>
      <c r="DY688" s="4"/>
      <c r="DZ688" s="4"/>
      <c r="EA688" s="4"/>
      <c r="EB688" s="4"/>
      <c r="EC688" s="4"/>
      <c r="ED688" s="4">
        <v>4.6399999999999997</v>
      </c>
      <c r="EE688" s="4"/>
      <c r="EF688" s="4"/>
      <c r="EG688" s="4"/>
      <c r="EH688" s="4"/>
      <c r="EI688" s="4"/>
      <c r="EJ688" s="4"/>
      <c r="EK688" s="4"/>
      <c r="EL688" s="4"/>
      <c r="EM688" s="4"/>
      <c r="EN688" s="4"/>
      <c r="EO688" s="4"/>
      <c r="EP688" s="4"/>
      <c r="EQ688" s="4"/>
      <c r="ER688" s="4"/>
      <c r="ES688" s="4"/>
      <c r="ET688" s="4"/>
      <c r="EU688" s="4"/>
      <c r="EV688" s="4"/>
      <c r="EW688" s="4"/>
      <c r="EX688" s="4"/>
      <c r="EY688" s="4"/>
      <c r="EZ688" s="4"/>
      <c r="FA688" s="4"/>
      <c r="FB688" s="4"/>
      <c r="FC688" s="4"/>
      <c r="FD688" s="4"/>
      <c r="FE688" s="4"/>
      <c r="FF688" s="4"/>
      <c r="FG688" s="4"/>
      <c r="FH688" s="4"/>
      <c r="FI688" s="4"/>
      <c r="FJ688" s="4"/>
      <c r="FK688" s="4"/>
      <c r="FL688" s="4"/>
      <c r="FM688" s="4"/>
      <c r="FN688" s="4"/>
      <c r="FO688" s="4"/>
      <c r="FP688" s="4"/>
      <c r="FQ688" s="4"/>
      <c r="FR688" s="4"/>
      <c r="FS688" s="4"/>
      <c r="FT688" s="4"/>
      <c r="FU688" s="4"/>
      <c r="FV688" s="4"/>
      <c r="FW688" s="4"/>
      <c r="FX688" s="4"/>
      <c r="FY688" s="4"/>
      <c r="FZ688" s="4"/>
      <c r="GA688" s="4"/>
      <c r="GB688" s="4"/>
      <c r="GC688" s="4"/>
      <c r="GD688" s="4"/>
      <c r="GE688" s="4"/>
      <c r="GF688" s="4"/>
      <c r="GG688" s="4"/>
      <c r="GH688" s="4"/>
      <c r="GI688" s="4"/>
      <c r="GJ688" s="4"/>
      <c r="GK688" s="4"/>
      <c r="GL688" s="4"/>
      <c r="GM688" s="4"/>
      <c r="GN688" s="4"/>
      <c r="GO688" s="4"/>
      <c r="GP688" s="4"/>
      <c r="GQ688" s="4"/>
      <c r="GR688" s="4"/>
      <c r="GS688" s="4"/>
      <c r="GT688" s="4"/>
      <c r="GU688" s="4"/>
      <c r="GV688" s="4"/>
      <c r="GW688" s="4"/>
      <c r="GX688" s="4"/>
      <c r="GY688" s="4"/>
      <c r="GZ688" s="4"/>
      <c r="HA688" s="4"/>
      <c r="HB688" s="4"/>
      <c r="HC688" s="4"/>
      <c r="HD688" s="4"/>
      <c r="HE688" s="4"/>
      <c r="HF688" s="4"/>
      <c r="HG688" s="4"/>
      <c r="HH688" s="4"/>
      <c r="HI688" s="4"/>
      <c r="HJ688" s="4"/>
    </row>
    <row r="689" spans="1:218" hidden="1">
      <c r="A689" t="s">
        <v>2936</v>
      </c>
      <c r="B689" t="s">
        <v>2937</v>
      </c>
      <c r="C689" t="s">
        <v>1229</v>
      </c>
      <c r="D689" t="s">
        <v>2938</v>
      </c>
      <c r="E689" t="s">
        <v>2939</v>
      </c>
      <c r="F689" s="3">
        <v>1</v>
      </c>
      <c r="G689" s="12">
        <f t="shared" si="20"/>
        <v>2.31</v>
      </c>
      <c r="H689" s="12" t="e">
        <f t="shared" si="21"/>
        <v>#NUM!</v>
      </c>
      <c r="I689" s="3">
        <v>2.3105799999999999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>
        <v>2.31</v>
      </c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  <c r="DQ689" s="4"/>
      <c r="DR689" s="4"/>
      <c r="DS689" s="4"/>
      <c r="DT689" s="4"/>
      <c r="DU689" s="4"/>
      <c r="DV689" s="4"/>
      <c r="DW689" s="4"/>
      <c r="DX689" s="4"/>
      <c r="DY689" s="4"/>
      <c r="DZ689" s="4"/>
      <c r="EA689" s="4"/>
      <c r="EB689" s="4"/>
      <c r="EC689" s="4"/>
      <c r="ED689" s="4"/>
      <c r="EE689" s="4"/>
      <c r="EF689" s="4"/>
      <c r="EG689" s="4"/>
      <c r="EH689" s="4"/>
      <c r="EI689" s="4"/>
      <c r="EJ689" s="4"/>
      <c r="EK689" s="4"/>
      <c r="EL689" s="4"/>
      <c r="EM689" s="4"/>
      <c r="EN689" s="4"/>
      <c r="EO689" s="4"/>
      <c r="EP689" s="4"/>
      <c r="EQ689" s="4"/>
      <c r="ER689" s="4"/>
      <c r="ES689" s="4"/>
      <c r="ET689" s="4"/>
      <c r="EU689" s="4"/>
      <c r="EV689" s="4"/>
      <c r="EW689" s="4"/>
      <c r="EX689" s="4"/>
      <c r="EY689" s="4"/>
      <c r="EZ689" s="4"/>
      <c r="FA689" s="4"/>
      <c r="FB689" s="4"/>
      <c r="FC689" s="4"/>
      <c r="FD689" s="4"/>
      <c r="FE689" s="4"/>
      <c r="FF689" s="4"/>
      <c r="FG689" s="4"/>
      <c r="FH689" s="4"/>
      <c r="FI689" s="4"/>
      <c r="FJ689" s="4"/>
      <c r="FK689" s="4"/>
      <c r="FL689" s="4"/>
      <c r="FM689" s="4"/>
      <c r="FN689" s="4"/>
      <c r="FO689" s="4"/>
      <c r="FP689" s="4"/>
      <c r="FQ689" s="4"/>
      <c r="FR689" s="4"/>
      <c r="FS689" s="4"/>
      <c r="FT689" s="4"/>
      <c r="FU689" s="4"/>
      <c r="FV689" s="4"/>
      <c r="FW689" s="4"/>
      <c r="FX689" s="4"/>
      <c r="FY689" s="4"/>
      <c r="FZ689" s="4"/>
      <c r="GA689" s="4"/>
      <c r="GB689" s="4"/>
      <c r="GC689" s="4"/>
      <c r="GD689" s="4"/>
      <c r="GE689" s="4"/>
      <c r="GF689" s="4"/>
      <c r="GG689" s="4"/>
      <c r="GH689" s="4"/>
      <c r="GI689" s="4"/>
      <c r="GJ689" s="4"/>
      <c r="GK689" s="4"/>
      <c r="GL689" s="4"/>
      <c r="GM689" s="4"/>
      <c r="GN689" s="4"/>
      <c r="GO689" s="4"/>
      <c r="GP689" s="4"/>
      <c r="GQ689" s="4"/>
      <c r="GR689" s="4"/>
      <c r="GS689" s="4"/>
      <c r="GT689" s="4"/>
      <c r="GU689" s="4"/>
      <c r="GV689" s="4"/>
      <c r="GW689" s="4"/>
      <c r="GX689" s="4"/>
      <c r="GY689" s="4"/>
      <c r="GZ689" s="4"/>
      <c r="HA689" s="4"/>
      <c r="HB689" s="4"/>
      <c r="HC689" s="4"/>
      <c r="HD689" s="4"/>
      <c r="HE689" s="4"/>
      <c r="HF689" s="4"/>
      <c r="HG689" s="4"/>
      <c r="HH689" s="4"/>
      <c r="HI689" s="4"/>
      <c r="HJ689" s="4"/>
    </row>
    <row r="690" spans="1:218" hidden="1">
      <c r="A690" t="s">
        <v>2689</v>
      </c>
      <c r="B690" t="s">
        <v>2690</v>
      </c>
      <c r="C690" t="s">
        <v>489</v>
      </c>
      <c r="D690" t="s">
        <v>490</v>
      </c>
      <c r="E690" t="s">
        <v>490</v>
      </c>
      <c r="F690" s="3">
        <v>1</v>
      </c>
      <c r="G690" s="12">
        <f t="shared" si="20"/>
        <v>3.1</v>
      </c>
      <c r="H690" s="12" t="e">
        <f t="shared" si="21"/>
        <v>#NUM!</v>
      </c>
      <c r="I690" s="3">
        <v>3.09748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  <c r="DQ690" s="4"/>
      <c r="DR690" s="4"/>
      <c r="DS690" s="4"/>
      <c r="DT690" s="4"/>
      <c r="DU690" s="4"/>
      <c r="DV690" s="4"/>
      <c r="DW690" s="4"/>
      <c r="DX690" s="4"/>
      <c r="DY690" s="4"/>
      <c r="DZ690" s="4"/>
      <c r="EA690" s="4"/>
      <c r="EB690" s="4"/>
      <c r="EC690" s="4"/>
      <c r="ED690" s="4"/>
      <c r="EE690" s="4"/>
      <c r="EF690" s="4"/>
      <c r="EG690" s="4"/>
      <c r="EH690" s="4"/>
      <c r="EI690" s="4"/>
      <c r="EJ690" s="4"/>
      <c r="EK690" s="4"/>
      <c r="EL690" s="4"/>
      <c r="EM690" s="4"/>
      <c r="EN690" s="4"/>
      <c r="EO690" s="4"/>
      <c r="EP690" s="4"/>
      <c r="EQ690" s="4"/>
      <c r="ER690" s="4"/>
      <c r="ES690" s="4"/>
      <c r="ET690" s="4"/>
      <c r="EU690" s="4"/>
      <c r="EV690" s="4"/>
      <c r="EW690" s="4"/>
      <c r="EX690" s="4"/>
      <c r="EY690" s="4"/>
      <c r="EZ690" s="4"/>
      <c r="FA690" s="4"/>
      <c r="FB690" s="4"/>
      <c r="FC690" s="4"/>
      <c r="FD690" s="4"/>
      <c r="FE690" s="4"/>
      <c r="FF690" s="4"/>
      <c r="FG690" s="4"/>
      <c r="FH690" s="4"/>
      <c r="FI690" s="4"/>
      <c r="FJ690" s="4"/>
      <c r="FK690" s="4"/>
      <c r="FL690" s="4"/>
      <c r="FM690" s="4"/>
      <c r="FN690" s="4">
        <v>3.1</v>
      </c>
      <c r="FO690" s="4"/>
      <c r="FP690" s="4"/>
      <c r="FQ690" s="4"/>
      <c r="FR690" s="4"/>
      <c r="FS690" s="4"/>
      <c r="FT690" s="4"/>
      <c r="FU690" s="4"/>
      <c r="FV690" s="4"/>
      <c r="FW690" s="4"/>
      <c r="FX690" s="4"/>
      <c r="FY690" s="4"/>
      <c r="FZ690" s="4"/>
      <c r="GA690" s="4"/>
      <c r="GB690" s="4"/>
      <c r="GC690" s="4"/>
      <c r="GD690" s="4"/>
      <c r="GE690" s="4"/>
      <c r="GF690" s="4"/>
      <c r="GG690" s="4"/>
      <c r="GH690" s="4"/>
      <c r="GI690" s="4"/>
      <c r="GJ690" s="4"/>
      <c r="GK690" s="4"/>
      <c r="GL690" s="4"/>
      <c r="GM690" s="4"/>
      <c r="GN690" s="4"/>
      <c r="GO690" s="4"/>
      <c r="GP690" s="4"/>
      <c r="GQ690" s="4"/>
      <c r="GR690" s="4"/>
      <c r="GS690" s="4"/>
      <c r="GT690" s="4"/>
      <c r="GU690" s="4"/>
      <c r="GV690" s="4"/>
      <c r="GW690" s="4"/>
      <c r="GX690" s="4"/>
      <c r="GY690" s="4"/>
      <c r="GZ690" s="4"/>
      <c r="HA690" s="4"/>
      <c r="HB690" s="4"/>
      <c r="HC690" s="4"/>
      <c r="HD690" s="4"/>
      <c r="HE690" s="4"/>
      <c r="HF690" s="4"/>
      <c r="HG690" s="4"/>
      <c r="HH690" s="4"/>
      <c r="HI690" s="4"/>
      <c r="HJ690" s="4"/>
    </row>
    <row r="691" spans="1:218" hidden="1">
      <c r="A691" t="s">
        <v>2187</v>
      </c>
      <c r="B691" t="s">
        <v>2188</v>
      </c>
      <c r="C691" t="s">
        <v>489</v>
      </c>
      <c r="D691" t="s">
        <v>490</v>
      </c>
      <c r="E691" t="s">
        <v>490</v>
      </c>
      <c r="F691" s="3">
        <v>1</v>
      </c>
      <c r="G691" s="12">
        <f t="shared" si="20"/>
        <v>4.3499999999999996</v>
      </c>
      <c r="H691" s="12" t="e">
        <f t="shared" si="21"/>
        <v>#NUM!</v>
      </c>
      <c r="I691" s="3">
        <v>4.35182</v>
      </c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  <c r="DQ691" s="4"/>
      <c r="DR691" s="4"/>
      <c r="DS691" s="4"/>
      <c r="DT691" s="4"/>
      <c r="DU691" s="4"/>
      <c r="DV691" s="4"/>
      <c r="DW691" s="4"/>
      <c r="DX691" s="4"/>
      <c r="DY691" s="4"/>
      <c r="DZ691" s="4"/>
      <c r="EA691" s="4"/>
      <c r="EB691" s="4"/>
      <c r="EC691" s="4"/>
      <c r="ED691" s="4"/>
      <c r="EE691" s="4"/>
      <c r="EF691" s="4"/>
      <c r="EG691" s="4"/>
      <c r="EH691" s="4"/>
      <c r="EI691" s="4"/>
      <c r="EJ691" s="4"/>
      <c r="EK691" s="4"/>
      <c r="EL691" s="4"/>
      <c r="EM691" s="4"/>
      <c r="EN691" s="4"/>
      <c r="EO691" s="4"/>
      <c r="EP691" s="4"/>
      <c r="EQ691" s="4"/>
      <c r="ER691" s="4"/>
      <c r="ES691" s="4"/>
      <c r="ET691" s="4"/>
      <c r="EU691" s="4"/>
      <c r="EV691" s="4"/>
      <c r="EW691" s="4"/>
      <c r="EX691" s="4"/>
      <c r="EY691" s="4"/>
      <c r="EZ691" s="4"/>
      <c r="FA691" s="4"/>
      <c r="FB691" s="4"/>
      <c r="FC691" s="4"/>
      <c r="FD691" s="4"/>
      <c r="FE691" s="4"/>
      <c r="FF691" s="4"/>
      <c r="FG691" s="4"/>
      <c r="FH691" s="4"/>
      <c r="FI691" s="4">
        <v>4.3499999999999996</v>
      </c>
      <c r="FJ691" s="4"/>
      <c r="FK691" s="4"/>
      <c r="FL691" s="4"/>
      <c r="FM691" s="4"/>
      <c r="FN691" s="4"/>
      <c r="FO691" s="4"/>
      <c r="FP691" s="4"/>
      <c r="FQ691" s="4"/>
      <c r="FR691" s="4"/>
      <c r="FS691" s="4"/>
      <c r="FT691" s="4"/>
      <c r="FU691" s="4"/>
      <c r="FV691" s="4"/>
      <c r="FW691" s="4"/>
      <c r="FX691" s="4"/>
      <c r="FY691" s="4"/>
      <c r="FZ691" s="4"/>
      <c r="GA691" s="4"/>
      <c r="GB691" s="4"/>
      <c r="GC691" s="4"/>
      <c r="GD691" s="4"/>
      <c r="GE691" s="4"/>
      <c r="GF691" s="4"/>
      <c r="GG691" s="4"/>
      <c r="GH691" s="4"/>
      <c r="GI691" s="4"/>
      <c r="GJ691" s="4"/>
      <c r="GK691" s="4"/>
      <c r="GL691" s="4"/>
      <c r="GM691" s="4"/>
      <c r="GN691" s="4"/>
      <c r="GO691" s="4"/>
      <c r="GP691" s="4"/>
      <c r="GQ691" s="4"/>
      <c r="GR691" s="4"/>
      <c r="GS691" s="4"/>
      <c r="GT691" s="4"/>
      <c r="GU691" s="4"/>
      <c r="GV691" s="4"/>
      <c r="GW691" s="4"/>
      <c r="GX691" s="4"/>
      <c r="GY691" s="4"/>
      <c r="GZ691" s="4"/>
      <c r="HA691" s="4"/>
      <c r="HB691" s="4"/>
      <c r="HC691" s="4"/>
      <c r="HD691" s="4"/>
      <c r="HE691" s="4"/>
      <c r="HF691" s="4"/>
      <c r="HG691" s="4"/>
      <c r="HH691" s="4"/>
      <c r="HI691" s="4"/>
      <c r="HJ691" s="4"/>
    </row>
    <row r="692" spans="1:218" hidden="1">
      <c r="A692" t="s">
        <v>2080</v>
      </c>
      <c r="B692" t="s">
        <v>2081</v>
      </c>
      <c r="C692" t="s">
        <v>489</v>
      </c>
      <c r="D692" t="s">
        <v>490</v>
      </c>
      <c r="E692" t="s">
        <v>490</v>
      </c>
      <c r="F692" s="3">
        <v>1</v>
      </c>
      <c r="G692" s="12">
        <f t="shared" si="20"/>
        <v>4.59</v>
      </c>
      <c r="H692" s="12" t="e">
        <f t="shared" si="21"/>
        <v>#NUM!</v>
      </c>
      <c r="I692" s="3">
        <v>4.5880799999999997</v>
      </c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>
        <v>4.59</v>
      </c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  <c r="DQ692" s="4"/>
      <c r="DR692" s="4"/>
      <c r="DS692" s="4"/>
      <c r="DT692" s="4"/>
      <c r="DU692" s="4"/>
      <c r="DV692" s="4"/>
      <c r="DW692" s="4"/>
      <c r="DX692" s="4"/>
      <c r="DY692" s="4"/>
      <c r="DZ692" s="4"/>
      <c r="EA692" s="4"/>
      <c r="EB692" s="4"/>
      <c r="EC692" s="4"/>
      <c r="ED692" s="4"/>
      <c r="EE692" s="4"/>
      <c r="EF692" s="4"/>
      <c r="EG692" s="4"/>
      <c r="EH692" s="4"/>
      <c r="EI692" s="4"/>
      <c r="EJ692" s="4"/>
      <c r="EK692" s="4"/>
      <c r="EL692" s="4"/>
      <c r="EM692" s="4"/>
      <c r="EN692" s="4"/>
      <c r="EO692" s="4"/>
      <c r="EP692" s="4"/>
      <c r="EQ692" s="4"/>
      <c r="ER692" s="4"/>
      <c r="ES692" s="4"/>
      <c r="ET692" s="4"/>
      <c r="EU692" s="4"/>
      <c r="EV692" s="4"/>
      <c r="EW692" s="4"/>
      <c r="EX692" s="4"/>
      <c r="EY692" s="4"/>
      <c r="EZ692" s="4"/>
      <c r="FA692" s="4"/>
      <c r="FB692" s="4"/>
      <c r="FC692" s="4"/>
      <c r="FD692" s="4"/>
      <c r="FE692" s="4"/>
      <c r="FF692" s="4"/>
      <c r="FG692" s="4"/>
      <c r="FH692" s="4"/>
      <c r="FI692" s="4"/>
      <c r="FJ692" s="4"/>
      <c r="FK692" s="4"/>
      <c r="FL692" s="4"/>
      <c r="FM692" s="4"/>
      <c r="FN692" s="4"/>
      <c r="FO692" s="4"/>
      <c r="FP692" s="4"/>
      <c r="FQ692" s="4"/>
      <c r="FR692" s="4"/>
      <c r="FS692" s="4"/>
      <c r="FT692" s="4"/>
      <c r="FU692" s="4"/>
      <c r="FV692" s="4"/>
      <c r="FW692" s="4"/>
      <c r="FX692" s="4"/>
      <c r="FY692" s="4"/>
      <c r="FZ692" s="4"/>
      <c r="GA692" s="4"/>
      <c r="GB692" s="4"/>
      <c r="GC692" s="4"/>
      <c r="GD692" s="4"/>
      <c r="GE692" s="4"/>
      <c r="GF692" s="4"/>
      <c r="GG692" s="4"/>
      <c r="GH692" s="4"/>
      <c r="GI692" s="4"/>
      <c r="GJ692" s="4"/>
      <c r="GK692" s="4"/>
      <c r="GL692" s="4"/>
      <c r="GM692" s="4"/>
      <c r="GN692" s="4"/>
      <c r="GO692" s="4"/>
      <c r="GP692" s="4"/>
      <c r="GQ692" s="4"/>
      <c r="GR692" s="4"/>
      <c r="GS692" s="4"/>
      <c r="GT692" s="4"/>
      <c r="GU692" s="4"/>
      <c r="GV692" s="4"/>
      <c r="GW692" s="4"/>
      <c r="GX692" s="4"/>
      <c r="GY692" s="4"/>
      <c r="GZ692" s="4"/>
      <c r="HA692" s="4"/>
      <c r="HB692" s="4"/>
      <c r="HC692" s="4"/>
      <c r="HD692" s="4"/>
      <c r="HE692" s="4"/>
      <c r="HF692" s="4"/>
      <c r="HG692" s="4"/>
      <c r="HH692" s="4"/>
      <c r="HI692" s="4"/>
      <c r="HJ692" s="4"/>
    </row>
    <row r="693" spans="1:218" hidden="1">
      <c r="A693" t="s">
        <v>2183</v>
      </c>
      <c r="B693" t="s">
        <v>2184</v>
      </c>
      <c r="C693" t="s">
        <v>505</v>
      </c>
      <c r="D693" t="s">
        <v>2185</v>
      </c>
      <c r="E693" t="s">
        <v>2186</v>
      </c>
      <c r="F693" s="3">
        <v>1</v>
      </c>
      <c r="G693" s="12">
        <f t="shared" si="20"/>
        <v>4.3600000000000003</v>
      </c>
      <c r="H693" s="12" t="e">
        <f t="shared" si="21"/>
        <v>#NUM!</v>
      </c>
      <c r="I693" s="3">
        <v>4.3619599999999998</v>
      </c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  <c r="DQ693" s="4"/>
      <c r="DR693" s="4"/>
      <c r="DS693" s="4"/>
      <c r="DT693" s="4"/>
      <c r="DU693" s="4"/>
      <c r="DV693" s="4"/>
      <c r="DW693" s="4"/>
      <c r="DX693" s="4"/>
      <c r="DY693" s="4"/>
      <c r="DZ693" s="4"/>
      <c r="EA693" s="4"/>
      <c r="EB693" s="4"/>
      <c r="EC693" s="4"/>
      <c r="ED693" s="4"/>
      <c r="EE693" s="4"/>
      <c r="EF693" s="4"/>
      <c r="EG693" s="4"/>
      <c r="EH693" s="4"/>
      <c r="EI693" s="4"/>
      <c r="EJ693" s="4"/>
      <c r="EK693" s="4"/>
      <c r="EL693" s="4"/>
      <c r="EM693" s="4"/>
      <c r="EN693" s="4"/>
      <c r="EO693" s="4"/>
      <c r="EP693" s="4"/>
      <c r="EQ693" s="4"/>
      <c r="ER693" s="4"/>
      <c r="ES693" s="4"/>
      <c r="ET693" s="4">
        <v>4.3600000000000003</v>
      </c>
      <c r="EU693" s="4"/>
      <c r="EV693" s="4"/>
      <c r="EW693" s="4"/>
      <c r="EX693" s="4"/>
      <c r="EY693" s="4"/>
      <c r="EZ693" s="4"/>
      <c r="FA693" s="4"/>
      <c r="FB693" s="4"/>
      <c r="FC693" s="4"/>
      <c r="FD693" s="4"/>
      <c r="FE693" s="4"/>
      <c r="FF693" s="4"/>
      <c r="FG693" s="4"/>
      <c r="FH693" s="4"/>
      <c r="FI693" s="4"/>
      <c r="FJ693" s="4"/>
      <c r="FK693" s="4"/>
      <c r="FL693" s="4"/>
      <c r="FM693" s="4"/>
      <c r="FN693" s="4"/>
      <c r="FO693" s="4"/>
      <c r="FP693" s="4"/>
      <c r="FQ693" s="4"/>
      <c r="FR693" s="4"/>
      <c r="FS693" s="4"/>
      <c r="FT693" s="4"/>
      <c r="FU693" s="4"/>
      <c r="FV693" s="4"/>
      <c r="FW693" s="4"/>
      <c r="FX693" s="4"/>
      <c r="FY693" s="4"/>
      <c r="FZ693" s="4"/>
      <c r="GA693" s="4"/>
      <c r="GB693" s="4"/>
      <c r="GC693" s="4"/>
      <c r="GD693" s="4"/>
      <c r="GE693" s="4"/>
      <c r="GF693" s="4"/>
      <c r="GG693" s="4"/>
      <c r="GH693" s="4"/>
      <c r="GI693" s="4"/>
      <c r="GJ693" s="4"/>
      <c r="GK693" s="4"/>
      <c r="GL693" s="4"/>
      <c r="GM693" s="4"/>
      <c r="GN693" s="4"/>
      <c r="GO693" s="4"/>
      <c r="GP693" s="4"/>
      <c r="GQ693" s="4"/>
      <c r="GR693" s="4"/>
      <c r="GS693" s="4"/>
      <c r="GT693" s="4"/>
      <c r="GU693" s="4"/>
      <c r="GV693" s="4"/>
      <c r="GW693" s="4"/>
      <c r="GX693" s="4"/>
      <c r="GY693" s="4"/>
      <c r="GZ693" s="4"/>
      <c r="HA693" s="4"/>
      <c r="HB693" s="4"/>
      <c r="HC693" s="4"/>
      <c r="HD693" s="4"/>
      <c r="HE693" s="4"/>
      <c r="HF693" s="4"/>
      <c r="HG693" s="4"/>
      <c r="HH693" s="4"/>
      <c r="HI693" s="4"/>
      <c r="HJ693" s="4"/>
    </row>
    <row r="694" spans="1:218" hidden="1">
      <c r="A694" t="s">
        <v>2775</v>
      </c>
      <c r="B694" t="s">
        <v>2776</v>
      </c>
      <c r="C694" t="s">
        <v>505</v>
      </c>
      <c r="D694" t="s">
        <v>2777</v>
      </c>
      <c r="E694" t="s">
        <v>2778</v>
      </c>
      <c r="F694" s="3">
        <v>1</v>
      </c>
      <c r="G694" s="12">
        <f t="shared" si="20"/>
        <v>2.89</v>
      </c>
      <c r="H694" s="12" t="e">
        <f t="shared" si="21"/>
        <v>#NUM!</v>
      </c>
      <c r="I694" s="3">
        <v>2.89391</v>
      </c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>
        <v>2.89</v>
      </c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  <c r="DQ694" s="4"/>
      <c r="DR694" s="4"/>
      <c r="DS694" s="4"/>
      <c r="DT694" s="4"/>
      <c r="DU694" s="4"/>
      <c r="DV694" s="4"/>
      <c r="DW694" s="4"/>
      <c r="DX694" s="4"/>
      <c r="DY694" s="4"/>
      <c r="DZ694" s="4"/>
      <c r="EA694" s="4"/>
      <c r="EB694" s="4"/>
      <c r="EC694" s="4"/>
      <c r="ED694" s="4"/>
      <c r="EE694" s="4"/>
      <c r="EF694" s="4"/>
      <c r="EG694" s="4"/>
      <c r="EH694" s="4"/>
      <c r="EI694" s="4"/>
      <c r="EJ694" s="4"/>
      <c r="EK694" s="4"/>
      <c r="EL694" s="4"/>
      <c r="EM694" s="4"/>
      <c r="EN694" s="4"/>
      <c r="EO694" s="4"/>
      <c r="EP694" s="4"/>
      <c r="EQ694" s="4"/>
      <c r="ER694" s="4"/>
      <c r="ES694" s="4"/>
      <c r="ET694" s="4"/>
      <c r="EU694" s="4"/>
      <c r="EV694" s="4"/>
      <c r="EW694" s="4"/>
      <c r="EX694" s="4"/>
      <c r="EY694" s="4"/>
      <c r="EZ694" s="4"/>
      <c r="FA694" s="4"/>
      <c r="FB694" s="4"/>
      <c r="FC694" s="4"/>
      <c r="FD694" s="4"/>
      <c r="FE694" s="4"/>
      <c r="FF694" s="4"/>
      <c r="FG694" s="4"/>
      <c r="FH694" s="4"/>
      <c r="FI694" s="4"/>
      <c r="FJ694" s="4"/>
      <c r="FK694" s="4"/>
      <c r="FL694" s="4"/>
      <c r="FM694" s="4"/>
      <c r="FN694" s="4"/>
      <c r="FO694" s="4"/>
      <c r="FP694" s="4"/>
      <c r="FQ694" s="4"/>
      <c r="FR694" s="4"/>
      <c r="FS694" s="4"/>
      <c r="FT694" s="4"/>
      <c r="FU694" s="4"/>
      <c r="FV694" s="4"/>
      <c r="FW694" s="4"/>
      <c r="FX694" s="4"/>
      <c r="FY694" s="4"/>
      <c r="FZ694" s="4"/>
      <c r="GA694" s="4"/>
      <c r="GB694" s="4"/>
      <c r="GC694" s="4"/>
      <c r="GD694" s="4"/>
      <c r="GE694" s="4"/>
      <c r="GF694" s="4"/>
      <c r="GG694" s="4"/>
      <c r="GH694" s="4"/>
      <c r="GI694" s="4"/>
      <c r="GJ694" s="4"/>
      <c r="GK694" s="4"/>
      <c r="GL694" s="4"/>
      <c r="GM694" s="4"/>
      <c r="GN694" s="4"/>
      <c r="GO694" s="4"/>
      <c r="GP694" s="4"/>
      <c r="GQ694" s="4"/>
      <c r="GR694" s="4"/>
      <c r="GS694" s="4"/>
      <c r="GT694" s="4"/>
      <c r="GU694" s="4"/>
      <c r="GV694" s="4"/>
      <c r="GW694" s="4"/>
      <c r="GX694" s="4"/>
      <c r="GY694" s="4"/>
      <c r="GZ694" s="4"/>
      <c r="HA694" s="4"/>
      <c r="HB694" s="4"/>
      <c r="HC694" s="4"/>
      <c r="HD694" s="4"/>
      <c r="HE694" s="4"/>
      <c r="HF694" s="4"/>
      <c r="HG694" s="4"/>
      <c r="HH694" s="4"/>
      <c r="HI694" s="4"/>
      <c r="HJ694" s="4"/>
    </row>
    <row r="695" spans="1:218" hidden="1">
      <c r="A695" t="s">
        <v>2413</v>
      </c>
      <c r="B695" t="s">
        <v>2414</v>
      </c>
      <c r="C695" t="s">
        <v>1790</v>
      </c>
      <c r="D695" t="s">
        <v>2415</v>
      </c>
      <c r="E695" t="s">
        <v>2416</v>
      </c>
      <c r="F695" s="3">
        <v>1</v>
      </c>
      <c r="G695" s="12">
        <f t="shared" si="20"/>
        <v>3.85</v>
      </c>
      <c r="H695" s="12" t="e">
        <f t="shared" si="21"/>
        <v>#NUM!</v>
      </c>
      <c r="I695" s="3">
        <v>3.855</v>
      </c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>
        <v>3.85</v>
      </c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  <c r="DQ695" s="4"/>
      <c r="DR695" s="4"/>
      <c r="DS695" s="4"/>
      <c r="DT695" s="4"/>
      <c r="DU695" s="4"/>
      <c r="DV695" s="4"/>
      <c r="DW695" s="4"/>
      <c r="DX695" s="4"/>
      <c r="DY695" s="4"/>
      <c r="DZ695" s="4"/>
      <c r="EA695" s="4"/>
      <c r="EB695" s="4"/>
      <c r="EC695" s="4"/>
      <c r="ED695" s="4"/>
      <c r="EE695" s="4"/>
      <c r="EF695" s="4"/>
      <c r="EG695" s="4"/>
      <c r="EH695" s="4"/>
      <c r="EI695" s="4"/>
      <c r="EJ695" s="4"/>
      <c r="EK695" s="4"/>
      <c r="EL695" s="4"/>
      <c r="EM695" s="4"/>
      <c r="EN695" s="4"/>
      <c r="EO695" s="4"/>
      <c r="EP695" s="4"/>
      <c r="EQ695" s="4"/>
      <c r="ER695" s="4"/>
      <c r="ES695" s="4"/>
      <c r="ET695" s="4"/>
      <c r="EU695" s="4"/>
      <c r="EV695" s="4"/>
      <c r="EW695" s="4"/>
      <c r="EX695" s="4"/>
      <c r="EY695" s="4"/>
      <c r="EZ695" s="4"/>
      <c r="FA695" s="4"/>
      <c r="FB695" s="4"/>
      <c r="FC695" s="4"/>
      <c r="FD695" s="4"/>
      <c r="FE695" s="4"/>
      <c r="FF695" s="4"/>
      <c r="FG695" s="4"/>
      <c r="FH695" s="4"/>
      <c r="FI695" s="4"/>
      <c r="FJ695" s="4"/>
      <c r="FK695" s="4"/>
      <c r="FL695" s="4"/>
      <c r="FM695" s="4"/>
      <c r="FN695" s="4"/>
      <c r="FO695" s="4"/>
      <c r="FP695" s="4"/>
      <c r="FQ695" s="4"/>
      <c r="FR695" s="4"/>
      <c r="FS695" s="4"/>
      <c r="FT695" s="4"/>
      <c r="FU695" s="4"/>
      <c r="FV695" s="4"/>
      <c r="FW695" s="4"/>
      <c r="FX695" s="4"/>
      <c r="FY695" s="4"/>
      <c r="FZ695" s="4"/>
      <c r="GA695" s="4"/>
      <c r="GB695" s="4"/>
      <c r="GC695" s="4"/>
      <c r="GD695" s="4"/>
      <c r="GE695" s="4"/>
      <c r="GF695" s="4"/>
      <c r="GG695" s="4"/>
      <c r="GH695" s="4"/>
      <c r="GI695" s="4"/>
      <c r="GJ695" s="4"/>
      <c r="GK695" s="4"/>
      <c r="GL695" s="4"/>
      <c r="GM695" s="4"/>
      <c r="GN695" s="4"/>
      <c r="GO695" s="4"/>
      <c r="GP695" s="4"/>
      <c r="GQ695" s="4"/>
      <c r="GR695" s="4"/>
      <c r="GS695" s="4"/>
      <c r="GT695" s="4"/>
      <c r="GU695" s="4"/>
      <c r="GV695" s="4"/>
      <c r="GW695" s="4"/>
      <c r="GX695" s="4"/>
      <c r="GY695" s="4"/>
      <c r="GZ695" s="4"/>
      <c r="HA695" s="4"/>
      <c r="HB695" s="4"/>
      <c r="HC695" s="4"/>
      <c r="HD695" s="4"/>
      <c r="HE695" s="4"/>
      <c r="HF695" s="4"/>
      <c r="HG695" s="4"/>
      <c r="HH695" s="4"/>
      <c r="HI695" s="4"/>
      <c r="HJ695" s="4"/>
    </row>
    <row r="696" spans="1:218" hidden="1">
      <c r="A696" t="s">
        <v>2315</v>
      </c>
      <c r="B696" t="s">
        <v>2316</v>
      </c>
      <c r="C696" t="s">
        <v>505</v>
      </c>
      <c r="D696" t="s">
        <v>2317</v>
      </c>
      <c r="E696" t="s">
        <v>2318</v>
      </c>
      <c r="F696" s="3">
        <v>1</v>
      </c>
      <c r="G696" s="12">
        <f t="shared" si="20"/>
        <v>4.1100000000000003</v>
      </c>
      <c r="H696" s="12" t="e">
        <f t="shared" si="21"/>
        <v>#NUM!</v>
      </c>
      <c r="I696" s="3">
        <v>4.1096599999999999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>
        <v>4.1100000000000003</v>
      </c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  <c r="DQ696" s="4"/>
      <c r="DR696" s="4"/>
      <c r="DS696" s="4"/>
      <c r="DT696" s="4"/>
      <c r="DU696" s="4"/>
      <c r="DV696" s="4"/>
      <c r="DW696" s="4"/>
      <c r="DX696" s="4"/>
      <c r="DY696" s="4"/>
      <c r="DZ696" s="4"/>
      <c r="EA696" s="4"/>
      <c r="EB696" s="4"/>
      <c r="EC696" s="4"/>
      <c r="ED696" s="4"/>
      <c r="EE696" s="4"/>
      <c r="EF696" s="4"/>
      <c r="EG696" s="4"/>
      <c r="EH696" s="4"/>
      <c r="EI696" s="4"/>
      <c r="EJ696" s="4"/>
      <c r="EK696" s="4"/>
      <c r="EL696" s="4"/>
      <c r="EM696" s="4"/>
      <c r="EN696" s="4"/>
      <c r="EO696" s="4"/>
      <c r="EP696" s="4"/>
      <c r="EQ696" s="4"/>
      <c r="ER696" s="4"/>
      <c r="ES696" s="4"/>
      <c r="ET696" s="4"/>
      <c r="EU696" s="4"/>
      <c r="EV696" s="4"/>
      <c r="EW696" s="4"/>
      <c r="EX696" s="4"/>
      <c r="EY696" s="4"/>
      <c r="EZ696" s="4"/>
      <c r="FA696" s="4"/>
      <c r="FB696" s="4"/>
      <c r="FC696" s="4"/>
      <c r="FD696" s="4"/>
      <c r="FE696" s="4"/>
      <c r="FF696" s="4"/>
      <c r="FG696" s="4"/>
      <c r="FH696" s="4"/>
      <c r="FI696" s="4"/>
      <c r="FJ696" s="4"/>
      <c r="FK696" s="4"/>
      <c r="FL696" s="4"/>
      <c r="FM696" s="4"/>
      <c r="FN696" s="4"/>
      <c r="FO696" s="4"/>
      <c r="FP696" s="4"/>
      <c r="FQ696" s="4"/>
      <c r="FR696" s="4"/>
      <c r="FS696" s="4"/>
      <c r="FT696" s="4"/>
      <c r="FU696" s="4"/>
      <c r="FV696" s="4"/>
      <c r="FW696" s="4"/>
      <c r="FX696" s="4"/>
      <c r="FY696" s="4"/>
      <c r="FZ696" s="4"/>
      <c r="GA696" s="4"/>
      <c r="GB696" s="4"/>
      <c r="GC696" s="4"/>
      <c r="GD696" s="4"/>
      <c r="GE696" s="4"/>
      <c r="GF696" s="4"/>
      <c r="GG696" s="4"/>
      <c r="GH696" s="4"/>
      <c r="GI696" s="4"/>
      <c r="GJ696" s="4"/>
      <c r="GK696" s="4"/>
      <c r="GL696" s="4"/>
      <c r="GM696" s="4"/>
      <c r="GN696" s="4"/>
      <c r="GO696" s="4"/>
      <c r="GP696" s="4"/>
      <c r="GQ696" s="4"/>
      <c r="GR696" s="4"/>
      <c r="GS696" s="4"/>
      <c r="GT696" s="4"/>
      <c r="GU696" s="4"/>
      <c r="GV696" s="4"/>
      <c r="GW696" s="4"/>
      <c r="GX696" s="4"/>
      <c r="GY696" s="4"/>
      <c r="GZ696" s="4"/>
      <c r="HA696" s="4"/>
      <c r="HB696" s="4"/>
      <c r="HC696" s="4"/>
      <c r="HD696" s="4"/>
      <c r="HE696" s="4"/>
      <c r="HF696" s="4"/>
      <c r="HG696" s="4"/>
      <c r="HH696" s="4"/>
      <c r="HI696" s="4"/>
      <c r="HJ696" s="4"/>
    </row>
    <row r="697" spans="1:218" hidden="1">
      <c r="A697" t="s">
        <v>2498</v>
      </c>
      <c r="B697" t="s">
        <v>2499</v>
      </c>
      <c r="C697" t="s">
        <v>505</v>
      </c>
      <c r="D697" t="s">
        <v>2500</v>
      </c>
      <c r="E697" t="s">
        <v>2501</v>
      </c>
      <c r="F697" s="3">
        <v>1</v>
      </c>
      <c r="G697" s="12">
        <f t="shared" si="20"/>
        <v>3.68</v>
      </c>
      <c r="H697" s="12" t="e">
        <f t="shared" si="21"/>
        <v>#NUM!</v>
      </c>
      <c r="I697" s="3">
        <v>3.6820200000000001</v>
      </c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  <c r="DQ697" s="4"/>
      <c r="DR697" s="4"/>
      <c r="DS697" s="4"/>
      <c r="DT697" s="4"/>
      <c r="DU697" s="4"/>
      <c r="DV697" s="4"/>
      <c r="DW697" s="4"/>
      <c r="DX697" s="4"/>
      <c r="DY697" s="4"/>
      <c r="DZ697" s="4"/>
      <c r="EA697" s="4"/>
      <c r="EB697" s="4"/>
      <c r="EC697" s="4"/>
      <c r="ED697" s="4"/>
      <c r="EE697" s="4"/>
      <c r="EF697" s="4"/>
      <c r="EG697" s="4"/>
      <c r="EH697" s="4"/>
      <c r="EI697" s="4"/>
      <c r="EJ697" s="4"/>
      <c r="EK697" s="4"/>
      <c r="EL697" s="4"/>
      <c r="EM697" s="4"/>
      <c r="EN697" s="4"/>
      <c r="EO697" s="4"/>
      <c r="EP697" s="4"/>
      <c r="EQ697" s="4">
        <v>3.68</v>
      </c>
      <c r="ER697" s="4"/>
      <c r="ES697" s="4"/>
      <c r="ET697" s="4"/>
      <c r="EU697" s="4"/>
      <c r="EV697" s="4"/>
      <c r="EW697" s="4"/>
      <c r="EX697" s="4"/>
      <c r="EY697" s="4"/>
      <c r="EZ697" s="4"/>
      <c r="FA697" s="4"/>
      <c r="FB697" s="4"/>
      <c r="FC697" s="4"/>
      <c r="FD697" s="4"/>
      <c r="FE697" s="4"/>
      <c r="FF697" s="4"/>
      <c r="FG697" s="4"/>
      <c r="FH697" s="4"/>
      <c r="FI697" s="4"/>
      <c r="FJ697" s="4"/>
      <c r="FK697" s="4"/>
      <c r="FL697" s="4"/>
      <c r="FM697" s="4"/>
      <c r="FN697" s="4"/>
      <c r="FO697" s="4"/>
      <c r="FP697" s="4"/>
      <c r="FQ697" s="4"/>
      <c r="FR697" s="4"/>
      <c r="FS697" s="4"/>
      <c r="FT697" s="4"/>
      <c r="FU697" s="4"/>
      <c r="FV697" s="4"/>
      <c r="FW697" s="4"/>
      <c r="FX697" s="4"/>
      <c r="FY697" s="4"/>
      <c r="FZ697" s="4"/>
      <c r="GA697" s="4"/>
      <c r="GB697" s="4"/>
      <c r="GC697" s="4"/>
      <c r="GD697" s="4"/>
      <c r="GE697" s="4"/>
      <c r="GF697" s="4"/>
      <c r="GG697" s="4"/>
      <c r="GH697" s="4"/>
      <c r="GI697" s="4"/>
      <c r="GJ697" s="4"/>
      <c r="GK697" s="4"/>
      <c r="GL697" s="4"/>
      <c r="GM697" s="4"/>
      <c r="GN697" s="4"/>
      <c r="GO697" s="4"/>
      <c r="GP697" s="4"/>
      <c r="GQ697" s="4"/>
      <c r="GR697" s="4"/>
      <c r="GS697" s="4"/>
      <c r="GT697" s="4"/>
      <c r="GU697" s="4"/>
      <c r="GV697" s="4"/>
      <c r="GW697" s="4"/>
      <c r="GX697" s="4"/>
      <c r="GY697" s="4"/>
      <c r="GZ697" s="4"/>
      <c r="HA697" s="4"/>
      <c r="HB697" s="4"/>
      <c r="HC697" s="4"/>
      <c r="HD697" s="4"/>
      <c r="HE697" s="4"/>
      <c r="HF697" s="4"/>
      <c r="HG697" s="4"/>
      <c r="HH697" s="4"/>
      <c r="HI697" s="4"/>
      <c r="HJ697" s="4"/>
    </row>
    <row r="698" spans="1:218" hidden="1">
      <c r="A698" t="s">
        <v>1781</v>
      </c>
      <c r="B698" t="s">
        <v>1782</v>
      </c>
      <c r="C698" t="s">
        <v>489</v>
      </c>
      <c r="D698" t="s">
        <v>490</v>
      </c>
      <c r="E698" t="s">
        <v>490</v>
      </c>
      <c r="F698" s="3">
        <v>1</v>
      </c>
      <c r="G698" s="12">
        <f t="shared" si="20"/>
        <v>6.46</v>
      </c>
      <c r="H698" s="12" t="e">
        <f t="shared" si="21"/>
        <v>#NUM!</v>
      </c>
      <c r="I698" s="3">
        <v>6.4619004999999996</v>
      </c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>
        <v>6.46</v>
      </c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  <c r="DQ698" s="4"/>
      <c r="DR698" s="4"/>
      <c r="DS698" s="4"/>
      <c r="DT698" s="4"/>
      <c r="DU698" s="4"/>
      <c r="DV698" s="4"/>
      <c r="DW698" s="4"/>
      <c r="DX698" s="4"/>
      <c r="DY698" s="4"/>
      <c r="DZ698" s="4"/>
      <c r="EA698" s="4"/>
      <c r="EB698" s="4"/>
      <c r="EC698" s="4"/>
      <c r="ED698" s="4"/>
      <c r="EE698" s="4"/>
      <c r="EF698" s="4"/>
      <c r="EG698" s="4"/>
      <c r="EH698" s="4"/>
      <c r="EI698" s="4"/>
      <c r="EJ698" s="4"/>
      <c r="EK698" s="4"/>
      <c r="EL698" s="4"/>
      <c r="EM698" s="4"/>
      <c r="EN698" s="4"/>
      <c r="EO698" s="4"/>
      <c r="EP698" s="4"/>
      <c r="EQ698" s="4"/>
      <c r="ER698" s="4"/>
      <c r="ES698" s="4"/>
      <c r="ET698" s="4"/>
      <c r="EU698" s="4"/>
      <c r="EV698" s="4"/>
      <c r="EW698" s="4"/>
      <c r="EX698" s="4"/>
      <c r="EY698" s="4"/>
      <c r="EZ698" s="4"/>
      <c r="FA698" s="4"/>
      <c r="FB698" s="4"/>
      <c r="FC698" s="4"/>
      <c r="FD698" s="4"/>
      <c r="FE698" s="4"/>
      <c r="FF698" s="4"/>
      <c r="FG698" s="4"/>
      <c r="FH698" s="4"/>
      <c r="FI698" s="4"/>
      <c r="FJ698" s="4"/>
      <c r="FK698" s="4"/>
      <c r="FL698" s="4"/>
      <c r="FM698" s="4"/>
      <c r="FN698" s="4"/>
      <c r="FO698" s="4"/>
      <c r="FP698" s="4"/>
      <c r="FQ698" s="4"/>
      <c r="FR698" s="4"/>
      <c r="FS698" s="4"/>
      <c r="FT698" s="4"/>
      <c r="FU698" s="4"/>
      <c r="FV698" s="4"/>
      <c r="FW698" s="4"/>
      <c r="FX698" s="4"/>
      <c r="FY698" s="4"/>
      <c r="FZ698" s="4"/>
      <c r="GA698" s="4"/>
      <c r="GB698" s="4"/>
      <c r="GC698" s="4"/>
      <c r="GD698" s="4"/>
      <c r="GE698" s="4"/>
      <c r="GF698" s="4"/>
      <c r="GG698" s="4"/>
      <c r="GH698" s="4"/>
      <c r="GI698" s="4"/>
      <c r="GJ698" s="4"/>
      <c r="GK698" s="4"/>
      <c r="GL698" s="4"/>
      <c r="GM698" s="4"/>
      <c r="GN698" s="4"/>
      <c r="GO698" s="4"/>
      <c r="GP698" s="4"/>
      <c r="GQ698" s="4"/>
      <c r="GR698" s="4"/>
      <c r="GS698" s="4"/>
      <c r="GT698" s="4"/>
      <c r="GU698" s="4"/>
      <c r="GV698" s="4"/>
      <c r="GW698" s="4"/>
      <c r="GX698" s="4"/>
      <c r="GY698" s="4"/>
      <c r="GZ698" s="4"/>
      <c r="HA698" s="4"/>
      <c r="HB698" s="4"/>
      <c r="HC698" s="4"/>
      <c r="HD698" s="4"/>
      <c r="HE698" s="4"/>
      <c r="HF698" s="4"/>
      <c r="HG698" s="4"/>
      <c r="HH698" s="4"/>
      <c r="HI698" s="4"/>
      <c r="HJ698" s="4"/>
    </row>
    <row r="699" spans="1:218" hidden="1">
      <c r="A699" t="s">
        <v>2639</v>
      </c>
      <c r="B699" t="s">
        <v>2640</v>
      </c>
      <c r="C699" t="s">
        <v>1055</v>
      </c>
      <c r="D699" t="s">
        <v>2641</v>
      </c>
      <c r="E699" t="s">
        <v>2642</v>
      </c>
      <c r="F699" s="3">
        <v>1</v>
      </c>
      <c r="G699" s="12">
        <f t="shared" si="20"/>
        <v>3.27</v>
      </c>
      <c r="H699" s="12" t="e">
        <f t="shared" si="21"/>
        <v>#NUM!</v>
      </c>
      <c r="I699" s="3">
        <v>3.2743397999999999</v>
      </c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>
        <v>3.27</v>
      </c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  <c r="DQ699" s="4"/>
      <c r="DR699" s="4"/>
      <c r="DS699" s="4"/>
      <c r="DT699" s="4"/>
      <c r="DU699" s="4"/>
      <c r="DV699" s="4"/>
      <c r="DW699" s="4"/>
      <c r="DX699" s="4"/>
      <c r="DY699" s="4"/>
      <c r="DZ699" s="4"/>
      <c r="EA699" s="4"/>
      <c r="EB699" s="4"/>
      <c r="EC699" s="4"/>
      <c r="ED699" s="4"/>
      <c r="EE699" s="4"/>
      <c r="EF699" s="4"/>
      <c r="EG699" s="4"/>
      <c r="EH699" s="4"/>
      <c r="EI699" s="4"/>
      <c r="EJ699" s="4"/>
      <c r="EK699" s="4"/>
      <c r="EL699" s="4"/>
      <c r="EM699" s="4"/>
      <c r="EN699" s="4"/>
      <c r="EO699" s="4"/>
      <c r="EP699" s="4"/>
      <c r="EQ699" s="4"/>
      <c r="ER699" s="4"/>
      <c r="ES699" s="4"/>
      <c r="ET699" s="4"/>
      <c r="EU699" s="4"/>
      <c r="EV699" s="4"/>
      <c r="EW699" s="4"/>
      <c r="EX699" s="4"/>
      <c r="EY699" s="4"/>
      <c r="EZ699" s="4"/>
      <c r="FA699" s="4"/>
      <c r="FB699" s="4"/>
      <c r="FC699" s="4"/>
      <c r="FD699" s="4"/>
      <c r="FE699" s="4"/>
      <c r="FF699" s="4"/>
      <c r="FG699" s="4"/>
      <c r="FH699" s="4"/>
      <c r="FI699" s="4"/>
      <c r="FJ699" s="4"/>
      <c r="FK699" s="4"/>
      <c r="FL699" s="4"/>
      <c r="FM699" s="4"/>
      <c r="FN699" s="4"/>
      <c r="FO699" s="4"/>
      <c r="FP699" s="4"/>
      <c r="FQ699" s="4"/>
      <c r="FR699" s="4"/>
      <c r="FS699" s="4"/>
      <c r="FT699" s="4"/>
      <c r="FU699" s="4"/>
      <c r="FV699" s="4"/>
      <c r="FW699" s="4"/>
      <c r="FX699" s="4"/>
      <c r="FY699" s="4"/>
      <c r="FZ699" s="4"/>
      <c r="GA699" s="4"/>
      <c r="GB699" s="4"/>
      <c r="GC699" s="4"/>
      <c r="GD699" s="4"/>
      <c r="GE699" s="4"/>
      <c r="GF699" s="4"/>
      <c r="GG699" s="4"/>
      <c r="GH699" s="4"/>
      <c r="GI699" s="4"/>
      <c r="GJ699" s="4"/>
      <c r="GK699" s="4"/>
      <c r="GL699" s="4"/>
      <c r="GM699" s="4"/>
      <c r="GN699" s="4"/>
      <c r="GO699" s="4"/>
      <c r="GP699" s="4"/>
      <c r="GQ699" s="4"/>
      <c r="GR699" s="4"/>
      <c r="GS699" s="4"/>
      <c r="GT699" s="4"/>
      <c r="GU699" s="4"/>
      <c r="GV699" s="4"/>
      <c r="GW699" s="4"/>
      <c r="GX699" s="4"/>
      <c r="GY699" s="4"/>
      <c r="GZ699" s="4"/>
      <c r="HA699" s="4"/>
      <c r="HB699" s="4"/>
      <c r="HC699" s="4"/>
      <c r="HD699" s="4"/>
      <c r="HE699" s="4"/>
      <c r="HF699" s="4"/>
      <c r="HG699" s="4"/>
      <c r="HH699" s="4"/>
      <c r="HI699" s="4"/>
      <c r="HJ699" s="4"/>
    </row>
    <row r="700" spans="1:218" hidden="1">
      <c r="A700" t="s">
        <v>2755</v>
      </c>
      <c r="B700" t="s">
        <v>2756</v>
      </c>
      <c r="C700" t="s">
        <v>489</v>
      </c>
      <c r="D700" t="s">
        <v>490</v>
      </c>
      <c r="E700" t="s">
        <v>490</v>
      </c>
      <c r="F700" s="3">
        <v>1</v>
      </c>
      <c r="G700" s="12">
        <f t="shared" si="20"/>
        <v>2.97</v>
      </c>
      <c r="H700" s="12" t="e">
        <f t="shared" si="21"/>
        <v>#NUM!</v>
      </c>
      <c r="I700" s="3">
        <v>2.9730599999999998</v>
      </c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>
        <v>2.97</v>
      </c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  <c r="DQ700" s="4"/>
      <c r="DR700" s="4"/>
      <c r="DS700" s="4"/>
      <c r="DT700" s="4"/>
      <c r="DU700" s="4"/>
      <c r="DV700" s="4"/>
      <c r="DW700" s="4"/>
      <c r="DX700" s="4"/>
      <c r="DY700" s="4"/>
      <c r="DZ700" s="4"/>
      <c r="EA700" s="4"/>
      <c r="EB700" s="4"/>
      <c r="EC700" s="4"/>
      <c r="ED700" s="4"/>
      <c r="EE700" s="4"/>
      <c r="EF700" s="4"/>
      <c r="EG700" s="4"/>
      <c r="EH700" s="4"/>
      <c r="EI700" s="4"/>
      <c r="EJ700" s="4"/>
      <c r="EK700" s="4"/>
      <c r="EL700" s="4"/>
      <c r="EM700" s="4"/>
      <c r="EN700" s="4"/>
      <c r="EO700" s="4"/>
      <c r="EP700" s="4"/>
      <c r="EQ700" s="4"/>
      <c r="ER700" s="4"/>
      <c r="ES700" s="4"/>
      <c r="ET700" s="4"/>
      <c r="EU700" s="4"/>
      <c r="EV700" s="4"/>
      <c r="EW700" s="4"/>
      <c r="EX700" s="4"/>
      <c r="EY700" s="4"/>
      <c r="EZ700" s="4"/>
      <c r="FA700" s="4"/>
      <c r="FB700" s="4"/>
      <c r="FC700" s="4"/>
      <c r="FD700" s="4"/>
      <c r="FE700" s="4"/>
      <c r="FF700" s="4"/>
      <c r="FG700" s="4"/>
      <c r="FH700" s="4"/>
      <c r="FI700" s="4"/>
      <c r="FJ700" s="4"/>
      <c r="FK700" s="4"/>
      <c r="FL700" s="4"/>
      <c r="FM700" s="4"/>
      <c r="FN700" s="4"/>
      <c r="FO700" s="4"/>
      <c r="FP700" s="4"/>
      <c r="FQ700" s="4"/>
      <c r="FR700" s="4"/>
      <c r="FS700" s="4"/>
      <c r="FT700" s="4"/>
      <c r="FU700" s="4"/>
      <c r="FV700" s="4"/>
      <c r="FW700" s="4"/>
      <c r="FX700" s="4"/>
      <c r="FY700" s="4"/>
      <c r="FZ700" s="4"/>
      <c r="GA700" s="4"/>
      <c r="GB700" s="4"/>
      <c r="GC700" s="4"/>
      <c r="GD700" s="4"/>
      <c r="GE700" s="4"/>
      <c r="GF700" s="4"/>
      <c r="GG700" s="4"/>
      <c r="GH700" s="4"/>
      <c r="GI700" s="4"/>
      <c r="GJ700" s="4"/>
      <c r="GK700" s="4"/>
      <c r="GL700" s="4"/>
      <c r="GM700" s="4"/>
      <c r="GN700" s="4"/>
      <c r="GO700" s="4"/>
      <c r="GP700" s="4"/>
      <c r="GQ700" s="4"/>
      <c r="GR700" s="4"/>
      <c r="GS700" s="4"/>
      <c r="GT700" s="4"/>
      <c r="GU700" s="4"/>
      <c r="GV700" s="4"/>
      <c r="GW700" s="4"/>
      <c r="GX700" s="4"/>
      <c r="GY700" s="4"/>
      <c r="GZ700" s="4"/>
      <c r="HA700" s="4"/>
      <c r="HB700" s="4"/>
      <c r="HC700" s="4"/>
      <c r="HD700" s="4"/>
      <c r="HE700" s="4"/>
      <c r="HF700" s="4"/>
      <c r="HG700" s="4"/>
      <c r="HH700" s="4"/>
      <c r="HI700" s="4"/>
      <c r="HJ700" s="4"/>
    </row>
    <row r="701" spans="1:218" hidden="1">
      <c r="A701" t="s">
        <v>2399</v>
      </c>
      <c r="B701" t="s">
        <v>2400</v>
      </c>
      <c r="C701" t="s">
        <v>489</v>
      </c>
      <c r="D701" t="s">
        <v>490</v>
      </c>
      <c r="E701" t="s">
        <v>490</v>
      </c>
      <c r="F701" s="3">
        <v>1</v>
      </c>
      <c r="G701" s="12">
        <f t="shared" si="20"/>
        <v>3.93</v>
      </c>
      <c r="H701" s="12" t="e">
        <f t="shared" si="21"/>
        <v>#NUM!</v>
      </c>
      <c r="I701" s="3">
        <v>3.9267500000000002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  <c r="DQ701" s="4"/>
      <c r="DR701" s="4"/>
      <c r="DS701" s="4"/>
      <c r="DT701" s="4"/>
      <c r="DU701" s="4"/>
      <c r="DV701" s="4"/>
      <c r="DW701" s="4"/>
      <c r="DX701" s="4">
        <v>3.93</v>
      </c>
      <c r="DY701" s="4"/>
      <c r="DZ701" s="4"/>
      <c r="EA701" s="4"/>
      <c r="EB701" s="4"/>
      <c r="EC701" s="4"/>
      <c r="ED701" s="4"/>
      <c r="EE701" s="4"/>
      <c r="EF701" s="4"/>
      <c r="EG701" s="4"/>
      <c r="EH701" s="4"/>
      <c r="EI701" s="4"/>
      <c r="EJ701" s="4"/>
      <c r="EK701" s="4"/>
      <c r="EL701" s="4"/>
      <c r="EM701" s="4"/>
      <c r="EN701" s="4"/>
      <c r="EO701" s="4"/>
      <c r="EP701" s="4"/>
      <c r="EQ701" s="4"/>
      <c r="ER701" s="4"/>
      <c r="ES701" s="4"/>
      <c r="ET701" s="4"/>
      <c r="EU701" s="4"/>
      <c r="EV701" s="4"/>
      <c r="EW701" s="4"/>
      <c r="EX701" s="4"/>
      <c r="EY701" s="4"/>
      <c r="EZ701" s="4"/>
      <c r="FA701" s="4"/>
      <c r="FB701" s="4"/>
      <c r="FC701" s="4"/>
      <c r="FD701" s="4"/>
      <c r="FE701" s="4"/>
      <c r="FF701" s="4"/>
      <c r="FG701" s="4"/>
      <c r="FH701" s="4"/>
      <c r="FI701" s="4"/>
      <c r="FJ701" s="4"/>
      <c r="FK701" s="4"/>
      <c r="FL701" s="4"/>
      <c r="FM701" s="4"/>
      <c r="FN701" s="4"/>
      <c r="FO701" s="4"/>
      <c r="FP701" s="4"/>
      <c r="FQ701" s="4"/>
      <c r="FR701" s="4"/>
      <c r="FS701" s="4"/>
      <c r="FT701" s="4"/>
      <c r="FU701" s="4"/>
      <c r="FV701" s="4"/>
      <c r="FW701" s="4"/>
      <c r="FX701" s="4"/>
      <c r="FY701" s="4"/>
      <c r="FZ701" s="4"/>
      <c r="GA701" s="4"/>
      <c r="GB701" s="4"/>
      <c r="GC701" s="4"/>
      <c r="GD701" s="4"/>
      <c r="GE701" s="4"/>
      <c r="GF701" s="4"/>
      <c r="GG701" s="4"/>
      <c r="GH701" s="4"/>
      <c r="GI701" s="4"/>
      <c r="GJ701" s="4"/>
      <c r="GK701" s="4"/>
      <c r="GL701" s="4"/>
      <c r="GM701" s="4"/>
      <c r="GN701" s="4"/>
      <c r="GO701" s="4"/>
      <c r="GP701" s="4"/>
      <c r="GQ701" s="4"/>
      <c r="GR701" s="4"/>
      <c r="GS701" s="4"/>
      <c r="GT701" s="4"/>
      <c r="GU701" s="4"/>
      <c r="GV701" s="4"/>
      <c r="GW701" s="4"/>
      <c r="GX701" s="4"/>
      <c r="GY701" s="4"/>
      <c r="GZ701" s="4"/>
      <c r="HA701" s="4"/>
      <c r="HB701" s="4"/>
      <c r="HC701" s="4"/>
      <c r="HD701" s="4"/>
      <c r="HE701" s="4"/>
      <c r="HF701" s="4"/>
      <c r="HG701" s="4"/>
      <c r="HH701" s="4"/>
      <c r="HI701" s="4"/>
      <c r="HJ701" s="4"/>
    </row>
    <row r="702" spans="1:218" hidden="1">
      <c r="A702" t="s">
        <v>2597</v>
      </c>
      <c r="B702" t="s">
        <v>2598</v>
      </c>
      <c r="C702" t="s">
        <v>2149</v>
      </c>
      <c r="D702" t="s">
        <v>2599</v>
      </c>
      <c r="E702" t="s">
        <v>2600</v>
      </c>
      <c r="F702" s="3">
        <v>1</v>
      </c>
      <c r="G702" s="12">
        <f t="shared" si="20"/>
        <v>3.4</v>
      </c>
      <c r="H702" s="12" t="e">
        <f t="shared" si="21"/>
        <v>#NUM!</v>
      </c>
      <c r="I702" s="3">
        <v>3.4016099999999998</v>
      </c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  <c r="DQ702" s="4"/>
      <c r="DR702" s="4"/>
      <c r="DS702" s="4"/>
      <c r="DT702" s="4"/>
      <c r="DU702" s="4"/>
      <c r="DV702" s="4"/>
      <c r="DW702" s="4"/>
      <c r="DX702" s="4"/>
      <c r="DY702" s="4"/>
      <c r="DZ702" s="4"/>
      <c r="EA702" s="4"/>
      <c r="EB702" s="4"/>
      <c r="EC702" s="4"/>
      <c r="ED702" s="4"/>
      <c r="EE702" s="4"/>
      <c r="EF702" s="4"/>
      <c r="EG702" s="4"/>
      <c r="EH702" s="4"/>
      <c r="EI702" s="4"/>
      <c r="EJ702" s="4"/>
      <c r="EK702" s="4"/>
      <c r="EL702" s="4"/>
      <c r="EM702" s="4"/>
      <c r="EN702" s="4"/>
      <c r="EO702" s="4"/>
      <c r="EP702" s="4"/>
      <c r="EQ702" s="4"/>
      <c r="ER702" s="4"/>
      <c r="ES702" s="4"/>
      <c r="ET702" s="4"/>
      <c r="EU702" s="4"/>
      <c r="EV702" s="4"/>
      <c r="EW702" s="4">
        <v>3.4</v>
      </c>
      <c r="EX702" s="4"/>
      <c r="EY702" s="4"/>
      <c r="EZ702" s="4"/>
      <c r="FA702" s="4"/>
      <c r="FB702" s="4"/>
      <c r="FC702" s="4"/>
      <c r="FD702" s="4"/>
      <c r="FE702" s="4"/>
      <c r="FF702" s="4"/>
      <c r="FG702" s="4"/>
      <c r="FH702" s="4"/>
      <c r="FI702" s="4"/>
      <c r="FJ702" s="4"/>
      <c r="FK702" s="4"/>
      <c r="FL702" s="4"/>
      <c r="FM702" s="4"/>
      <c r="FN702" s="4"/>
      <c r="FO702" s="4"/>
      <c r="FP702" s="4"/>
      <c r="FQ702" s="4"/>
      <c r="FR702" s="4"/>
      <c r="FS702" s="4"/>
      <c r="FT702" s="4"/>
      <c r="FU702" s="4"/>
      <c r="FV702" s="4"/>
      <c r="FW702" s="4"/>
      <c r="FX702" s="4"/>
      <c r="FY702" s="4"/>
      <c r="FZ702" s="4"/>
      <c r="GA702" s="4"/>
      <c r="GB702" s="4"/>
      <c r="GC702" s="4"/>
      <c r="GD702" s="4"/>
      <c r="GE702" s="4"/>
      <c r="GF702" s="4"/>
      <c r="GG702" s="4"/>
      <c r="GH702" s="4"/>
      <c r="GI702" s="4"/>
      <c r="GJ702" s="4"/>
      <c r="GK702" s="4"/>
      <c r="GL702" s="4"/>
      <c r="GM702" s="4"/>
      <c r="GN702" s="4"/>
      <c r="GO702" s="4"/>
      <c r="GP702" s="4"/>
      <c r="GQ702" s="4"/>
      <c r="GR702" s="4"/>
      <c r="GS702" s="4"/>
      <c r="GT702" s="4"/>
      <c r="GU702" s="4"/>
      <c r="GV702" s="4"/>
      <c r="GW702" s="4"/>
      <c r="GX702" s="4"/>
      <c r="GY702" s="4"/>
      <c r="GZ702" s="4"/>
      <c r="HA702" s="4"/>
      <c r="HB702" s="4"/>
      <c r="HC702" s="4"/>
      <c r="HD702" s="4"/>
      <c r="HE702" s="4"/>
      <c r="HF702" s="4"/>
      <c r="HG702" s="4"/>
      <c r="HH702" s="4"/>
      <c r="HI702" s="4"/>
      <c r="HJ702" s="4"/>
    </row>
    <row r="703" spans="1:218" hidden="1">
      <c r="A703" t="s">
        <v>2528</v>
      </c>
      <c r="B703" t="s">
        <v>2529</v>
      </c>
      <c r="C703" t="s">
        <v>2530</v>
      </c>
      <c r="D703" t="s">
        <v>2531</v>
      </c>
      <c r="E703" t="s">
        <v>2532</v>
      </c>
      <c r="F703" s="3">
        <v>1</v>
      </c>
      <c r="G703" s="12">
        <f t="shared" si="20"/>
        <v>3.6</v>
      </c>
      <c r="H703" s="12" t="e">
        <f t="shared" si="21"/>
        <v>#NUM!</v>
      </c>
      <c r="I703" s="3">
        <v>3.5951200000000001</v>
      </c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  <c r="DQ703" s="4"/>
      <c r="DR703" s="4">
        <v>3.6</v>
      </c>
      <c r="DS703" s="4"/>
      <c r="DT703" s="4"/>
      <c r="DU703" s="4"/>
      <c r="DV703" s="4"/>
      <c r="DW703" s="4"/>
      <c r="DX703" s="4"/>
      <c r="DY703" s="4"/>
      <c r="DZ703" s="4"/>
      <c r="EA703" s="4"/>
      <c r="EB703" s="4"/>
      <c r="EC703" s="4"/>
      <c r="ED703" s="4"/>
      <c r="EE703" s="4"/>
      <c r="EF703" s="4"/>
      <c r="EG703" s="4"/>
      <c r="EH703" s="4"/>
      <c r="EI703" s="4"/>
      <c r="EJ703" s="4"/>
      <c r="EK703" s="4"/>
      <c r="EL703" s="4"/>
      <c r="EM703" s="4"/>
      <c r="EN703" s="4"/>
      <c r="EO703" s="4"/>
      <c r="EP703" s="4"/>
      <c r="EQ703" s="4"/>
      <c r="ER703" s="4"/>
      <c r="ES703" s="4"/>
      <c r="ET703" s="4"/>
      <c r="EU703" s="4"/>
      <c r="EV703" s="4"/>
      <c r="EW703" s="4"/>
      <c r="EX703" s="4"/>
      <c r="EY703" s="4"/>
      <c r="EZ703" s="4"/>
      <c r="FA703" s="4"/>
      <c r="FB703" s="4"/>
      <c r="FC703" s="4"/>
      <c r="FD703" s="4"/>
      <c r="FE703" s="4"/>
      <c r="FF703" s="4"/>
      <c r="FG703" s="4"/>
      <c r="FH703" s="4"/>
      <c r="FI703" s="4"/>
      <c r="FJ703" s="4"/>
      <c r="FK703" s="4"/>
      <c r="FL703" s="4"/>
      <c r="FM703" s="4"/>
      <c r="FN703" s="4"/>
      <c r="FO703" s="4"/>
      <c r="FP703" s="4"/>
      <c r="FQ703" s="4"/>
      <c r="FR703" s="4"/>
      <c r="FS703" s="4"/>
      <c r="FT703" s="4"/>
      <c r="FU703" s="4"/>
      <c r="FV703" s="4"/>
      <c r="FW703" s="4"/>
      <c r="FX703" s="4"/>
      <c r="FY703" s="4"/>
      <c r="FZ703" s="4"/>
      <c r="GA703" s="4"/>
      <c r="GB703" s="4"/>
      <c r="GC703" s="4"/>
      <c r="GD703" s="4"/>
      <c r="GE703" s="4"/>
      <c r="GF703" s="4"/>
      <c r="GG703" s="4"/>
      <c r="GH703" s="4"/>
      <c r="GI703" s="4"/>
      <c r="GJ703" s="4"/>
      <c r="GK703" s="4"/>
      <c r="GL703" s="4"/>
      <c r="GM703" s="4"/>
      <c r="GN703" s="4"/>
      <c r="GO703" s="4"/>
      <c r="GP703" s="4"/>
      <c r="GQ703" s="4"/>
      <c r="GR703" s="4"/>
      <c r="GS703" s="4"/>
      <c r="GT703" s="4"/>
      <c r="GU703" s="4"/>
      <c r="GV703" s="4"/>
      <c r="GW703" s="4"/>
      <c r="GX703" s="4"/>
      <c r="GY703" s="4"/>
      <c r="GZ703" s="4"/>
      <c r="HA703" s="4"/>
      <c r="HB703" s="4"/>
      <c r="HC703" s="4"/>
      <c r="HD703" s="4"/>
      <c r="HE703" s="4"/>
      <c r="HF703" s="4"/>
      <c r="HG703" s="4"/>
      <c r="HH703" s="4"/>
      <c r="HI703" s="4"/>
      <c r="HJ703" s="4"/>
    </row>
    <row r="704" spans="1:218" hidden="1">
      <c r="A704" t="s">
        <v>2890</v>
      </c>
      <c r="B704" t="s">
        <v>2891</v>
      </c>
      <c r="C704" t="s">
        <v>489</v>
      </c>
      <c r="D704" t="s">
        <v>490</v>
      </c>
      <c r="E704" t="s">
        <v>490</v>
      </c>
      <c r="F704" s="3">
        <v>1</v>
      </c>
      <c r="G704" s="12">
        <f t="shared" si="20"/>
        <v>2.42</v>
      </c>
      <c r="H704" s="12" t="e">
        <f t="shared" si="21"/>
        <v>#NUM!</v>
      </c>
      <c r="I704" s="3">
        <v>2.4221301</v>
      </c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>
        <v>2.42</v>
      </c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  <c r="DQ704" s="4"/>
      <c r="DR704" s="4"/>
      <c r="DS704" s="4"/>
      <c r="DT704" s="4"/>
      <c r="DU704" s="4"/>
      <c r="DV704" s="4"/>
      <c r="DW704" s="4"/>
      <c r="DX704" s="4"/>
      <c r="DY704" s="4"/>
      <c r="DZ704" s="4"/>
      <c r="EA704" s="4"/>
      <c r="EB704" s="4"/>
      <c r="EC704" s="4"/>
      <c r="ED704" s="4"/>
      <c r="EE704" s="4"/>
      <c r="EF704" s="4"/>
      <c r="EG704" s="4"/>
      <c r="EH704" s="4"/>
      <c r="EI704" s="4"/>
      <c r="EJ704" s="4"/>
      <c r="EK704" s="4"/>
      <c r="EL704" s="4"/>
      <c r="EM704" s="4"/>
      <c r="EN704" s="4"/>
      <c r="EO704" s="4"/>
      <c r="EP704" s="4"/>
      <c r="EQ704" s="4"/>
      <c r="ER704" s="4"/>
      <c r="ES704" s="4"/>
      <c r="ET704" s="4"/>
      <c r="EU704" s="4"/>
      <c r="EV704" s="4"/>
      <c r="EW704" s="4"/>
      <c r="EX704" s="4"/>
      <c r="EY704" s="4"/>
      <c r="EZ704" s="4"/>
      <c r="FA704" s="4"/>
      <c r="FB704" s="4"/>
      <c r="FC704" s="4"/>
      <c r="FD704" s="4"/>
      <c r="FE704" s="4"/>
      <c r="FF704" s="4"/>
      <c r="FG704" s="4"/>
      <c r="FH704" s="4"/>
      <c r="FI704" s="4"/>
      <c r="FJ704" s="4"/>
      <c r="FK704" s="4"/>
      <c r="FL704" s="4"/>
      <c r="FM704" s="4"/>
      <c r="FN704" s="4"/>
      <c r="FO704" s="4"/>
      <c r="FP704" s="4"/>
      <c r="FQ704" s="4"/>
      <c r="FR704" s="4"/>
      <c r="FS704" s="4"/>
      <c r="FT704" s="4"/>
      <c r="FU704" s="4"/>
      <c r="FV704" s="4"/>
      <c r="FW704" s="4"/>
      <c r="FX704" s="4"/>
      <c r="FY704" s="4"/>
      <c r="FZ704" s="4"/>
      <c r="GA704" s="4"/>
      <c r="GB704" s="4"/>
      <c r="GC704" s="4"/>
      <c r="GD704" s="4"/>
      <c r="GE704" s="4"/>
      <c r="GF704" s="4"/>
      <c r="GG704" s="4"/>
      <c r="GH704" s="4"/>
      <c r="GI704" s="4"/>
      <c r="GJ704" s="4"/>
      <c r="GK704" s="4"/>
      <c r="GL704" s="4"/>
      <c r="GM704" s="4"/>
      <c r="GN704" s="4"/>
      <c r="GO704" s="4"/>
      <c r="GP704" s="4"/>
      <c r="GQ704" s="4"/>
      <c r="GR704" s="4"/>
      <c r="GS704" s="4"/>
      <c r="GT704" s="4"/>
      <c r="GU704" s="4"/>
      <c r="GV704" s="4"/>
      <c r="GW704" s="4"/>
      <c r="GX704" s="4"/>
      <c r="GY704" s="4"/>
      <c r="GZ704" s="4"/>
      <c r="HA704" s="4"/>
      <c r="HB704" s="4"/>
      <c r="HC704" s="4"/>
      <c r="HD704" s="4"/>
      <c r="HE704" s="4"/>
      <c r="HF704" s="4"/>
      <c r="HG704" s="4"/>
      <c r="HH704" s="4"/>
      <c r="HI704" s="4"/>
      <c r="HJ704" s="4"/>
    </row>
    <row r="705" spans="1:218" hidden="1">
      <c r="A705" t="s">
        <v>2675</v>
      </c>
      <c r="B705" t="s">
        <v>2676</v>
      </c>
      <c r="C705" t="s">
        <v>489</v>
      </c>
      <c r="D705" t="s">
        <v>490</v>
      </c>
      <c r="E705" t="s">
        <v>490</v>
      </c>
      <c r="F705" s="3">
        <v>1</v>
      </c>
      <c r="G705" s="12">
        <f t="shared" si="20"/>
        <v>3.14</v>
      </c>
      <c r="H705" s="12" t="e">
        <f t="shared" si="21"/>
        <v>#NUM!</v>
      </c>
      <c r="I705" s="3">
        <v>3.1402397999999998</v>
      </c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  <c r="DQ705" s="4"/>
      <c r="DR705" s="4"/>
      <c r="DS705" s="4"/>
      <c r="DT705" s="4"/>
      <c r="DU705" s="4"/>
      <c r="DV705" s="4"/>
      <c r="DW705" s="4"/>
      <c r="DX705" s="4"/>
      <c r="DY705" s="4"/>
      <c r="DZ705" s="4"/>
      <c r="EA705" s="4"/>
      <c r="EB705" s="4"/>
      <c r="EC705" s="4"/>
      <c r="ED705" s="4"/>
      <c r="EE705" s="4"/>
      <c r="EF705" s="4"/>
      <c r="EG705" s="4"/>
      <c r="EH705" s="4"/>
      <c r="EI705" s="4"/>
      <c r="EJ705" s="4"/>
      <c r="EK705" s="4"/>
      <c r="EL705" s="4"/>
      <c r="EM705" s="4"/>
      <c r="EN705" s="4"/>
      <c r="EO705" s="4"/>
      <c r="EP705" s="4"/>
      <c r="EQ705" s="4"/>
      <c r="ER705" s="4"/>
      <c r="ES705" s="4"/>
      <c r="ET705" s="4"/>
      <c r="EU705" s="4"/>
      <c r="EV705" s="4"/>
      <c r="EW705" s="4"/>
      <c r="EX705" s="4"/>
      <c r="EY705" s="4"/>
      <c r="EZ705" s="4"/>
      <c r="FA705" s="4"/>
      <c r="FB705" s="4"/>
      <c r="FC705" s="4"/>
      <c r="FD705" s="4"/>
      <c r="FE705" s="4"/>
      <c r="FF705" s="4"/>
      <c r="FG705" s="4"/>
      <c r="FH705" s="4">
        <v>3.14</v>
      </c>
      <c r="FI705" s="4"/>
      <c r="FJ705" s="4"/>
      <c r="FK705" s="4"/>
      <c r="FL705" s="4"/>
      <c r="FM705" s="4"/>
      <c r="FN705" s="4"/>
      <c r="FO705" s="4"/>
      <c r="FP705" s="4"/>
      <c r="FQ705" s="4"/>
      <c r="FR705" s="4"/>
      <c r="FS705" s="4"/>
      <c r="FT705" s="4"/>
      <c r="FU705" s="4"/>
      <c r="FV705" s="4"/>
      <c r="FW705" s="4"/>
      <c r="FX705" s="4"/>
      <c r="FY705" s="4"/>
      <c r="FZ705" s="4"/>
      <c r="GA705" s="4"/>
      <c r="GB705" s="4"/>
      <c r="GC705" s="4"/>
      <c r="GD705" s="4"/>
      <c r="GE705" s="4"/>
      <c r="GF705" s="4"/>
      <c r="GG705" s="4"/>
      <c r="GH705" s="4"/>
      <c r="GI705" s="4"/>
      <c r="GJ705" s="4"/>
      <c r="GK705" s="4"/>
      <c r="GL705" s="4"/>
      <c r="GM705" s="4"/>
      <c r="GN705" s="4"/>
      <c r="GO705" s="4"/>
      <c r="GP705" s="4"/>
      <c r="GQ705" s="4"/>
      <c r="GR705" s="4"/>
      <c r="GS705" s="4"/>
      <c r="GT705" s="4"/>
      <c r="GU705" s="4"/>
      <c r="GV705" s="4"/>
      <c r="GW705" s="4"/>
      <c r="GX705" s="4"/>
      <c r="GY705" s="4"/>
      <c r="GZ705" s="4"/>
      <c r="HA705" s="4"/>
      <c r="HB705" s="4"/>
      <c r="HC705" s="4"/>
      <c r="HD705" s="4"/>
      <c r="HE705" s="4"/>
      <c r="HF705" s="4"/>
      <c r="HG705" s="4"/>
      <c r="HH705" s="4"/>
      <c r="HI705" s="4"/>
      <c r="HJ705" s="4"/>
    </row>
    <row r="706" spans="1:218" hidden="1">
      <c r="A706" t="s">
        <v>2868</v>
      </c>
      <c r="B706" t="s">
        <v>2869</v>
      </c>
      <c r="C706" t="s">
        <v>489</v>
      </c>
      <c r="D706" t="s">
        <v>490</v>
      </c>
      <c r="E706" t="s">
        <v>490</v>
      </c>
      <c r="F706" s="3">
        <v>1</v>
      </c>
      <c r="G706" s="12">
        <f t="shared" si="20"/>
        <v>2.56</v>
      </c>
      <c r="H706" s="12" t="e">
        <f t="shared" si="21"/>
        <v>#NUM!</v>
      </c>
      <c r="I706" s="3">
        <v>2.5552198000000002</v>
      </c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>
        <v>2.56</v>
      </c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  <c r="DQ706" s="4"/>
      <c r="DR706" s="4"/>
      <c r="DS706" s="4"/>
      <c r="DT706" s="4"/>
      <c r="DU706" s="4"/>
      <c r="DV706" s="4"/>
      <c r="DW706" s="4"/>
      <c r="DX706" s="4"/>
      <c r="DY706" s="4"/>
      <c r="DZ706" s="4"/>
      <c r="EA706" s="4"/>
      <c r="EB706" s="4"/>
      <c r="EC706" s="4"/>
      <c r="ED706" s="4"/>
      <c r="EE706" s="4"/>
      <c r="EF706" s="4"/>
      <c r="EG706" s="4"/>
      <c r="EH706" s="4"/>
      <c r="EI706" s="4"/>
      <c r="EJ706" s="4"/>
      <c r="EK706" s="4"/>
      <c r="EL706" s="4"/>
      <c r="EM706" s="4"/>
      <c r="EN706" s="4"/>
      <c r="EO706" s="4"/>
      <c r="EP706" s="4"/>
      <c r="EQ706" s="4"/>
      <c r="ER706" s="4"/>
      <c r="ES706" s="4"/>
      <c r="ET706" s="4"/>
      <c r="EU706" s="4"/>
      <c r="EV706" s="4"/>
      <c r="EW706" s="4"/>
      <c r="EX706" s="4"/>
      <c r="EY706" s="4"/>
      <c r="EZ706" s="4"/>
      <c r="FA706" s="4"/>
      <c r="FB706" s="4"/>
      <c r="FC706" s="4"/>
      <c r="FD706" s="4"/>
      <c r="FE706" s="4"/>
      <c r="FF706" s="4"/>
      <c r="FG706" s="4"/>
      <c r="FH706" s="4"/>
      <c r="FI706" s="4"/>
      <c r="FJ706" s="4"/>
      <c r="FK706" s="4"/>
      <c r="FL706" s="4"/>
      <c r="FM706" s="4"/>
      <c r="FN706" s="4"/>
      <c r="FO706" s="4"/>
      <c r="FP706" s="4"/>
      <c r="FQ706" s="4"/>
      <c r="FR706" s="4"/>
      <c r="FS706" s="4"/>
      <c r="FT706" s="4"/>
      <c r="FU706" s="4"/>
      <c r="FV706" s="4"/>
      <c r="FW706" s="4"/>
      <c r="FX706" s="4"/>
      <c r="FY706" s="4"/>
      <c r="FZ706" s="4"/>
      <c r="GA706" s="4"/>
      <c r="GB706" s="4"/>
      <c r="GC706" s="4"/>
      <c r="GD706" s="4"/>
      <c r="GE706" s="4"/>
      <c r="GF706" s="4"/>
      <c r="GG706" s="4"/>
      <c r="GH706" s="4"/>
      <c r="GI706" s="4"/>
      <c r="GJ706" s="4"/>
      <c r="GK706" s="4"/>
      <c r="GL706" s="4"/>
      <c r="GM706" s="4"/>
      <c r="GN706" s="4"/>
      <c r="GO706" s="4"/>
      <c r="GP706" s="4"/>
      <c r="GQ706" s="4"/>
      <c r="GR706" s="4"/>
      <c r="GS706" s="4"/>
      <c r="GT706" s="4"/>
      <c r="GU706" s="4"/>
      <c r="GV706" s="4"/>
      <c r="GW706" s="4"/>
      <c r="GX706" s="4"/>
      <c r="GY706" s="4"/>
      <c r="GZ706" s="4"/>
      <c r="HA706" s="4"/>
      <c r="HB706" s="4"/>
      <c r="HC706" s="4"/>
      <c r="HD706" s="4"/>
      <c r="HE706" s="4"/>
      <c r="HF706" s="4"/>
      <c r="HG706" s="4"/>
      <c r="HH706" s="4"/>
      <c r="HI706" s="4"/>
      <c r="HJ706" s="4"/>
    </row>
    <row r="707" spans="1:218" hidden="1">
      <c r="A707" t="s">
        <v>2653</v>
      </c>
      <c r="B707" t="s">
        <v>2654</v>
      </c>
      <c r="C707" t="s">
        <v>489</v>
      </c>
      <c r="D707" t="s">
        <v>490</v>
      </c>
      <c r="E707" t="s">
        <v>490</v>
      </c>
      <c r="F707" s="3">
        <v>1</v>
      </c>
      <c r="G707" s="12">
        <f t="shared" si="20"/>
        <v>3.25</v>
      </c>
      <c r="H707" s="12" t="e">
        <f t="shared" si="21"/>
        <v>#NUM!</v>
      </c>
      <c r="I707" s="3">
        <v>3.24722</v>
      </c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>
        <v>3.25</v>
      </c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  <c r="DQ707" s="4"/>
      <c r="DR707" s="4"/>
      <c r="DS707" s="4"/>
      <c r="DT707" s="4"/>
      <c r="DU707" s="4"/>
      <c r="DV707" s="4"/>
      <c r="DW707" s="4"/>
      <c r="DX707" s="4"/>
      <c r="DY707" s="4"/>
      <c r="DZ707" s="4"/>
      <c r="EA707" s="4"/>
      <c r="EB707" s="4"/>
      <c r="EC707" s="4"/>
      <c r="ED707" s="4"/>
      <c r="EE707" s="4"/>
      <c r="EF707" s="4"/>
      <c r="EG707" s="4"/>
      <c r="EH707" s="4"/>
      <c r="EI707" s="4"/>
      <c r="EJ707" s="4"/>
      <c r="EK707" s="4"/>
      <c r="EL707" s="4"/>
      <c r="EM707" s="4"/>
      <c r="EN707" s="4"/>
      <c r="EO707" s="4"/>
      <c r="EP707" s="4"/>
      <c r="EQ707" s="4"/>
      <c r="ER707" s="4"/>
      <c r="ES707" s="4"/>
      <c r="ET707" s="4"/>
      <c r="EU707" s="4"/>
      <c r="EV707" s="4"/>
      <c r="EW707" s="4"/>
      <c r="EX707" s="4"/>
      <c r="EY707" s="4"/>
      <c r="EZ707" s="4"/>
      <c r="FA707" s="4"/>
      <c r="FB707" s="4"/>
      <c r="FC707" s="4"/>
      <c r="FD707" s="4"/>
      <c r="FE707" s="4"/>
      <c r="FF707" s="4"/>
      <c r="FG707" s="4"/>
      <c r="FH707" s="4"/>
      <c r="FI707" s="4"/>
      <c r="FJ707" s="4"/>
      <c r="FK707" s="4"/>
      <c r="FL707" s="4"/>
      <c r="FM707" s="4"/>
      <c r="FN707" s="4"/>
      <c r="FO707" s="4"/>
      <c r="FP707" s="4"/>
      <c r="FQ707" s="4"/>
      <c r="FR707" s="4"/>
      <c r="FS707" s="4"/>
      <c r="FT707" s="4"/>
      <c r="FU707" s="4"/>
      <c r="FV707" s="4"/>
      <c r="FW707" s="4"/>
      <c r="FX707" s="4"/>
      <c r="FY707" s="4"/>
      <c r="FZ707" s="4"/>
      <c r="GA707" s="4"/>
      <c r="GB707" s="4"/>
      <c r="GC707" s="4"/>
      <c r="GD707" s="4"/>
      <c r="GE707" s="4"/>
      <c r="GF707" s="4"/>
      <c r="GG707" s="4"/>
      <c r="GH707" s="4"/>
      <c r="GI707" s="4"/>
      <c r="GJ707" s="4"/>
      <c r="GK707" s="4"/>
      <c r="GL707" s="4"/>
      <c r="GM707" s="4"/>
      <c r="GN707" s="4"/>
      <c r="GO707" s="4"/>
      <c r="GP707" s="4"/>
      <c r="GQ707" s="4"/>
      <c r="GR707" s="4"/>
      <c r="GS707" s="4"/>
      <c r="GT707" s="4"/>
      <c r="GU707" s="4"/>
      <c r="GV707" s="4"/>
      <c r="GW707" s="4"/>
      <c r="GX707" s="4"/>
      <c r="GY707" s="4"/>
      <c r="GZ707" s="4"/>
      <c r="HA707" s="4"/>
      <c r="HB707" s="4"/>
      <c r="HC707" s="4"/>
      <c r="HD707" s="4"/>
      <c r="HE707" s="4"/>
      <c r="HF707" s="4"/>
      <c r="HG707" s="4"/>
      <c r="HH707" s="4"/>
      <c r="HI707" s="4"/>
      <c r="HJ707" s="4"/>
    </row>
    <row r="708" spans="1:218" hidden="1">
      <c r="A708" t="s">
        <v>1777</v>
      </c>
      <c r="B708" t="s">
        <v>1778</v>
      </c>
      <c r="C708" t="s">
        <v>845</v>
      </c>
      <c r="D708" t="s">
        <v>1779</v>
      </c>
      <c r="E708" t="s">
        <v>1780</v>
      </c>
      <c r="F708" s="3">
        <v>1</v>
      </c>
      <c r="G708" s="12">
        <f t="shared" si="20"/>
        <v>6.47</v>
      </c>
      <c r="H708" s="12" t="e">
        <f t="shared" si="21"/>
        <v>#NUM!</v>
      </c>
      <c r="I708" s="3">
        <v>6.4673599999999993</v>
      </c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>
        <v>6.47</v>
      </c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  <c r="DQ708" s="4"/>
      <c r="DR708" s="4"/>
      <c r="DS708" s="4"/>
      <c r="DT708" s="4"/>
      <c r="DU708" s="4"/>
      <c r="DV708" s="4"/>
      <c r="DW708" s="4"/>
      <c r="DX708" s="4"/>
      <c r="DY708" s="4"/>
      <c r="DZ708" s="4"/>
      <c r="EA708" s="4"/>
      <c r="EB708" s="4"/>
      <c r="EC708" s="4"/>
      <c r="ED708" s="4"/>
      <c r="EE708" s="4"/>
      <c r="EF708" s="4"/>
      <c r="EG708" s="4"/>
      <c r="EH708" s="4"/>
      <c r="EI708" s="4"/>
      <c r="EJ708" s="4"/>
      <c r="EK708" s="4"/>
      <c r="EL708" s="4"/>
      <c r="EM708" s="4"/>
      <c r="EN708" s="4"/>
      <c r="EO708" s="4"/>
      <c r="EP708" s="4"/>
      <c r="EQ708" s="4"/>
      <c r="ER708" s="4"/>
      <c r="ES708" s="4"/>
      <c r="ET708" s="4"/>
      <c r="EU708" s="4"/>
      <c r="EV708" s="4"/>
      <c r="EW708" s="4"/>
      <c r="EX708" s="4"/>
      <c r="EY708" s="4"/>
      <c r="EZ708" s="4"/>
      <c r="FA708" s="4"/>
      <c r="FB708" s="4"/>
      <c r="FC708" s="4"/>
      <c r="FD708" s="4"/>
      <c r="FE708" s="4"/>
      <c r="FF708" s="4"/>
      <c r="FG708" s="4"/>
      <c r="FH708" s="4"/>
      <c r="FI708" s="4"/>
      <c r="FJ708" s="4"/>
      <c r="FK708" s="4"/>
      <c r="FL708" s="4"/>
      <c r="FM708" s="4"/>
      <c r="FN708" s="4"/>
      <c r="FO708" s="4"/>
      <c r="FP708" s="4"/>
      <c r="FQ708" s="4"/>
      <c r="FR708" s="4"/>
      <c r="FS708" s="4"/>
      <c r="FT708" s="4"/>
      <c r="FU708" s="4"/>
      <c r="FV708" s="4"/>
      <c r="FW708" s="4"/>
      <c r="FX708" s="4"/>
      <c r="FY708" s="4"/>
      <c r="FZ708" s="4"/>
      <c r="GA708" s="4"/>
      <c r="GB708" s="4"/>
      <c r="GC708" s="4"/>
      <c r="GD708" s="4"/>
      <c r="GE708" s="4"/>
      <c r="GF708" s="4"/>
      <c r="GG708" s="4"/>
      <c r="GH708" s="4"/>
      <c r="GI708" s="4"/>
      <c r="GJ708" s="4"/>
      <c r="GK708" s="4"/>
      <c r="GL708" s="4"/>
      <c r="GM708" s="4"/>
      <c r="GN708" s="4"/>
      <c r="GO708" s="4"/>
      <c r="GP708" s="4"/>
      <c r="GQ708" s="4"/>
      <c r="GR708" s="4"/>
      <c r="GS708" s="4"/>
      <c r="GT708" s="4"/>
      <c r="GU708" s="4"/>
      <c r="GV708" s="4"/>
      <c r="GW708" s="4"/>
      <c r="GX708" s="4"/>
      <c r="GY708" s="4"/>
      <c r="GZ708" s="4"/>
      <c r="HA708" s="4"/>
      <c r="HB708" s="4"/>
      <c r="HC708" s="4"/>
      <c r="HD708" s="4"/>
      <c r="HE708" s="4"/>
      <c r="HF708" s="4"/>
      <c r="HG708" s="4"/>
      <c r="HH708" s="4"/>
      <c r="HI708" s="4"/>
      <c r="HJ708" s="4"/>
    </row>
    <row r="709" spans="1:218" hidden="1">
      <c r="A709" t="s">
        <v>2252</v>
      </c>
      <c r="B709" t="s">
        <v>2253</v>
      </c>
      <c r="C709" t="s">
        <v>489</v>
      </c>
      <c r="D709" t="s">
        <v>490</v>
      </c>
      <c r="E709" t="s">
        <v>490</v>
      </c>
      <c r="F709" s="3">
        <v>1</v>
      </c>
      <c r="G709" s="12">
        <f t="shared" si="20"/>
        <v>4.22</v>
      </c>
      <c r="H709" s="12" t="e">
        <f t="shared" si="21"/>
        <v>#NUM!</v>
      </c>
      <c r="I709" s="3">
        <v>4.2155499999999986</v>
      </c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>
        <v>4.22</v>
      </c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  <c r="DQ709" s="4"/>
      <c r="DR709" s="4"/>
      <c r="DS709" s="4"/>
      <c r="DT709" s="4"/>
      <c r="DU709" s="4"/>
      <c r="DV709" s="4"/>
      <c r="DW709" s="4"/>
      <c r="DX709" s="4"/>
      <c r="DY709" s="4"/>
      <c r="DZ709" s="4"/>
      <c r="EA709" s="4"/>
      <c r="EB709" s="4"/>
      <c r="EC709" s="4"/>
      <c r="ED709" s="4"/>
      <c r="EE709" s="4"/>
      <c r="EF709" s="4"/>
      <c r="EG709" s="4"/>
      <c r="EH709" s="4"/>
      <c r="EI709" s="4"/>
      <c r="EJ709" s="4"/>
      <c r="EK709" s="4"/>
      <c r="EL709" s="4"/>
      <c r="EM709" s="4"/>
      <c r="EN709" s="4"/>
      <c r="EO709" s="4"/>
      <c r="EP709" s="4"/>
      <c r="EQ709" s="4"/>
      <c r="ER709" s="4"/>
      <c r="ES709" s="4"/>
      <c r="ET709" s="4"/>
      <c r="EU709" s="4"/>
      <c r="EV709" s="4"/>
      <c r="EW709" s="4"/>
      <c r="EX709" s="4"/>
      <c r="EY709" s="4"/>
      <c r="EZ709" s="4"/>
      <c r="FA709" s="4"/>
      <c r="FB709" s="4"/>
      <c r="FC709" s="4"/>
      <c r="FD709" s="4"/>
      <c r="FE709" s="4"/>
      <c r="FF709" s="4"/>
      <c r="FG709" s="4"/>
      <c r="FH709" s="4"/>
      <c r="FI709" s="4"/>
      <c r="FJ709" s="4"/>
      <c r="FK709" s="4"/>
      <c r="FL709" s="4"/>
      <c r="FM709" s="4"/>
      <c r="FN709" s="4"/>
      <c r="FO709" s="4"/>
      <c r="FP709" s="4"/>
      <c r="FQ709" s="4"/>
      <c r="FR709" s="4"/>
      <c r="FS709" s="4"/>
      <c r="FT709" s="4"/>
      <c r="FU709" s="4"/>
      <c r="FV709" s="4"/>
      <c r="FW709" s="4"/>
      <c r="FX709" s="4"/>
      <c r="FY709" s="4"/>
      <c r="FZ709" s="4"/>
      <c r="GA709" s="4"/>
      <c r="GB709" s="4"/>
      <c r="GC709" s="4"/>
      <c r="GD709" s="4"/>
      <c r="GE709" s="4"/>
      <c r="GF709" s="4"/>
      <c r="GG709" s="4"/>
      <c r="GH709" s="4"/>
      <c r="GI709" s="4"/>
      <c r="GJ709" s="4"/>
      <c r="GK709" s="4"/>
      <c r="GL709" s="4"/>
      <c r="GM709" s="4"/>
      <c r="GN709" s="4"/>
      <c r="GO709" s="4"/>
      <c r="GP709" s="4"/>
      <c r="GQ709" s="4"/>
      <c r="GR709" s="4"/>
      <c r="GS709" s="4"/>
      <c r="GT709" s="4"/>
      <c r="GU709" s="4"/>
      <c r="GV709" s="4"/>
      <c r="GW709" s="4"/>
      <c r="GX709" s="4"/>
      <c r="GY709" s="4"/>
      <c r="GZ709" s="4"/>
      <c r="HA709" s="4"/>
      <c r="HB709" s="4"/>
      <c r="HC709" s="4"/>
      <c r="HD709" s="4"/>
      <c r="HE709" s="4"/>
      <c r="HF709" s="4"/>
      <c r="HG709" s="4"/>
      <c r="HH709" s="4"/>
      <c r="HI709" s="4"/>
      <c r="HJ709" s="4"/>
    </row>
    <row r="710" spans="1:218" hidden="1">
      <c r="A710" t="s">
        <v>2791</v>
      </c>
      <c r="B710" t="s">
        <v>2792</v>
      </c>
      <c r="C710" t="s">
        <v>489</v>
      </c>
      <c r="D710" t="s">
        <v>490</v>
      </c>
      <c r="E710" t="s">
        <v>490</v>
      </c>
      <c r="F710" s="3">
        <v>1</v>
      </c>
      <c r="G710" s="12">
        <f t="shared" si="20"/>
        <v>2.84</v>
      </c>
      <c r="H710" s="12" t="e">
        <f t="shared" si="21"/>
        <v>#NUM!</v>
      </c>
      <c r="I710" s="3">
        <v>2.8427701000000001</v>
      </c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>
        <v>2.84</v>
      </c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  <c r="DQ710" s="4"/>
      <c r="DR710" s="4"/>
      <c r="DS710" s="4"/>
      <c r="DT710" s="4"/>
      <c r="DU710" s="4"/>
      <c r="DV710" s="4"/>
      <c r="DW710" s="4"/>
      <c r="DX710" s="4"/>
      <c r="DY710" s="4"/>
      <c r="DZ710" s="4"/>
      <c r="EA710" s="4"/>
      <c r="EB710" s="4"/>
      <c r="EC710" s="4"/>
      <c r="ED710" s="4"/>
      <c r="EE710" s="4"/>
      <c r="EF710" s="4"/>
      <c r="EG710" s="4"/>
      <c r="EH710" s="4"/>
      <c r="EI710" s="4"/>
      <c r="EJ710" s="4"/>
      <c r="EK710" s="4"/>
      <c r="EL710" s="4"/>
      <c r="EM710" s="4"/>
      <c r="EN710" s="4"/>
      <c r="EO710" s="4"/>
      <c r="EP710" s="4"/>
      <c r="EQ710" s="4"/>
      <c r="ER710" s="4"/>
      <c r="ES710" s="4"/>
      <c r="ET710" s="4"/>
      <c r="EU710" s="4"/>
      <c r="EV710" s="4"/>
      <c r="EW710" s="4"/>
      <c r="EX710" s="4"/>
      <c r="EY710" s="4"/>
      <c r="EZ710" s="4"/>
      <c r="FA710" s="4"/>
      <c r="FB710" s="4"/>
      <c r="FC710" s="4"/>
      <c r="FD710" s="4"/>
      <c r="FE710" s="4"/>
      <c r="FF710" s="4"/>
      <c r="FG710" s="4"/>
      <c r="FH710" s="4"/>
      <c r="FI710" s="4"/>
      <c r="FJ710" s="4"/>
      <c r="FK710" s="4"/>
      <c r="FL710" s="4"/>
      <c r="FM710" s="4"/>
      <c r="FN710" s="4"/>
      <c r="FO710" s="4"/>
      <c r="FP710" s="4"/>
      <c r="FQ710" s="4"/>
      <c r="FR710" s="4"/>
      <c r="FS710" s="4"/>
      <c r="FT710" s="4"/>
      <c r="FU710" s="4"/>
      <c r="FV710" s="4"/>
      <c r="FW710" s="4"/>
      <c r="FX710" s="4"/>
      <c r="FY710" s="4"/>
      <c r="FZ710" s="4"/>
      <c r="GA710" s="4"/>
      <c r="GB710" s="4"/>
      <c r="GC710" s="4"/>
      <c r="GD710" s="4"/>
      <c r="GE710" s="4"/>
      <c r="GF710" s="4"/>
      <c r="GG710" s="4"/>
      <c r="GH710" s="4"/>
      <c r="GI710" s="4"/>
      <c r="GJ710" s="4"/>
      <c r="GK710" s="4"/>
      <c r="GL710" s="4"/>
      <c r="GM710" s="4"/>
      <c r="GN710" s="4"/>
      <c r="GO710" s="4"/>
      <c r="GP710" s="4"/>
      <c r="GQ710" s="4"/>
      <c r="GR710" s="4"/>
      <c r="GS710" s="4"/>
      <c r="GT710" s="4"/>
      <c r="GU710" s="4"/>
      <c r="GV710" s="4"/>
      <c r="GW710" s="4"/>
      <c r="GX710" s="4"/>
      <c r="GY710" s="4"/>
      <c r="GZ710" s="4"/>
      <c r="HA710" s="4"/>
      <c r="HB710" s="4"/>
      <c r="HC710" s="4"/>
      <c r="HD710" s="4"/>
      <c r="HE710" s="4"/>
      <c r="HF710" s="4"/>
      <c r="HG710" s="4"/>
      <c r="HH710" s="4"/>
      <c r="HI710" s="4"/>
      <c r="HJ710" s="4"/>
    </row>
    <row r="711" spans="1:218" hidden="1">
      <c r="A711" t="s">
        <v>2286</v>
      </c>
      <c r="B711" t="s">
        <v>2287</v>
      </c>
      <c r="C711" t="s">
        <v>489</v>
      </c>
      <c r="D711" t="s">
        <v>490</v>
      </c>
      <c r="E711" t="s">
        <v>490</v>
      </c>
      <c r="F711" s="3">
        <v>1</v>
      </c>
      <c r="G711" s="12">
        <f t="shared" ref="G711:G748" si="22">LARGE($J711:$HJ711,1)</f>
        <v>4.16</v>
      </c>
      <c r="H711" s="12" t="e">
        <f t="shared" ref="H711:H748" si="23">LARGE($J711:$HJ711,2)</f>
        <v>#NUM!</v>
      </c>
      <c r="I711" s="3">
        <v>4.1579600000000001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  <c r="DQ711" s="4"/>
      <c r="DR711" s="4"/>
      <c r="DS711" s="4"/>
      <c r="DT711" s="4"/>
      <c r="DU711" s="4"/>
      <c r="DV711" s="4"/>
      <c r="DW711" s="4"/>
      <c r="DX711" s="4"/>
      <c r="DY711" s="4"/>
      <c r="DZ711" s="4"/>
      <c r="EA711" s="4"/>
      <c r="EB711" s="4"/>
      <c r="EC711" s="4"/>
      <c r="ED711" s="4"/>
      <c r="EE711" s="4"/>
      <c r="EF711" s="4"/>
      <c r="EG711" s="4"/>
      <c r="EH711" s="4"/>
      <c r="EI711" s="4"/>
      <c r="EJ711" s="4"/>
      <c r="EK711" s="4"/>
      <c r="EL711" s="4"/>
      <c r="EM711" s="4"/>
      <c r="EN711" s="4"/>
      <c r="EO711" s="4"/>
      <c r="EP711" s="4"/>
      <c r="EQ711" s="4"/>
      <c r="ER711" s="4"/>
      <c r="ES711" s="4"/>
      <c r="ET711" s="4"/>
      <c r="EU711" s="4"/>
      <c r="EV711" s="4"/>
      <c r="EW711" s="4"/>
      <c r="EX711" s="4"/>
      <c r="EY711" s="4"/>
      <c r="EZ711" s="4"/>
      <c r="FA711" s="4"/>
      <c r="FB711" s="4"/>
      <c r="FC711" s="4"/>
      <c r="FD711" s="4"/>
      <c r="FE711" s="4"/>
      <c r="FF711" s="4"/>
      <c r="FG711" s="4"/>
      <c r="FH711" s="4"/>
      <c r="FI711" s="4"/>
      <c r="FJ711" s="4"/>
      <c r="FK711" s="4"/>
      <c r="FL711" s="4"/>
      <c r="FM711" s="4"/>
      <c r="FN711" s="4"/>
      <c r="FO711" s="4"/>
      <c r="FP711" s="4"/>
      <c r="FQ711" s="4">
        <v>4.16</v>
      </c>
      <c r="FR711" s="4"/>
      <c r="FS711" s="4"/>
      <c r="FT711" s="4"/>
      <c r="FU711" s="4"/>
      <c r="FV711" s="4"/>
      <c r="FW711" s="4"/>
      <c r="FX711" s="4"/>
      <c r="FY711" s="4"/>
      <c r="FZ711" s="4"/>
      <c r="GA711" s="4"/>
      <c r="GB711" s="4"/>
      <c r="GC711" s="4"/>
      <c r="GD711" s="4"/>
      <c r="GE711" s="4"/>
      <c r="GF711" s="4"/>
      <c r="GG711" s="4"/>
      <c r="GH711" s="4"/>
      <c r="GI711" s="4"/>
      <c r="GJ711" s="4"/>
      <c r="GK711" s="4"/>
      <c r="GL711" s="4"/>
      <c r="GM711" s="4"/>
      <c r="GN711" s="4"/>
      <c r="GO711" s="4"/>
      <c r="GP711" s="4"/>
      <c r="GQ711" s="4"/>
      <c r="GR711" s="4"/>
      <c r="GS711" s="4"/>
      <c r="GT711" s="4"/>
      <c r="GU711" s="4"/>
      <c r="GV711" s="4"/>
      <c r="GW711" s="4"/>
      <c r="GX711" s="4"/>
      <c r="GY711" s="4"/>
      <c r="GZ711" s="4"/>
      <c r="HA711" s="4"/>
      <c r="HB711" s="4"/>
      <c r="HC711" s="4"/>
      <c r="HD711" s="4"/>
      <c r="HE711" s="4"/>
      <c r="HF711" s="4"/>
      <c r="HG711" s="4"/>
      <c r="HH711" s="4"/>
      <c r="HI711" s="4"/>
      <c r="HJ711" s="4"/>
    </row>
    <row r="712" spans="1:218" hidden="1">
      <c r="A712" t="s">
        <v>3164</v>
      </c>
      <c r="B712" t="s">
        <v>3165</v>
      </c>
      <c r="C712" t="s">
        <v>489</v>
      </c>
      <c r="D712" t="s">
        <v>490</v>
      </c>
      <c r="E712" t="s">
        <v>490</v>
      </c>
      <c r="F712" s="3">
        <v>1</v>
      </c>
      <c r="G712" s="12">
        <f t="shared" si="22"/>
        <v>0.86</v>
      </c>
      <c r="H712" s="12" t="e">
        <f t="shared" si="23"/>
        <v>#NUM!</v>
      </c>
      <c r="I712" s="3">
        <v>0.86053999999999986</v>
      </c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  <c r="DQ712" s="4">
        <v>0.86</v>
      </c>
      <c r="DR712" s="4"/>
      <c r="DS712" s="4"/>
      <c r="DT712" s="4"/>
      <c r="DU712" s="4"/>
      <c r="DV712" s="4"/>
      <c r="DW712" s="4"/>
      <c r="DX712" s="4"/>
      <c r="DY712" s="4"/>
      <c r="DZ712" s="4"/>
      <c r="EA712" s="4"/>
      <c r="EB712" s="4"/>
      <c r="EC712" s="4"/>
      <c r="ED712" s="4"/>
      <c r="EE712" s="4"/>
      <c r="EF712" s="4"/>
      <c r="EG712" s="4"/>
      <c r="EH712" s="4"/>
      <c r="EI712" s="4"/>
      <c r="EJ712" s="4"/>
      <c r="EK712" s="4"/>
      <c r="EL712" s="4"/>
      <c r="EM712" s="4"/>
      <c r="EN712" s="4"/>
      <c r="EO712" s="4"/>
      <c r="EP712" s="4"/>
      <c r="EQ712" s="4"/>
      <c r="ER712" s="4"/>
      <c r="ES712" s="4"/>
      <c r="ET712" s="4"/>
      <c r="EU712" s="4"/>
      <c r="EV712" s="4"/>
      <c r="EW712" s="4"/>
      <c r="EX712" s="4"/>
      <c r="EY712" s="4"/>
      <c r="EZ712" s="4"/>
      <c r="FA712" s="4"/>
      <c r="FB712" s="4"/>
      <c r="FC712" s="4"/>
      <c r="FD712" s="4"/>
      <c r="FE712" s="4"/>
      <c r="FF712" s="4"/>
      <c r="FG712" s="4"/>
      <c r="FH712" s="4"/>
      <c r="FI712" s="4"/>
      <c r="FJ712" s="4"/>
      <c r="FK712" s="4"/>
      <c r="FL712" s="4"/>
      <c r="FM712" s="4"/>
      <c r="FN712" s="4"/>
      <c r="FO712" s="4"/>
      <c r="FP712" s="4"/>
      <c r="FQ712" s="4"/>
      <c r="FR712" s="4"/>
      <c r="FS712" s="4"/>
      <c r="FT712" s="4"/>
      <c r="FU712" s="4"/>
      <c r="FV712" s="4"/>
      <c r="FW712" s="4"/>
      <c r="FX712" s="4"/>
      <c r="FY712" s="4"/>
      <c r="FZ712" s="4"/>
      <c r="GA712" s="4"/>
      <c r="GB712" s="4"/>
      <c r="GC712" s="4"/>
      <c r="GD712" s="4"/>
      <c r="GE712" s="4"/>
      <c r="GF712" s="4"/>
      <c r="GG712" s="4"/>
      <c r="GH712" s="4"/>
      <c r="GI712" s="4"/>
      <c r="GJ712" s="4"/>
      <c r="GK712" s="4"/>
      <c r="GL712" s="4"/>
      <c r="GM712" s="4"/>
      <c r="GN712" s="4"/>
      <c r="GO712" s="4"/>
      <c r="GP712" s="4"/>
      <c r="GQ712" s="4"/>
      <c r="GR712" s="4"/>
      <c r="GS712" s="4"/>
      <c r="GT712" s="4"/>
      <c r="GU712" s="4"/>
      <c r="GV712" s="4"/>
      <c r="GW712" s="4"/>
      <c r="GX712" s="4"/>
      <c r="GY712" s="4"/>
      <c r="GZ712" s="4"/>
      <c r="HA712" s="4"/>
      <c r="HB712" s="4"/>
      <c r="HC712" s="4"/>
      <c r="HD712" s="4"/>
      <c r="HE712" s="4"/>
      <c r="HF712" s="4"/>
      <c r="HG712" s="4"/>
      <c r="HH712" s="4"/>
      <c r="HI712" s="4"/>
      <c r="HJ712" s="4"/>
    </row>
    <row r="713" spans="1:218" hidden="1">
      <c r="A713" t="s">
        <v>2595</v>
      </c>
      <c r="B713" t="s">
        <v>2596</v>
      </c>
      <c r="C713" t="s">
        <v>489</v>
      </c>
      <c r="D713" t="s">
        <v>490</v>
      </c>
      <c r="E713" t="s">
        <v>490</v>
      </c>
      <c r="F713" s="3">
        <v>1</v>
      </c>
      <c r="G713" s="12">
        <f t="shared" si="22"/>
        <v>3.42</v>
      </c>
      <c r="H713" s="12" t="e">
        <f t="shared" si="23"/>
        <v>#NUM!</v>
      </c>
      <c r="I713" s="3">
        <v>3.4150100000000001</v>
      </c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  <c r="DQ713" s="4"/>
      <c r="DR713" s="4"/>
      <c r="DS713" s="4"/>
      <c r="DT713" s="4"/>
      <c r="DU713" s="4"/>
      <c r="DV713" s="4"/>
      <c r="DW713" s="4"/>
      <c r="DX713" s="4"/>
      <c r="DY713" s="4"/>
      <c r="DZ713" s="4"/>
      <c r="EA713" s="4"/>
      <c r="EB713" s="4"/>
      <c r="EC713" s="4"/>
      <c r="ED713" s="4"/>
      <c r="EE713" s="4"/>
      <c r="EF713" s="4"/>
      <c r="EG713" s="4"/>
      <c r="EH713" s="4"/>
      <c r="EI713" s="4"/>
      <c r="EJ713" s="4"/>
      <c r="EK713" s="4"/>
      <c r="EL713" s="4"/>
      <c r="EM713" s="4"/>
      <c r="EN713" s="4"/>
      <c r="EO713" s="4"/>
      <c r="EP713" s="4"/>
      <c r="EQ713" s="4"/>
      <c r="ER713" s="4"/>
      <c r="ES713" s="4"/>
      <c r="ET713" s="4"/>
      <c r="EU713" s="4"/>
      <c r="EV713" s="4"/>
      <c r="EW713" s="4"/>
      <c r="EX713" s="4"/>
      <c r="EY713" s="4"/>
      <c r="EZ713" s="4"/>
      <c r="FA713" s="4"/>
      <c r="FB713" s="4"/>
      <c r="FC713" s="4"/>
      <c r="FD713" s="4"/>
      <c r="FE713" s="4"/>
      <c r="FF713" s="4"/>
      <c r="FG713" s="4"/>
      <c r="FH713" s="4"/>
      <c r="FI713" s="4"/>
      <c r="FJ713" s="4"/>
      <c r="FK713" s="4"/>
      <c r="FL713" s="4"/>
      <c r="FM713" s="4"/>
      <c r="FN713" s="4"/>
      <c r="FO713" s="4"/>
      <c r="FP713" s="4"/>
      <c r="FQ713" s="4"/>
      <c r="FR713" s="4"/>
      <c r="FS713" s="4"/>
      <c r="FT713" s="4"/>
      <c r="FU713" s="4"/>
      <c r="FV713" s="4"/>
      <c r="FW713" s="4"/>
      <c r="FX713" s="4"/>
      <c r="FY713" s="4"/>
      <c r="FZ713" s="4"/>
      <c r="GA713" s="4"/>
      <c r="GB713" s="4"/>
      <c r="GC713" s="4"/>
      <c r="GD713" s="4"/>
      <c r="GE713" s="4"/>
      <c r="GF713" s="4"/>
      <c r="GG713" s="4"/>
      <c r="GH713" s="4"/>
      <c r="GI713" s="4"/>
      <c r="GJ713" s="4">
        <v>3.42</v>
      </c>
      <c r="GK713" s="4"/>
      <c r="GL713" s="4"/>
      <c r="GM713" s="4"/>
      <c r="GN713" s="4"/>
      <c r="GO713" s="4"/>
      <c r="GP713" s="4"/>
      <c r="GQ713" s="4"/>
      <c r="GR713" s="4"/>
      <c r="GS713" s="4"/>
      <c r="GT713" s="4"/>
      <c r="GU713" s="4"/>
      <c r="GV713" s="4"/>
      <c r="GW713" s="4"/>
      <c r="GX713" s="4"/>
      <c r="GY713" s="4"/>
      <c r="GZ713" s="4"/>
      <c r="HA713" s="4"/>
      <c r="HB713" s="4"/>
      <c r="HC713" s="4"/>
      <c r="HD713" s="4"/>
      <c r="HE713" s="4"/>
      <c r="HF713" s="4"/>
      <c r="HG713" s="4"/>
      <c r="HH713" s="4"/>
      <c r="HI713" s="4"/>
      <c r="HJ713" s="4"/>
    </row>
    <row r="714" spans="1:218" hidden="1">
      <c r="A714" t="s">
        <v>2029</v>
      </c>
      <c r="B714" t="s">
        <v>2030</v>
      </c>
      <c r="C714" t="s">
        <v>489</v>
      </c>
      <c r="D714" t="s">
        <v>490</v>
      </c>
      <c r="E714" t="s">
        <v>490</v>
      </c>
      <c r="F714" s="3">
        <v>1</v>
      </c>
      <c r="G714" s="12">
        <f t="shared" si="22"/>
        <v>4.68</v>
      </c>
      <c r="H714" s="12" t="e">
        <f t="shared" si="23"/>
        <v>#NUM!</v>
      </c>
      <c r="I714" s="3">
        <v>4.6770399999999999</v>
      </c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  <c r="DQ714" s="4"/>
      <c r="DR714" s="4"/>
      <c r="DS714" s="4"/>
      <c r="DT714" s="4"/>
      <c r="DU714" s="4"/>
      <c r="DV714" s="4"/>
      <c r="DW714" s="4"/>
      <c r="DX714" s="4"/>
      <c r="DY714" s="4"/>
      <c r="DZ714" s="4"/>
      <c r="EA714" s="4"/>
      <c r="EB714" s="4"/>
      <c r="EC714" s="4"/>
      <c r="ED714" s="4"/>
      <c r="EE714" s="4"/>
      <c r="EF714" s="4"/>
      <c r="EG714" s="4"/>
      <c r="EH714" s="4"/>
      <c r="EI714" s="4"/>
      <c r="EJ714" s="4"/>
      <c r="EK714" s="4"/>
      <c r="EL714" s="4"/>
      <c r="EM714" s="4"/>
      <c r="EN714" s="4"/>
      <c r="EO714" s="4"/>
      <c r="EP714" s="4"/>
      <c r="EQ714" s="4"/>
      <c r="ER714" s="4"/>
      <c r="ES714" s="4"/>
      <c r="ET714" s="4"/>
      <c r="EU714" s="4"/>
      <c r="EV714" s="4"/>
      <c r="EW714" s="4"/>
      <c r="EX714" s="4"/>
      <c r="EY714" s="4"/>
      <c r="EZ714" s="4"/>
      <c r="FA714" s="4"/>
      <c r="FB714" s="4"/>
      <c r="FC714" s="4"/>
      <c r="FD714" s="4"/>
      <c r="FE714" s="4"/>
      <c r="FF714" s="4"/>
      <c r="FG714" s="4"/>
      <c r="FH714" s="4"/>
      <c r="FI714" s="4"/>
      <c r="FJ714" s="4"/>
      <c r="FK714" s="4"/>
      <c r="FL714" s="4"/>
      <c r="FM714" s="4"/>
      <c r="FN714" s="4"/>
      <c r="FO714" s="4"/>
      <c r="FP714" s="4"/>
      <c r="FQ714" s="4"/>
      <c r="FR714" s="4"/>
      <c r="FS714" s="4"/>
      <c r="FT714" s="4"/>
      <c r="FU714" s="4"/>
      <c r="FV714" s="4"/>
      <c r="FW714" s="4"/>
      <c r="FX714" s="4"/>
      <c r="FY714" s="4"/>
      <c r="FZ714" s="4"/>
      <c r="GA714" s="4"/>
      <c r="GB714" s="4"/>
      <c r="GC714" s="4"/>
      <c r="GD714" s="4"/>
      <c r="GE714" s="4"/>
      <c r="GF714" s="4"/>
      <c r="GG714" s="4"/>
      <c r="GH714" s="4"/>
      <c r="GI714" s="4"/>
      <c r="GJ714" s="4">
        <v>4.68</v>
      </c>
      <c r="GK714" s="4"/>
      <c r="GL714" s="4"/>
      <c r="GM714" s="4"/>
      <c r="GN714" s="4"/>
      <c r="GO714" s="4"/>
      <c r="GP714" s="4"/>
      <c r="GQ714" s="4"/>
      <c r="GR714" s="4"/>
      <c r="GS714" s="4"/>
      <c r="GT714" s="4"/>
      <c r="GU714" s="4"/>
      <c r="GV714" s="4"/>
      <c r="GW714" s="4"/>
      <c r="GX714" s="4"/>
      <c r="GY714" s="4"/>
      <c r="GZ714" s="4"/>
      <c r="HA714" s="4"/>
      <c r="HB714" s="4"/>
      <c r="HC714" s="4"/>
      <c r="HD714" s="4"/>
      <c r="HE714" s="4"/>
      <c r="HF714" s="4"/>
      <c r="HG714" s="4"/>
      <c r="HH714" s="4"/>
      <c r="HI714" s="4"/>
      <c r="HJ714" s="4"/>
    </row>
    <row r="715" spans="1:218" hidden="1">
      <c r="A715" t="s">
        <v>2343</v>
      </c>
      <c r="B715" t="s">
        <v>2344</v>
      </c>
      <c r="C715" t="s">
        <v>489</v>
      </c>
      <c r="D715" t="s">
        <v>490</v>
      </c>
      <c r="E715" t="s">
        <v>490</v>
      </c>
      <c r="F715" s="3">
        <v>1</v>
      </c>
      <c r="G715" s="12">
        <f t="shared" si="22"/>
        <v>4.05</v>
      </c>
      <c r="H715" s="12" t="e">
        <f t="shared" si="23"/>
        <v>#NUM!</v>
      </c>
      <c r="I715" s="3">
        <v>4.0528300000000002</v>
      </c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  <c r="DQ715" s="4"/>
      <c r="DR715" s="4"/>
      <c r="DS715" s="4"/>
      <c r="DT715" s="4"/>
      <c r="DU715" s="4"/>
      <c r="DV715" s="4"/>
      <c r="DW715" s="4"/>
      <c r="DX715" s="4"/>
      <c r="DY715" s="4"/>
      <c r="DZ715" s="4"/>
      <c r="EA715" s="4"/>
      <c r="EB715" s="4"/>
      <c r="EC715" s="4"/>
      <c r="ED715" s="4"/>
      <c r="EE715" s="4"/>
      <c r="EF715" s="4"/>
      <c r="EG715" s="4"/>
      <c r="EH715" s="4"/>
      <c r="EI715" s="4"/>
      <c r="EJ715" s="4"/>
      <c r="EK715" s="4"/>
      <c r="EL715" s="4"/>
      <c r="EM715" s="4"/>
      <c r="EN715" s="4"/>
      <c r="EO715" s="4"/>
      <c r="EP715" s="4"/>
      <c r="EQ715" s="4"/>
      <c r="ER715" s="4"/>
      <c r="ES715" s="4"/>
      <c r="ET715" s="4"/>
      <c r="EU715" s="4"/>
      <c r="EV715" s="4"/>
      <c r="EW715" s="4"/>
      <c r="EX715" s="4">
        <v>4.05</v>
      </c>
      <c r="EY715" s="4"/>
      <c r="EZ715" s="4"/>
      <c r="FA715" s="4"/>
      <c r="FB715" s="4"/>
      <c r="FC715" s="4"/>
      <c r="FD715" s="4"/>
      <c r="FE715" s="4"/>
      <c r="FF715" s="4"/>
      <c r="FG715" s="4"/>
      <c r="FH715" s="4"/>
      <c r="FI715" s="4"/>
      <c r="FJ715" s="4"/>
      <c r="FK715" s="4"/>
      <c r="FL715" s="4"/>
      <c r="FM715" s="4"/>
      <c r="FN715" s="4"/>
      <c r="FO715" s="4"/>
      <c r="FP715" s="4"/>
      <c r="FQ715" s="4"/>
      <c r="FR715" s="4"/>
      <c r="FS715" s="4"/>
      <c r="FT715" s="4"/>
      <c r="FU715" s="4"/>
      <c r="FV715" s="4"/>
      <c r="FW715" s="4"/>
      <c r="FX715" s="4"/>
      <c r="FY715" s="4"/>
      <c r="FZ715" s="4"/>
      <c r="GA715" s="4"/>
      <c r="GB715" s="4"/>
      <c r="GC715" s="4"/>
      <c r="GD715" s="4"/>
      <c r="GE715" s="4"/>
      <c r="GF715" s="4"/>
      <c r="GG715" s="4"/>
      <c r="GH715" s="4"/>
      <c r="GI715" s="4"/>
      <c r="GJ715" s="4"/>
      <c r="GK715" s="4"/>
      <c r="GL715" s="4"/>
      <c r="GM715" s="4"/>
      <c r="GN715" s="4"/>
      <c r="GO715" s="4"/>
      <c r="GP715" s="4"/>
      <c r="GQ715" s="4"/>
      <c r="GR715" s="4"/>
      <c r="GS715" s="4"/>
      <c r="GT715" s="4"/>
      <c r="GU715" s="4"/>
      <c r="GV715" s="4"/>
      <c r="GW715" s="4"/>
      <c r="GX715" s="4"/>
      <c r="GY715" s="4"/>
      <c r="GZ715" s="4"/>
      <c r="HA715" s="4"/>
      <c r="HB715" s="4"/>
      <c r="HC715" s="4"/>
      <c r="HD715" s="4"/>
      <c r="HE715" s="4"/>
      <c r="HF715" s="4"/>
      <c r="HG715" s="4"/>
      <c r="HH715" s="4"/>
      <c r="HI715" s="4"/>
      <c r="HJ715" s="4"/>
    </row>
    <row r="716" spans="1:218" hidden="1">
      <c r="A716" t="s">
        <v>1654</v>
      </c>
      <c r="B716" t="s">
        <v>1655</v>
      </c>
      <c r="C716" t="s">
        <v>1652</v>
      </c>
      <c r="D716" t="s">
        <v>490</v>
      </c>
      <c r="E716" t="s">
        <v>1656</v>
      </c>
      <c r="F716" s="3">
        <v>1</v>
      </c>
      <c r="G716" s="12">
        <f t="shared" si="22"/>
        <v>13.68</v>
      </c>
      <c r="H716" s="12" t="e">
        <f t="shared" si="23"/>
        <v>#NUM!</v>
      </c>
      <c r="I716" s="3">
        <v>13.678290000000001</v>
      </c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>
        <v>13.68</v>
      </c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  <c r="DQ716" s="4"/>
      <c r="DR716" s="4"/>
      <c r="DS716" s="4"/>
      <c r="DT716" s="4"/>
      <c r="DU716" s="4"/>
      <c r="DV716" s="4"/>
      <c r="DW716" s="4"/>
      <c r="DX716" s="4"/>
      <c r="DY716" s="4"/>
      <c r="DZ716" s="4"/>
      <c r="EA716" s="4"/>
      <c r="EB716" s="4"/>
      <c r="EC716" s="4"/>
      <c r="ED716" s="4"/>
      <c r="EE716" s="4"/>
      <c r="EF716" s="4"/>
      <c r="EG716" s="4"/>
      <c r="EH716" s="4"/>
      <c r="EI716" s="4"/>
      <c r="EJ716" s="4"/>
      <c r="EK716" s="4"/>
      <c r="EL716" s="4"/>
      <c r="EM716" s="4"/>
      <c r="EN716" s="4"/>
      <c r="EO716" s="4"/>
      <c r="EP716" s="4"/>
      <c r="EQ716" s="4"/>
      <c r="ER716" s="4"/>
      <c r="ES716" s="4"/>
      <c r="ET716" s="4"/>
      <c r="EU716" s="4"/>
      <c r="EV716" s="4"/>
      <c r="EW716" s="4"/>
      <c r="EX716" s="4"/>
      <c r="EY716" s="4"/>
      <c r="EZ716" s="4"/>
      <c r="FA716" s="4"/>
      <c r="FB716" s="4"/>
      <c r="FC716" s="4"/>
      <c r="FD716" s="4"/>
      <c r="FE716" s="4"/>
      <c r="FF716" s="4"/>
      <c r="FG716" s="4"/>
      <c r="FH716" s="4"/>
      <c r="FI716" s="4"/>
      <c r="FJ716" s="4"/>
      <c r="FK716" s="4"/>
      <c r="FL716" s="4"/>
      <c r="FM716" s="4"/>
      <c r="FN716" s="4"/>
      <c r="FO716" s="4"/>
      <c r="FP716" s="4"/>
      <c r="FQ716" s="4"/>
      <c r="FR716" s="4"/>
      <c r="FS716" s="4"/>
      <c r="FT716" s="4"/>
      <c r="FU716" s="4"/>
      <c r="FV716" s="4"/>
      <c r="FW716" s="4"/>
      <c r="FX716" s="4"/>
      <c r="FY716" s="4"/>
      <c r="FZ716" s="4"/>
      <c r="GA716" s="4"/>
      <c r="GB716" s="4"/>
      <c r="GC716" s="4"/>
      <c r="GD716" s="4"/>
      <c r="GE716" s="4"/>
      <c r="GF716" s="4"/>
      <c r="GG716" s="4"/>
      <c r="GH716" s="4"/>
      <c r="GI716" s="4"/>
      <c r="GJ716" s="4"/>
      <c r="GK716" s="4"/>
      <c r="GL716" s="4"/>
      <c r="GM716" s="4"/>
      <c r="GN716" s="4"/>
      <c r="GO716" s="4"/>
      <c r="GP716" s="4"/>
      <c r="GQ716" s="4"/>
      <c r="GR716" s="4"/>
      <c r="GS716" s="4"/>
      <c r="GT716" s="4"/>
      <c r="GU716" s="4"/>
      <c r="GV716" s="4"/>
      <c r="GW716" s="4"/>
      <c r="GX716" s="4"/>
      <c r="GY716" s="4"/>
      <c r="GZ716" s="4"/>
      <c r="HA716" s="4"/>
      <c r="HB716" s="4"/>
      <c r="HC716" s="4"/>
      <c r="HD716" s="4"/>
      <c r="HE716" s="4"/>
      <c r="HF716" s="4"/>
      <c r="HG716" s="4"/>
      <c r="HH716" s="4"/>
      <c r="HI716" s="4"/>
      <c r="HJ716" s="4"/>
    </row>
    <row r="717" spans="1:218" hidden="1">
      <c r="A717" t="s">
        <v>2292</v>
      </c>
      <c r="B717" t="s">
        <v>2293</v>
      </c>
      <c r="C717" t="s">
        <v>489</v>
      </c>
      <c r="D717" t="s">
        <v>490</v>
      </c>
      <c r="E717" t="s">
        <v>490</v>
      </c>
      <c r="F717" s="3">
        <v>1</v>
      </c>
      <c r="G717" s="12">
        <f t="shared" si="22"/>
        <v>4.1399999999999997</v>
      </c>
      <c r="H717" s="12" t="e">
        <f t="shared" si="23"/>
        <v>#NUM!</v>
      </c>
      <c r="I717" s="3">
        <v>4.1379299999999999</v>
      </c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>
        <v>4.1399999999999997</v>
      </c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  <c r="DQ717" s="4"/>
      <c r="DR717" s="4"/>
      <c r="DS717" s="4"/>
      <c r="DT717" s="4"/>
      <c r="DU717" s="4"/>
      <c r="DV717" s="4"/>
      <c r="DW717" s="4"/>
      <c r="DX717" s="4"/>
      <c r="DY717" s="4"/>
      <c r="DZ717" s="4"/>
      <c r="EA717" s="4"/>
      <c r="EB717" s="4"/>
      <c r="EC717" s="4"/>
      <c r="ED717" s="4"/>
      <c r="EE717" s="4"/>
      <c r="EF717" s="4"/>
      <c r="EG717" s="4"/>
      <c r="EH717" s="4"/>
      <c r="EI717" s="4"/>
      <c r="EJ717" s="4"/>
      <c r="EK717" s="4"/>
      <c r="EL717" s="4"/>
      <c r="EM717" s="4"/>
      <c r="EN717" s="4"/>
      <c r="EO717" s="4"/>
      <c r="EP717" s="4"/>
      <c r="EQ717" s="4"/>
      <c r="ER717" s="4"/>
      <c r="ES717" s="4"/>
      <c r="ET717" s="4"/>
      <c r="EU717" s="4"/>
      <c r="EV717" s="4"/>
      <c r="EW717" s="4"/>
      <c r="EX717" s="4"/>
      <c r="EY717" s="4"/>
      <c r="EZ717" s="4"/>
      <c r="FA717" s="4"/>
      <c r="FB717" s="4"/>
      <c r="FC717" s="4"/>
      <c r="FD717" s="4"/>
      <c r="FE717" s="4"/>
      <c r="FF717" s="4"/>
      <c r="FG717" s="4"/>
      <c r="FH717" s="4"/>
      <c r="FI717" s="4"/>
      <c r="FJ717" s="4"/>
      <c r="FK717" s="4"/>
      <c r="FL717" s="4"/>
      <c r="FM717" s="4"/>
      <c r="FN717" s="4"/>
      <c r="FO717" s="4"/>
      <c r="FP717" s="4"/>
      <c r="FQ717" s="4"/>
      <c r="FR717" s="4"/>
      <c r="FS717" s="4"/>
      <c r="FT717" s="4"/>
      <c r="FU717" s="4"/>
      <c r="FV717" s="4"/>
      <c r="FW717" s="4"/>
      <c r="FX717" s="4"/>
      <c r="FY717" s="4"/>
      <c r="FZ717" s="4"/>
      <c r="GA717" s="4"/>
      <c r="GB717" s="4"/>
      <c r="GC717" s="4"/>
      <c r="GD717" s="4"/>
      <c r="GE717" s="4"/>
      <c r="GF717" s="4"/>
      <c r="GG717" s="4"/>
      <c r="GH717" s="4"/>
      <c r="GI717" s="4"/>
      <c r="GJ717" s="4"/>
      <c r="GK717" s="4"/>
      <c r="GL717" s="4"/>
      <c r="GM717" s="4"/>
      <c r="GN717" s="4"/>
      <c r="GO717" s="4"/>
      <c r="GP717" s="4"/>
      <c r="GQ717" s="4"/>
      <c r="GR717" s="4"/>
      <c r="GS717" s="4"/>
      <c r="GT717" s="4"/>
      <c r="GU717" s="4"/>
      <c r="GV717" s="4"/>
      <c r="GW717" s="4"/>
      <c r="GX717" s="4"/>
      <c r="GY717" s="4"/>
      <c r="GZ717" s="4"/>
      <c r="HA717" s="4"/>
      <c r="HB717" s="4"/>
      <c r="HC717" s="4"/>
      <c r="HD717" s="4"/>
      <c r="HE717" s="4"/>
      <c r="HF717" s="4"/>
      <c r="HG717" s="4"/>
      <c r="HH717" s="4"/>
      <c r="HI717" s="4"/>
      <c r="HJ717" s="4"/>
    </row>
    <row r="718" spans="1:218" hidden="1">
      <c r="A718" t="s">
        <v>2210</v>
      </c>
      <c r="B718" t="s">
        <v>2211</v>
      </c>
      <c r="C718" t="s">
        <v>489</v>
      </c>
      <c r="D718" t="s">
        <v>490</v>
      </c>
      <c r="E718" t="s">
        <v>490</v>
      </c>
      <c r="F718" s="3">
        <v>1</v>
      </c>
      <c r="G718" s="12">
        <f t="shared" si="22"/>
        <v>4.3</v>
      </c>
      <c r="H718" s="12" t="e">
        <f t="shared" si="23"/>
        <v>#NUM!</v>
      </c>
      <c r="I718" s="3">
        <v>4.3013000000000003</v>
      </c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>
        <v>4.3</v>
      </c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  <c r="DQ718" s="4"/>
      <c r="DR718" s="4"/>
      <c r="DS718" s="4"/>
      <c r="DT718" s="4"/>
      <c r="DU718" s="4"/>
      <c r="DV718" s="4"/>
      <c r="DW718" s="4"/>
      <c r="DX718" s="4"/>
      <c r="DY718" s="4"/>
      <c r="DZ718" s="4"/>
      <c r="EA718" s="4"/>
      <c r="EB718" s="4"/>
      <c r="EC718" s="4"/>
      <c r="ED718" s="4"/>
      <c r="EE718" s="4"/>
      <c r="EF718" s="4"/>
      <c r="EG718" s="4"/>
      <c r="EH718" s="4"/>
      <c r="EI718" s="4"/>
      <c r="EJ718" s="4"/>
      <c r="EK718" s="4"/>
      <c r="EL718" s="4"/>
      <c r="EM718" s="4"/>
      <c r="EN718" s="4"/>
      <c r="EO718" s="4"/>
      <c r="EP718" s="4"/>
      <c r="EQ718" s="4"/>
      <c r="ER718" s="4"/>
      <c r="ES718" s="4"/>
      <c r="ET718" s="4"/>
      <c r="EU718" s="4"/>
      <c r="EV718" s="4"/>
      <c r="EW718" s="4"/>
      <c r="EX718" s="4"/>
      <c r="EY718" s="4"/>
      <c r="EZ718" s="4"/>
      <c r="FA718" s="4"/>
      <c r="FB718" s="4"/>
      <c r="FC718" s="4"/>
      <c r="FD718" s="4"/>
      <c r="FE718" s="4"/>
      <c r="FF718" s="4"/>
      <c r="FG718" s="4"/>
      <c r="FH718" s="4"/>
      <c r="FI718" s="4"/>
      <c r="FJ718" s="4"/>
      <c r="FK718" s="4"/>
      <c r="FL718" s="4"/>
      <c r="FM718" s="4"/>
      <c r="FN718" s="4"/>
      <c r="FO718" s="4"/>
      <c r="FP718" s="4"/>
      <c r="FQ718" s="4"/>
      <c r="FR718" s="4"/>
      <c r="FS718" s="4"/>
      <c r="FT718" s="4"/>
      <c r="FU718" s="4"/>
      <c r="FV718" s="4"/>
      <c r="FW718" s="4"/>
      <c r="FX718" s="4"/>
      <c r="FY718" s="4"/>
      <c r="FZ718" s="4"/>
      <c r="GA718" s="4"/>
      <c r="GB718" s="4"/>
      <c r="GC718" s="4"/>
      <c r="GD718" s="4"/>
      <c r="GE718" s="4"/>
      <c r="GF718" s="4"/>
      <c r="GG718" s="4"/>
      <c r="GH718" s="4"/>
      <c r="GI718" s="4"/>
      <c r="GJ718" s="4"/>
      <c r="GK718" s="4"/>
      <c r="GL718" s="4"/>
      <c r="GM718" s="4"/>
      <c r="GN718" s="4"/>
      <c r="GO718" s="4"/>
      <c r="GP718" s="4"/>
      <c r="GQ718" s="4"/>
      <c r="GR718" s="4"/>
      <c r="GS718" s="4"/>
      <c r="GT718" s="4"/>
      <c r="GU718" s="4"/>
      <c r="GV718" s="4"/>
      <c r="GW718" s="4"/>
      <c r="GX718" s="4"/>
      <c r="GY718" s="4"/>
      <c r="GZ718" s="4"/>
      <c r="HA718" s="4"/>
      <c r="HB718" s="4"/>
      <c r="HC718" s="4"/>
      <c r="HD718" s="4"/>
      <c r="HE718" s="4"/>
      <c r="HF718" s="4"/>
      <c r="HG718" s="4"/>
      <c r="HH718" s="4"/>
      <c r="HI718" s="4"/>
      <c r="HJ718" s="4"/>
    </row>
    <row r="719" spans="1:218" hidden="1">
      <c r="A719" t="s">
        <v>1797</v>
      </c>
      <c r="B719" t="s">
        <v>1798</v>
      </c>
      <c r="C719" t="s">
        <v>489</v>
      </c>
      <c r="D719" t="s">
        <v>490</v>
      </c>
      <c r="E719" t="s">
        <v>490</v>
      </c>
      <c r="F719" s="3">
        <v>1</v>
      </c>
      <c r="G719" s="12">
        <f t="shared" si="22"/>
        <v>6.38</v>
      </c>
      <c r="H719" s="12" t="e">
        <f t="shared" si="23"/>
        <v>#NUM!</v>
      </c>
      <c r="I719" s="3">
        <v>6.378639999999999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>
        <v>6.38</v>
      </c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  <c r="DQ719" s="4"/>
      <c r="DR719" s="4"/>
      <c r="DS719" s="4"/>
      <c r="DT719" s="4"/>
      <c r="DU719" s="4"/>
      <c r="DV719" s="4"/>
      <c r="DW719" s="4"/>
      <c r="DX719" s="4"/>
      <c r="DY719" s="4"/>
      <c r="DZ719" s="4"/>
      <c r="EA719" s="4"/>
      <c r="EB719" s="4"/>
      <c r="EC719" s="4"/>
      <c r="ED719" s="4"/>
      <c r="EE719" s="4"/>
      <c r="EF719" s="4"/>
      <c r="EG719" s="4"/>
      <c r="EH719" s="4"/>
      <c r="EI719" s="4"/>
      <c r="EJ719" s="4"/>
      <c r="EK719" s="4"/>
      <c r="EL719" s="4"/>
      <c r="EM719" s="4"/>
      <c r="EN719" s="4"/>
      <c r="EO719" s="4"/>
      <c r="EP719" s="4"/>
      <c r="EQ719" s="4"/>
      <c r="ER719" s="4"/>
      <c r="ES719" s="4"/>
      <c r="ET719" s="4"/>
      <c r="EU719" s="4"/>
      <c r="EV719" s="4"/>
      <c r="EW719" s="4"/>
      <c r="EX719" s="4"/>
      <c r="EY719" s="4"/>
      <c r="EZ719" s="4"/>
      <c r="FA719" s="4"/>
      <c r="FB719" s="4"/>
      <c r="FC719" s="4"/>
      <c r="FD719" s="4"/>
      <c r="FE719" s="4"/>
      <c r="FF719" s="4"/>
      <c r="FG719" s="4"/>
      <c r="FH719" s="4"/>
      <c r="FI719" s="4"/>
      <c r="FJ719" s="4"/>
      <c r="FK719" s="4"/>
      <c r="FL719" s="4"/>
      <c r="FM719" s="4"/>
      <c r="FN719" s="4"/>
      <c r="FO719" s="4"/>
      <c r="FP719" s="4"/>
      <c r="FQ719" s="4"/>
      <c r="FR719" s="4"/>
      <c r="FS719" s="4"/>
      <c r="FT719" s="4"/>
      <c r="FU719" s="4"/>
      <c r="FV719" s="4"/>
      <c r="FW719" s="4"/>
      <c r="FX719" s="4"/>
      <c r="FY719" s="4"/>
      <c r="FZ719" s="4"/>
      <c r="GA719" s="4"/>
      <c r="GB719" s="4"/>
      <c r="GC719" s="4"/>
      <c r="GD719" s="4"/>
      <c r="GE719" s="4"/>
      <c r="GF719" s="4"/>
      <c r="GG719" s="4"/>
      <c r="GH719" s="4"/>
      <c r="GI719" s="4"/>
      <c r="GJ719" s="4"/>
      <c r="GK719" s="4"/>
      <c r="GL719" s="4"/>
      <c r="GM719" s="4"/>
      <c r="GN719" s="4"/>
      <c r="GO719" s="4"/>
      <c r="GP719" s="4"/>
      <c r="GQ719" s="4"/>
      <c r="GR719" s="4"/>
      <c r="GS719" s="4"/>
      <c r="GT719" s="4"/>
      <c r="GU719" s="4"/>
      <c r="GV719" s="4"/>
      <c r="GW719" s="4"/>
      <c r="GX719" s="4"/>
      <c r="GY719" s="4"/>
      <c r="GZ719" s="4"/>
      <c r="HA719" s="4"/>
      <c r="HB719" s="4"/>
      <c r="HC719" s="4"/>
      <c r="HD719" s="4"/>
      <c r="HE719" s="4"/>
      <c r="HF719" s="4"/>
      <c r="HG719" s="4"/>
      <c r="HH719" s="4"/>
      <c r="HI719" s="4"/>
      <c r="HJ719" s="4"/>
    </row>
    <row r="720" spans="1:218" hidden="1">
      <c r="A720" t="s">
        <v>2999</v>
      </c>
      <c r="B720" t="s">
        <v>3000</v>
      </c>
      <c r="C720" t="s">
        <v>489</v>
      </c>
      <c r="D720" t="s">
        <v>490</v>
      </c>
      <c r="E720" t="s">
        <v>490</v>
      </c>
      <c r="F720" s="3">
        <v>1</v>
      </c>
      <c r="G720" s="12">
        <f t="shared" si="22"/>
        <v>2.21</v>
      </c>
      <c r="H720" s="12" t="e">
        <f t="shared" si="23"/>
        <v>#NUM!</v>
      </c>
      <c r="I720" s="3">
        <v>2.2097598999999999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>
        <v>2.21</v>
      </c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  <c r="DQ720" s="4"/>
      <c r="DR720" s="4"/>
      <c r="DS720" s="4"/>
      <c r="DT720" s="4"/>
      <c r="DU720" s="4"/>
      <c r="DV720" s="4"/>
      <c r="DW720" s="4"/>
      <c r="DX720" s="4"/>
      <c r="DY720" s="4"/>
      <c r="DZ720" s="4"/>
      <c r="EA720" s="4"/>
      <c r="EB720" s="4"/>
      <c r="EC720" s="4"/>
      <c r="ED720" s="4"/>
      <c r="EE720" s="4"/>
      <c r="EF720" s="4"/>
      <c r="EG720" s="4"/>
      <c r="EH720" s="4"/>
      <c r="EI720" s="4"/>
      <c r="EJ720" s="4"/>
      <c r="EK720" s="4"/>
      <c r="EL720" s="4"/>
      <c r="EM720" s="4"/>
      <c r="EN720" s="4"/>
      <c r="EO720" s="4"/>
      <c r="EP720" s="4"/>
      <c r="EQ720" s="4"/>
      <c r="ER720" s="4"/>
      <c r="ES720" s="4"/>
      <c r="ET720" s="4"/>
      <c r="EU720" s="4"/>
      <c r="EV720" s="4"/>
      <c r="EW720" s="4"/>
      <c r="EX720" s="4"/>
      <c r="EY720" s="4"/>
      <c r="EZ720" s="4"/>
      <c r="FA720" s="4"/>
      <c r="FB720" s="4"/>
      <c r="FC720" s="4"/>
      <c r="FD720" s="4"/>
      <c r="FE720" s="4"/>
      <c r="FF720" s="4"/>
      <c r="FG720" s="4"/>
      <c r="FH720" s="4"/>
      <c r="FI720" s="4"/>
      <c r="FJ720" s="4"/>
      <c r="FK720" s="4"/>
      <c r="FL720" s="4"/>
      <c r="FM720" s="4"/>
      <c r="FN720" s="4"/>
      <c r="FO720" s="4"/>
      <c r="FP720" s="4"/>
      <c r="FQ720" s="4"/>
      <c r="FR720" s="4"/>
      <c r="FS720" s="4"/>
      <c r="FT720" s="4"/>
      <c r="FU720" s="4"/>
      <c r="FV720" s="4"/>
      <c r="FW720" s="4"/>
      <c r="FX720" s="4"/>
      <c r="FY720" s="4"/>
      <c r="FZ720" s="4"/>
      <c r="GA720" s="4"/>
      <c r="GB720" s="4"/>
      <c r="GC720" s="4"/>
      <c r="GD720" s="4"/>
      <c r="GE720" s="4"/>
      <c r="GF720" s="4"/>
      <c r="GG720" s="4"/>
      <c r="GH720" s="4"/>
      <c r="GI720" s="4"/>
      <c r="GJ720" s="4"/>
      <c r="GK720" s="4"/>
      <c r="GL720" s="4"/>
      <c r="GM720" s="4"/>
      <c r="GN720" s="4"/>
      <c r="GO720" s="4"/>
      <c r="GP720" s="4"/>
      <c r="GQ720" s="4"/>
      <c r="GR720" s="4"/>
      <c r="GS720" s="4"/>
      <c r="GT720" s="4"/>
      <c r="GU720" s="4"/>
      <c r="GV720" s="4"/>
      <c r="GW720" s="4"/>
      <c r="GX720" s="4"/>
      <c r="GY720" s="4"/>
      <c r="GZ720" s="4"/>
      <c r="HA720" s="4"/>
      <c r="HB720" s="4"/>
      <c r="HC720" s="4"/>
      <c r="HD720" s="4"/>
      <c r="HE720" s="4"/>
      <c r="HF720" s="4"/>
      <c r="HG720" s="4"/>
      <c r="HH720" s="4"/>
      <c r="HI720" s="4"/>
      <c r="HJ720" s="4"/>
    </row>
    <row r="721" spans="1:218" hidden="1">
      <c r="A721" t="s">
        <v>1894</v>
      </c>
      <c r="B721" t="s">
        <v>1895</v>
      </c>
      <c r="C721" t="s">
        <v>489</v>
      </c>
      <c r="D721" t="s">
        <v>490</v>
      </c>
      <c r="E721" t="s">
        <v>490</v>
      </c>
      <c r="F721" s="3">
        <v>1</v>
      </c>
      <c r="G721" s="12">
        <f t="shared" si="22"/>
        <v>5.4</v>
      </c>
      <c r="H721" s="12" t="e">
        <f t="shared" si="23"/>
        <v>#NUM!</v>
      </c>
      <c r="I721" s="3">
        <v>5.3960800000000004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>
        <v>5.4</v>
      </c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  <c r="DQ721" s="4"/>
      <c r="DR721" s="4"/>
      <c r="DS721" s="4"/>
      <c r="DT721" s="4"/>
      <c r="DU721" s="4"/>
      <c r="DV721" s="4"/>
      <c r="DW721" s="4"/>
      <c r="DX721" s="4"/>
      <c r="DY721" s="4"/>
      <c r="DZ721" s="4"/>
      <c r="EA721" s="4"/>
      <c r="EB721" s="4"/>
      <c r="EC721" s="4"/>
      <c r="ED721" s="4"/>
      <c r="EE721" s="4"/>
      <c r="EF721" s="4"/>
      <c r="EG721" s="4"/>
      <c r="EH721" s="4"/>
      <c r="EI721" s="4"/>
      <c r="EJ721" s="4"/>
      <c r="EK721" s="4"/>
      <c r="EL721" s="4"/>
      <c r="EM721" s="4"/>
      <c r="EN721" s="4"/>
      <c r="EO721" s="4"/>
      <c r="EP721" s="4"/>
      <c r="EQ721" s="4"/>
      <c r="ER721" s="4"/>
      <c r="ES721" s="4"/>
      <c r="ET721" s="4"/>
      <c r="EU721" s="4"/>
      <c r="EV721" s="4"/>
      <c r="EW721" s="4"/>
      <c r="EX721" s="4"/>
      <c r="EY721" s="4"/>
      <c r="EZ721" s="4"/>
      <c r="FA721" s="4"/>
      <c r="FB721" s="4"/>
      <c r="FC721" s="4"/>
      <c r="FD721" s="4"/>
      <c r="FE721" s="4"/>
      <c r="FF721" s="4"/>
      <c r="FG721" s="4"/>
      <c r="FH721" s="4"/>
      <c r="FI721" s="4"/>
      <c r="FJ721" s="4"/>
      <c r="FK721" s="4"/>
      <c r="FL721" s="4"/>
      <c r="FM721" s="4"/>
      <c r="FN721" s="4"/>
      <c r="FO721" s="4"/>
      <c r="FP721" s="4"/>
      <c r="FQ721" s="4"/>
      <c r="FR721" s="4"/>
      <c r="FS721" s="4"/>
      <c r="FT721" s="4"/>
      <c r="FU721" s="4"/>
      <c r="FV721" s="4"/>
      <c r="FW721" s="4"/>
      <c r="FX721" s="4"/>
      <c r="FY721" s="4"/>
      <c r="FZ721" s="4"/>
      <c r="GA721" s="4"/>
      <c r="GB721" s="4"/>
      <c r="GC721" s="4"/>
      <c r="GD721" s="4"/>
      <c r="GE721" s="4"/>
      <c r="GF721" s="4"/>
      <c r="GG721" s="4"/>
      <c r="GH721" s="4"/>
      <c r="GI721" s="4"/>
      <c r="GJ721" s="4"/>
      <c r="GK721" s="4"/>
      <c r="GL721" s="4"/>
      <c r="GM721" s="4"/>
      <c r="GN721" s="4"/>
      <c r="GO721" s="4"/>
      <c r="GP721" s="4"/>
      <c r="GQ721" s="4"/>
      <c r="GR721" s="4"/>
      <c r="GS721" s="4"/>
      <c r="GT721" s="4"/>
      <c r="GU721" s="4"/>
      <c r="GV721" s="4"/>
      <c r="GW721" s="4"/>
      <c r="GX721" s="4"/>
      <c r="GY721" s="4"/>
      <c r="GZ721" s="4"/>
      <c r="HA721" s="4"/>
      <c r="HB721" s="4"/>
      <c r="HC721" s="4"/>
      <c r="HD721" s="4"/>
      <c r="HE721" s="4"/>
      <c r="HF721" s="4"/>
      <c r="HG721" s="4"/>
      <c r="HH721" s="4"/>
      <c r="HI721" s="4"/>
      <c r="HJ721" s="4"/>
    </row>
    <row r="722" spans="1:218" hidden="1">
      <c r="A722" t="s">
        <v>1916</v>
      </c>
      <c r="B722" t="s">
        <v>1917</v>
      </c>
      <c r="C722" t="s">
        <v>489</v>
      </c>
      <c r="D722" t="s">
        <v>490</v>
      </c>
      <c r="E722" t="s">
        <v>490</v>
      </c>
      <c r="F722" s="3">
        <v>1</v>
      </c>
      <c r="G722" s="12">
        <f t="shared" si="22"/>
        <v>5.13</v>
      </c>
      <c r="H722" s="12" t="e">
        <f t="shared" si="23"/>
        <v>#NUM!</v>
      </c>
      <c r="I722" s="3">
        <v>5.1273799999999996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  <c r="DQ722" s="4"/>
      <c r="DR722" s="4"/>
      <c r="DS722" s="4"/>
      <c r="DT722" s="4"/>
      <c r="DU722" s="4"/>
      <c r="DV722" s="4"/>
      <c r="DW722" s="4"/>
      <c r="DX722" s="4"/>
      <c r="DY722" s="4"/>
      <c r="DZ722" s="4"/>
      <c r="EA722" s="4"/>
      <c r="EB722" s="4"/>
      <c r="EC722" s="4"/>
      <c r="ED722" s="4"/>
      <c r="EE722" s="4"/>
      <c r="EF722" s="4"/>
      <c r="EG722" s="4"/>
      <c r="EH722" s="4"/>
      <c r="EI722" s="4"/>
      <c r="EJ722" s="4"/>
      <c r="EK722" s="4"/>
      <c r="EL722" s="4"/>
      <c r="EM722" s="4"/>
      <c r="EN722" s="4"/>
      <c r="EO722" s="4"/>
      <c r="EP722" s="4"/>
      <c r="EQ722" s="4"/>
      <c r="ER722" s="4"/>
      <c r="ES722" s="4"/>
      <c r="ET722" s="4"/>
      <c r="EU722" s="4"/>
      <c r="EV722" s="4"/>
      <c r="EW722" s="4"/>
      <c r="EX722" s="4"/>
      <c r="EY722" s="4"/>
      <c r="EZ722" s="4"/>
      <c r="FA722" s="4"/>
      <c r="FB722" s="4"/>
      <c r="FC722" s="4"/>
      <c r="FD722" s="4"/>
      <c r="FE722" s="4">
        <v>5.13</v>
      </c>
      <c r="FF722" s="4"/>
      <c r="FG722" s="4"/>
      <c r="FH722" s="4"/>
      <c r="FI722" s="4"/>
      <c r="FJ722" s="4"/>
      <c r="FK722" s="4"/>
      <c r="FL722" s="4"/>
      <c r="FM722" s="4"/>
      <c r="FN722" s="4"/>
      <c r="FO722" s="4"/>
      <c r="FP722" s="4"/>
      <c r="FQ722" s="4"/>
      <c r="FR722" s="4"/>
      <c r="FS722" s="4"/>
      <c r="FT722" s="4"/>
      <c r="FU722" s="4"/>
      <c r="FV722" s="4"/>
      <c r="FW722" s="4"/>
      <c r="FX722" s="4"/>
      <c r="FY722" s="4"/>
      <c r="FZ722" s="4"/>
      <c r="GA722" s="4"/>
      <c r="GB722" s="4"/>
      <c r="GC722" s="4"/>
      <c r="GD722" s="4"/>
      <c r="GE722" s="4"/>
      <c r="GF722" s="4"/>
      <c r="GG722" s="4"/>
      <c r="GH722" s="4"/>
      <c r="GI722" s="4"/>
      <c r="GJ722" s="4"/>
      <c r="GK722" s="4"/>
      <c r="GL722" s="4"/>
      <c r="GM722" s="4"/>
      <c r="GN722" s="4"/>
      <c r="GO722" s="4"/>
      <c r="GP722" s="4"/>
      <c r="GQ722" s="4"/>
      <c r="GR722" s="4"/>
      <c r="GS722" s="4"/>
      <c r="GT722" s="4"/>
      <c r="GU722" s="4"/>
      <c r="GV722" s="4"/>
      <c r="GW722" s="4"/>
      <c r="GX722" s="4"/>
      <c r="GY722" s="4"/>
      <c r="GZ722" s="4"/>
      <c r="HA722" s="4"/>
      <c r="HB722" s="4"/>
      <c r="HC722" s="4"/>
      <c r="HD722" s="4"/>
      <c r="HE722" s="4"/>
      <c r="HF722" s="4"/>
      <c r="HG722" s="4"/>
      <c r="HH722" s="4"/>
      <c r="HI722" s="4"/>
      <c r="HJ722" s="4"/>
    </row>
    <row r="723" spans="1:218" hidden="1">
      <c r="A723" t="s">
        <v>2198</v>
      </c>
      <c r="B723" t="s">
        <v>2199</v>
      </c>
      <c r="C723" t="s">
        <v>489</v>
      </c>
      <c r="D723" t="s">
        <v>490</v>
      </c>
      <c r="E723" t="s">
        <v>490</v>
      </c>
      <c r="F723" s="3">
        <v>1</v>
      </c>
      <c r="G723" s="12">
        <f t="shared" si="22"/>
        <v>4.32</v>
      </c>
      <c r="H723" s="12" t="e">
        <f t="shared" si="23"/>
        <v>#NUM!</v>
      </c>
      <c r="I723" s="3">
        <v>4.3196604000000001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  <c r="DQ723" s="4"/>
      <c r="DR723" s="4"/>
      <c r="DS723" s="4"/>
      <c r="DT723" s="4"/>
      <c r="DU723" s="4"/>
      <c r="DV723" s="4"/>
      <c r="DW723" s="4"/>
      <c r="DX723" s="4"/>
      <c r="DY723" s="4"/>
      <c r="DZ723" s="4"/>
      <c r="EA723" s="4"/>
      <c r="EB723" s="4"/>
      <c r="EC723" s="4"/>
      <c r="ED723" s="4"/>
      <c r="EE723" s="4"/>
      <c r="EF723" s="4"/>
      <c r="EG723" s="4"/>
      <c r="EH723" s="4"/>
      <c r="EI723" s="4"/>
      <c r="EJ723" s="4"/>
      <c r="EK723" s="4"/>
      <c r="EL723" s="4"/>
      <c r="EM723" s="4"/>
      <c r="EN723" s="4"/>
      <c r="EO723" s="4"/>
      <c r="EP723" s="4"/>
      <c r="EQ723" s="4"/>
      <c r="ER723" s="4"/>
      <c r="ES723" s="4"/>
      <c r="ET723" s="4"/>
      <c r="EU723" s="4"/>
      <c r="EV723" s="4"/>
      <c r="EW723" s="4"/>
      <c r="EX723" s="4"/>
      <c r="EY723" s="4"/>
      <c r="EZ723" s="4"/>
      <c r="FA723" s="4"/>
      <c r="FB723" s="4"/>
      <c r="FC723" s="4"/>
      <c r="FD723" s="4"/>
      <c r="FE723" s="4"/>
      <c r="FF723" s="4"/>
      <c r="FG723" s="4"/>
      <c r="FH723" s="4"/>
      <c r="FI723" s="4"/>
      <c r="FJ723" s="4"/>
      <c r="FK723" s="4"/>
      <c r="FL723" s="4"/>
      <c r="FM723" s="4"/>
      <c r="FN723" s="4"/>
      <c r="FO723" s="4"/>
      <c r="FP723" s="4"/>
      <c r="FQ723" s="4"/>
      <c r="FR723" s="4"/>
      <c r="FS723" s="4"/>
      <c r="FT723" s="4"/>
      <c r="FU723" s="4"/>
      <c r="FV723" s="4"/>
      <c r="FW723" s="4"/>
      <c r="FX723" s="4"/>
      <c r="FY723" s="4"/>
      <c r="FZ723" s="4"/>
      <c r="GA723" s="4"/>
      <c r="GB723" s="4"/>
      <c r="GC723" s="4"/>
      <c r="GD723" s="4"/>
      <c r="GE723" s="4"/>
      <c r="GF723" s="4"/>
      <c r="GG723" s="4"/>
      <c r="GH723" s="4"/>
      <c r="GI723" s="4"/>
      <c r="GJ723" s="4"/>
      <c r="GK723" s="4"/>
      <c r="GL723" s="4"/>
      <c r="GM723" s="4"/>
      <c r="GN723" s="4"/>
      <c r="GO723" s="4"/>
      <c r="GP723" s="4"/>
      <c r="GQ723" s="4"/>
      <c r="GR723" s="4"/>
      <c r="GS723" s="4"/>
      <c r="GT723" s="4"/>
      <c r="GU723" s="4"/>
      <c r="GV723" s="4"/>
      <c r="GW723" s="4"/>
      <c r="GX723" s="4"/>
      <c r="GY723" s="4"/>
      <c r="GZ723" s="4"/>
      <c r="HA723" s="4"/>
      <c r="HB723" s="4"/>
      <c r="HC723" s="4"/>
      <c r="HD723" s="4"/>
      <c r="HE723" s="4"/>
      <c r="HF723" s="4"/>
      <c r="HG723" s="4"/>
      <c r="HH723" s="4"/>
      <c r="HI723" s="4"/>
      <c r="HJ723" s="4">
        <v>4.32</v>
      </c>
    </row>
    <row r="724" spans="1:218" hidden="1">
      <c r="A724" t="s">
        <v>1980</v>
      </c>
      <c r="B724" t="s">
        <v>1981</v>
      </c>
      <c r="C724" t="s">
        <v>1143</v>
      </c>
      <c r="D724" t="s">
        <v>1982</v>
      </c>
      <c r="E724" t="s">
        <v>1983</v>
      </c>
      <c r="F724" s="3">
        <v>1</v>
      </c>
      <c r="G724" s="12">
        <f t="shared" si="22"/>
        <v>4.84</v>
      </c>
      <c r="H724" s="12" t="e">
        <f t="shared" si="23"/>
        <v>#NUM!</v>
      </c>
      <c r="I724" s="3">
        <v>4.8372900000000003</v>
      </c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>
        <v>4.84</v>
      </c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  <c r="DQ724" s="4"/>
      <c r="DR724" s="4"/>
      <c r="DS724" s="4"/>
      <c r="DT724" s="4"/>
      <c r="DU724" s="4"/>
      <c r="DV724" s="4"/>
      <c r="DW724" s="4"/>
      <c r="DX724" s="4"/>
      <c r="DY724" s="4"/>
      <c r="DZ724" s="4"/>
      <c r="EA724" s="4"/>
      <c r="EB724" s="4"/>
      <c r="EC724" s="4"/>
      <c r="ED724" s="4"/>
      <c r="EE724" s="4"/>
      <c r="EF724" s="4"/>
      <c r="EG724" s="4"/>
      <c r="EH724" s="4"/>
      <c r="EI724" s="4"/>
      <c r="EJ724" s="4"/>
      <c r="EK724" s="4"/>
      <c r="EL724" s="4"/>
      <c r="EM724" s="4"/>
      <c r="EN724" s="4"/>
      <c r="EO724" s="4"/>
      <c r="EP724" s="4"/>
      <c r="EQ724" s="4"/>
      <c r="ER724" s="4"/>
      <c r="ES724" s="4"/>
      <c r="ET724" s="4"/>
      <c r="EU724" s="4"/>
      <c r="EV724" s="4"/>
      <c r="EW724" s="4"/>
      <c r="EX724" s="4"/>
      <c r="EY724" s="4"/>
      <c r="EZ724" s="4"/>
      <c r="FA724" s="4"/>
      <c r="FB724" s="4"/>
      <c r="FC724" s="4"/>
      <c r="FD724" s="4"/>
      <c r="FE724" s="4"/>
      <c r="FF724" s="4"/>
      <c r="FG724" s="4"/>
      <c r="FH724" s="4"/>
      <c r="FI724" s="4"/>
      <c r="FJ724" s="4"/>
      <c r="FK724" s="4"/>
      <c r="FL724" s="4"/>
      <c r="FM724" s="4"/>
      <c r="FN724" s="4"/>
      <c r="FO724" s="4"/>
      <c r="FP724" s="4"/>
      <c r="FQ724" s="4"/>
      <c r="FR724" s="4"/>
      <c r="FS724" s="4"/>
      <c r="FT724" s="4"/>
      <c r="FU724" s="4"/>
      <c r="FV724" s="4"/>
      <c r="FW724" s="4"/>
      <c r="FX724" s="4"/>
      <c r="FY724" s="4"/>
      <c r="FZ724" s="4"/>
      <c r="GA724" s="4"/>
      <c r="GB724" s="4"/>
      <c r="GC724" s="4"/>
      <c r="GD724" s="4"/>
      <c r="GE724" s="4"/>
      <c r="GF724" s="4"/>
      <c r="GG724" s="4"/>
      <c r="GH724" s="4"/>
      <c r="GI724" s="4"/>
      <c r="GJ724" s="4"/>
      <c r="GK724" s="4"/>
      <c r="GL724" s="4"/>
      <c r="GM724" s="4"/>
      <c r="GN724" s="4"/>
      <c r="GO724" s="4"/>
      <c r="GP724" s="4"/>
      <c r="GQ724" s="4"/>
      <c r="GR724" s="4"/>
      <c r="GS724" s="4"/>
      <c r="GT724" s="4"/>
      <c r="GU724" s="4"/>
      <c r="GV724" s="4"/>
      <c r="GW724" s="4"/>
      <c r="GX724" s="4"/>
      <c r="GY724" s="4"/>
      <c r="GZ724" s="4"/>
      <c r="HA724" s="4"/>
      <c r="HB724" s="4"/>
      <c r="HC724" s="4"/>
      <c r="HD724" s="4"/>
      <c r="HE724" s="4"/>
      <c r="HF724" s="4"/>
      <c r="HG724" s="4"/>
      <c r="HH724" s="4"/>
      <c r="HI724" s="4"/>
      <c r="HJ724" s="4"/>
    </row>
    <row r="725" spans="1:218" hidden="1">
      <c r="A725" t="s">
        <v>1773</v>
      </c>
      <c r="B725" t="s">
        <v>1774</v>
      </c>
      <c r="C725" t="s">
        <v>1118</v>
      </c>
      <c r="D725" t="s">
        <v>1775</v>
      </c>
      <c r="E725" t="s">
        <v>1776</v>
      </c>
      <c r="F725" s="3">
        <v>1</v>
      </c>
      <c r="G725" s="12">
        <f t="shared" si="22"/>
        <v>6.48</v>
      </c>
      <c r="H725" s="12" t="e">
        <f t="shared" si="23"/>
        <v>#NUM!</v>
      </c>
      <c r="I725" s="3">
        <v>6.4811400000000008</v>
      </c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>
        <v>6.48</v>
      </c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  <c r="DQ725" s="4"/>
      <c r="DR725" s="4"/>
      <c r="DS725" s="4"/>
      <c r="DT725" s="4"/>
      <c r="DU725" s="4"/>
      <c r="DV725" s="4"/>
      <c r="DW725" s="4"/>
      <c r="DX725" s="4"/>
      <c r="DY725" s="4"/>
      <c r="DZ725" s="4"/>
      <c r="EA725" s="4"/>
      <c r="EB725" s="4"/>
      <c r="EC725" s="4"/>
      <c r="ED725" s="4"/>
      <c r="EE725" s="4"/>
      <c r="EF725" s="4"/>
      <c r="EG725" s="4"/>
      <c r="EH725" s="4"/>
      <c r="EI725" s="4"/>
      <c r="EJ725" s="4"/>
      <c r="EK725" s="4"/>
      <c r="EL725" s="4"/>
      <c r="EM725" s="4"/>
      <c r="EN725" s="4"/>
      <c r="EO725" s="4"/>
      <c r="EP725" s="4"/>
      <c r="EQ725" s="4"/>
      <c r="ER725" s="4"/>
      <c r="ES725" s="4"/>
      <c r="ET725" s="4"/>
      <c r="EU725" s="4"/>
      <c r="EV725" s="4"/>
      <c r="EW725" s="4"/>
      <c r="EX725" s="4"/>
      <c r="EY725" s="4"/>
      <c r="EZ725" s="4"/>
      <c r="FA725" s="4"/>
      <c r="FB725" s="4"/>
      <c r="FC725" s="4"/>
      <c r="FD725" s="4"/>
      <c r="FE725" s="4"/>
      <c r="FF725" s="4"/>
      <c r="FG725" s="4"/>
      <c r="FH725" s="4"/>
      <c r="FI725" s="4"/>
      <c r="FJ725" s="4"/>
      <c r="FK725" s="4"/>
      <c r="FL725" s="4"/>
      <c r="FM725" s="4"/>
      <c r="FN725" s="4"/>
      <c r="FO725" s="4"/>
      <c r="FP725" s="4"/>
      <c r="FQ725" s="4"/>
      <c r="FR725" s="4"/>
      <c r="FS725" s="4"/>
      <c r="FT725" s="4"/>
      <c r="FU725" s="4"/>
      <c r="FV725" s="4"/>
      <c r="FW725" s="4"/>
      <c r="FX725" s="4"/>
      <c r="FY725" s="4"/>
      <c r="FZ725" s="4"/>
      <c r="GA725" s="4"/>
      <c r="GB725" s="4"/>
      <c r="GC725" s="4"/>
      <c r="GD725" s="4"/>
      <c r="GE725" s="4"/>
      <c r="GF725" s="4"/>
      <c r="GG725" s="4"/>
      <c r="GH725" s="4"/>
      <c r="GI725" s="4"/>
      <c r="GJ725" s="4"/>
      <c r="GK725" s="4"/>
      <c r="GL725" s="4"/>
      <c r="GM725" s="4"/>
      <c r="GN725" s="4"/>
      <c r="GO725" s="4"/>
      <c r="GP725" s="4"/>
      <c r="GQ725" s="4"/>
      <c r="GR725" s="4"/>
      <c r="GS725" s="4"/>
      <c r="GT725" s="4"/>
      <c r="GU725" s="4"/>
      <c r="GV725" s="4"/>
      <c r="GW725" s="4"/>
      <c r="GX725" s="4"/>
      <c r="GY725" s="4"/>
      <c r="GZ725" s="4"/>
      <c r="HA725" s="4"/>
      <c r="HB725" s="4"/>
      <c r="HC725" s="4"/>
      <c r="HD725" s="4"/>
      <c r="HE725" s="4"/>
      <c r="HF725" s="4"/>
      <c r="HG725" s="4"/>
      <c r="HH725" s="4"/>
      <c r="HI725" s="4"/>
      <c r="HJ725" s="4"/>
    </row>
    <row r="726" spans="1:218" hidden="1">
      <c r="A726" t="s">
        <v>2465</v>
      </c>
      <c r="B726" t="s">
        <v>2466</v>
      </c>
      <c r="C726" t="s">
        <v>489</v>
      </c>
      <c r="D726" t="s">
        <v>490</v>
      </c>
      <c r="E726" t="s">
        <v>490</v>
      </c>
      <c r="F726" s="3">
        <v>1</v>
      </c>
      <c r="G726" s="12">
        <f t="shared" si="22"/>
        <v>3.75</v>
      </c>
      <c r="H726" s="12" t="e">
        <f t="shared" si="23"/>
        <v>#NUM!</v>
      </c>
      <c r="I726" s="3">
        <v>3.7539102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  <c r="DQ726" s="4"/>
      <c r="DR726" s="4"/>
      <c r="DS726" s="4"/>
      <c r="DT726" s="4"/>
      <c r="DU726" s="4"/>
      <c r="DV726" s="4"/>
      <c r="DW726" s="4"/>
      <c r="DX726" s="4"/>
      <c r="DY726" s="4"/>
      <c r="DZ726" s="4"/>
      <c r="EA726" s="4"/>
      <c r="EB726" s="4"/>
      <c r="EC726" s="4"/>
      <c r="ED726" s="4"/>
      <c r="EE726" s="4"/>
      <c r="EF726" s="4"/>
      <c r="EG726" s="4"/>
      <c r="EH726" s="4"/>
      <c r="EI726" s="4"/>
      <c r="EJ726" s="4"/>
      <c r="EK726" s="4"/>
      <c r="EL726" s="4"/>
      <c r="EM726" s="4"/>
      <c r="EN726" s="4"/>
      <c r="EO726" s="4"/>
      <c r="EP726" s="4"/>
      <c r="EQ726" s="4"/>
      <c r="ER726" s="4"/>
      <c r="ES726" s="4"/>
      <c r="ET726" s="4"/>
      <c r="EU726" s="4"/>
      <c r="EV726" s="4"/>
      <c r="EW726" s="4">
        <v>3.75</v>
      </c>
      <c r="EX726" s="4"/>
      <c r="EY726" s="4"/>
      <c r="EZ726" s="4"/>
      <c r="FA726" s="4"/>
      <c r="FB726" s="4"/>
      <c r="FC726" s="4"/>
      <c r="FD726" s="4"/>
      <c r="FE726" s="4"/>
      <c r="FF726" s="4"/>
      <c r="FG726" s="4"/>
      <c r="FH726" s="4"/>
      <c r="FI726" s="4"/>
      <c r="FJ726" s="4"/>
      <c r="FK726" s="4"/>
      <c r="FL726" s="4"/>
      <c r="FM726" s="4"/>
      <c r="FN726" s="4"/>
      <c r="FO726" s="4"/>
      <c r="FP726" s="4"/>
      <c r="FQ726" s="4"/>
      <c r="FR726" s="4"/>
      <c r="FS726" s="4"/>
      <c r="FT726" s="4"/>
      <c r="FU726" s="4"/>
      <c r="FV726" s="4"/>
      <c r="FW726" s="4"/>
      <c r="FX726" s="4"/>
      <c r="FY726" s="4"/>
      <c r="FZ726" s="4"/>
      <c r="GA726" s="4"/>
      <c r="GB726" s="4"/>
      <c r="GC726" s="4"/>
      <c r="GD726" s="4"/>
      <c r="GE726" s="4"/>
      <c r="GF726" s="4"/>
      <c r="GG726" s="4"/>
      <c r="GH726" s="4"/>
      <c r="GI726" s="4"/>
      <c r="GJ726" s="4"/>
      <c r="GK726" s="4"/>
      <c r="GL726" s="4"/>
      <c r="GM726" s="4"/>
      <c r="GN726" s="4"/>
      <c r="GO726" s="4"/>
      <c r="GP726" s="4"/>
      <c r="GQ726" s="4"/>
      <c r="GR726" s="4"/>
      <c r="GS726" s="4"/>
      <c r="GT726" s="4"/>
      <c r="GU726" s="4"/>
      <c r="GV726" s="4"/>
      <c r="GW726" s="4"/>
      <c r="GX726" s="4"/>
      <c r="GY726" s="4"/>
      <c r="GZ726" s="4"/>
      <c r="HA726" s="4"/>
      <c r="HB726" s="4"/>
      <c r="HC726" s="4"/>
      <c r="HD726" s="4"/>
      <c r="HE726" s="4"/>
      <c r="HF726" s="4"/>
      <c r="HG726" s="4"/>
      <c r="HH726" s="4"/>
      <c r="HI726" s="4"/>
      <c r="HJ726" s="4"/>
    </row>
    <row r="727" spans="1:218" hidden="1">
      <c r="A727" t="s">
        <v>3025</v>
      </c>
      <c r="B727" t="s">
        <v>3026</v>
      </c>
      <c r="C727" t="s">
        <v>489</v>
      </c>
      <c r="D727" t="s">
        <v>490</v>
      </c>
      <c r="E727" t="s">
        <v>490</v>
      </c>
      <c r="F727" s="3">
        <v>1</v>
      </c>
      <c r="G727" s="12">
        <f t="shared" si="22"/>
        <v>2.11</v>
      </c>
      <c r="H727" s="12" t="e">
        <f t="shared" si="23"/>
        <v>#NUM!</v>
      </c>
      <c r="I727" s="3">
        <v>2.10819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>
        <v>2.11</v>
      </c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  <c r="DQ727" s="4"/>
      <c r="DR727" s="4"/>
      <c r="DS727" s="4"/>
      <c r="DT727" s="4"/>
      <c r="DU727" s="4"/>
      <c r="DV727" s="4"/>
      <c r="DW727" s="4"/>
      <c r="DX727" s="4"/>
      <c r="DY727" s="4"/>
      <c r="DZ727" s="4"/>
      <c r="EA727" s="4"/>
      <c r="EB727" s="4"/>
      <c r="EC727" s="4"/>
      <c r="ED727" s="4"/>
      <c r="EE727" s="4"/>
      <c r="EF727" s="4"/>
      <c r="EG727" s="4"/>
      <c r="EH727" s="4"/>
      <c r="EI727" s="4"/>
      <c r="EJ727" s="4"/>
      <c r="EK727" s="4"/>
      <c r="EL727" s="4"/>
      <c r="EM727" s="4"/>
      <c r="EN727" s="4"/>
      <c r="EO727" s="4"/>
      <c r="EP727" s="4"/>
      <c r="EQ727" s="4"/>
      <c r="ER727" s="4"/>
      <c r="ES727" s="4"/>
      <c r="ET727" s="4"/>
      <c r="EU727" s="4"/>
      <c r="EV727" s="4"/>
      <c r="EW727" s="4"/>
      <c r="EX727" s="4"/>
      <c r="EY727" s="4"/>
      <c r="EZ727" s="4"/>
      <c r="FA727" s="4"/>
      <c r="FB727" s="4"/>
      <c r="FC727" s="4"/>
      <c r="FD727" s="4"/>
      <c r="FE727" s="4"/>
      <c r="FF727" s="4"/>
      <c r="FG727" s="4"/>
      <c r="FH727" s="4"/>
      <c r="FI727" s="4"/>
      <c r="FJ727" s="4"/>
      <c r="FK727" s="4"/>
      <c r="FL727" s="4"/>
      <c r="FM727" s="4"/>
      <c r="FN727" s="4"/>
      <c r="FO727" s="4"/>
      <c r="FP727" s="4"/>
      <c r="FQ727" s="4"/>
      <c r="FR727" s="4"/>
      <c r="FS727" s="4"/>
      <c r="FT727" s="4"/>
      <c r="FU727" s="4"/>
      <c r="FV727" s="4"/>
      <c r="FW727" s="4"/>
      <c r="FX727" s="4"/>
      <c r="FY727" s="4"/>
      <c r="FZ727" s="4"/>
      <c r="GA727" s="4"/>
      <c r="GB727" s="4"/>
      <c r="GC727" s="4"/>
      <c r="GD727" s="4"/>
      <c r="GE727" s="4"/>
      <c r="GF727" s="4"/>
      <c r="GG727" s="4"/>
      <c r="GH727" s="4"/>
      <c r="GI727" s="4"/>
      <c r="GJ727" s="4"/>
      <c r="GK727" s="4"/>
      <c r="GL727" s="4"/>
      <c r="GM727" s="4"/>
      <c r="GN727" s="4"/>
      <c r="GO727" s="4"/>
      <c r="GP727" s="4"/>
      <c r="GQ727" s="4"/>
      <c r="GR727" s="4"/>
      <c r="GS727" s="4"/>
      <c r="GT727" s="4"/>
      <c r="GU727" s="4"/>
      <c r="GV727" s="4"/>
      <c r="GW727" s="4"/>
      <c r="GX727" s="4"/>
      <c r="GY727" s="4"/>
      <c r="GZ727" s="4"/>
      <c r="HA727" s="4"/>
      <c r="HB727" s="4"/>
      <c r="HC727" s="4"/>
      <c r="HD727" s="4"/>
      <c r="HE727" s="4"/>
      <c r="HF727" s="4"/>
      <c r="HG727" s="4"/>
      <c r="HH727" s="4"/>
      <c r="HI727" s="4"/>
      <c r="HJ727" s="4"/>
    </row>
    <row r="728" spans="1:218" hidden="1">
      <c r="A728" t="s">
        <v>2442</v>
      </c>
      <c r="B728" t="s">
        <v>2443</v>
      </c>
      <c r="C728" t="s">
        <v>489</v>
      </c>
      <c r="D728" t="s">
        <v>490</v>
      </c>
      <c r="E728" t="s">
        <v>490</v>
      </c>
      <c r="F728" s="3">
        <v>1</v>
      </c>
      <c r="G728" s="12">
        <f t="shared" si="22"/>
        <v>3.82</v>
      </c>
      <c r="H728" s="12" t="e">
        <f t="shared" si="23"/>
        <v>#NUM!</v>
      </c>
      <c r="I728" s="3">
        <v>3.8195899999999998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  <c r="DQ728" s="4"/>
      <c r="DR728" s="4"/>
      <c r="DS728" s="4"/>
      <c r="DT728" s="4"/>
      <c r="DU728" s="4"/>
      <c r="DV728" s="4"/>
      <c r="DW728" s="4"/>
      <c r="DX728" s="4"/>
      <c r="DY728" s="4"/>
      <c r="DZ728" s="4"/>
      <c r="EA728" s="4"/>
      <c r="EB728" s="4"/>
      <c r="EC728" s="4"/>
      <c r="ED728" s="4"/>
      <c r="EE728" s="4"/>
      <c r="EF728" s="4"/>
      <c r="EG728" s="4"/>
      <c r="EH728" s="4"/>
      <c r="EI728" s="4"/>
      <c r="EJ728" s="4"/>
      <c r="EK728" s="4"/>
      <c r="EL728" s="4"/>
      <c r="EM728" s="4"/>
      <c r="EN728" s="4"/>
      <c r="EO728" s="4"/>
      <c r="EP728" s="4"/>
      <c r="EQ728" s="4"/>
      <c r="ER728" s="4"/>
      <c r="ES728" s="4"/>
      <c r="ET728" s="4"/>
      <c r="EU728" s="4"/>
      <c r="EV728" s="4"/>
      <c r="EW728" s="4"/>
      <c r="EX728" s="4"/>
      <c r="EY728" s="4"/>
      <c r="EZ728" s="4"/>
      <c r="FA728" s="4"/>
      <c r="FB728" s="4"/>
      <c r="FC728" s="4"/>
      <c r="FD728" s="4"/>
      <c r="FE728" s="4"/>
      <c r="FF728" s="4"/>
      <c r="FG728" s="4"/>
      <c r="FH728" s="4">
        <v>3.82</v>
      </c>
      <c r="FI728" s="4"/>
      <c r="FJ728" s="4"/>
      <c r="FK728" s="4"/>
      <c r="FL728" s="4"/>
      <c r="FM728" s="4"/>
      <c r="FN728" s="4"/>
      <c r="FO728" s="4"/>
      <c r="FP728" s="4"/>
      <c r="FQ728" s="4"/>
      <c r="FR728" s="4"/>
      <c r="FS728" s="4"/>
      <c r="FT728" s="4"/>
      <c r="FU728" s="4"/>
      <c r="FV728" s="4"/>
      <c r="FW728" s="4"/>
      <c r="FX728" s="4"/>
      <c r="FY728" s="4"/>
      <c r="FZ728" s="4"/>
      <c r="GA728" s="4"/>
      <c r="GB728" s="4"/>
      <c r="GC728" s="4"/>
      <c r="GD728" s="4"/>
      <c r="GE728" s="4"/>
      <c r="GF728" s="4"/>
      <c r="GG728" s="4"/>
      <c r="GH728" s="4"/>
      <c r="GI728" s="4"/>
      <c r="GJ728" s="4"/>
      <c r="GK728" s="4"/>
      <c r="GL728" s="4"/>
      <c r="GM728" s="4"/>
      <c r="GN728" s="4"/>
      <c r="GO728" s="4"/>
      <c r="GP728" s="4"/>
      <c r="GQ728" s="4"/>
      <c r="GR728" s="4"/>
      <c r="GS728" s="4"/>
      <c r="GT728" s="4"/>
      <c r="GU728" s="4"/>
      <c r="GV728" s="4"/>
      <c r="GW728" s="4"/>
      <c r="GX728" s="4"/>
      <c r="GY728" s="4"/>
      <c r="GZ728" s="4"/>
      <c r="HA728" s="4"/>
      <c r="HB728" s="4"/>
      <c r="HC728" s="4"/>
      <c r="HD728" s="4"/>
      <c r="HE728" s="4"/>
      <c r="HF728" s="4"/>
      <c r="HG728" s="4"/>
      <c r="HH728" s="4"/>
      <c r="HI728" s="4"/>
      <c r="HJ728" s="4"/>
    </row>
    <row r="729" spans="1:218" hidden="1">
      <c r="A729" t="s">
        <v>2044</v>
      </c>
      <c r="B729" t="s">
        <v>2045</v>
      </c>
      <c r="C729" t="s">
        <v>505</v>
      </c>
      <c r="D729" t="s">
        <v>2046</v>
      </c>
      <c r="E729" t="s">
        <v>2047</v>
      </c>
      <c r="F729" s="3">
        <v>1</v>
      </c>
      <c r="G729" s="12">
        <f t="shared" si="22"/>
        <v>4.63</v>
      </c>
      <c r="H729" s="12" t="e">
        <f t="shared" si="23"/>
        <v>#NUM!</v>
      </c>
      <c r="I729" s="3">
        <v>4.62845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  <c r="DQ729" s="4"/>
      <c r="DR729" s="4"/>
      <c r="DS729" s="4"/>
      <c r="DT729" s="4"/>
      <c r="DU729" s="4"/>
      <c r="DV729" s="4"/>
      <c r="DW729" s="4"/>
      <c r="DX729" s="4"/>
      <c r="DY729" s="4"/>
      <c r="DZ729" s="4"/>
      <c r="EA729" s="4"/>
      <c r="EB729" s="4"/>
      <c r="EC729" s="4"/>
      <c r="ED729" s="4"/>
      <c r="EE729" s="4"/>
      <c r="EF729" s="4"/>
      <c r="EG729" s="4"/>
      <c r="EH729" s="4"/>
      <c r="EI729" s="4"/>
      <c r="EJ729" s="4"/>
      <c r="EK729" s="4"/>
      <c r="EL729" s="4"/>
      <c r="EM729" s="4"/>
      <c r="EN729" s="4"/>
      <c r="EO729" s="4"/>
      <c r="EP729" s="4"/>
      <c r="EQ729" s="4"/>
      <c r="ER729" s="4"/>
      <c r="ES729" s="4"/>
      <c r="ET729" s="4">
        <v>4.63</v>
      </c>
      <c r="EU729" s="4"/>
      <c r="EV729" s="4"/>
      <c r="EW729" s="4"/>
      <c r="EX729" s="4"/>
      <c r="EY729" s="4"/>
      <c r="EZ729" s="4"/>
      <c r="FA729" s="4"/>
      <c r="FB729" s="4"/>
      <c r="FC729" s="4"/>
      <c r="FD729" s="4"/>
      <c r="FE729" s="4"/>
      <c r="FF729" s="4"/>
      <c r="FG729" s="4"/>
      <c r="FH729" s="4"/>
      <c r="FI729" s="4"/>
      <c r="FJ729" s="4"/>
      <c r="FK729" s="4"/>
      <c r="FL729" s="4"/>
      <c r="FM729" s="4"/>
      <c r="FN729" s="4"/>
      <c r="FO729" s="4"/>
      <c r="FP729" s="4"/>
      <c r="FQ729" s="4"/>
      <c r="FR729" s="4"/>
      <c r="FS729" s="4"/>
      <c r="FT729" s="4"/>
      <c r="FU729" s="4"/>
      <c r="FV729" s="4"/>
      <c r="FW729" s="4"/>
      <c r="FX729" s="4"/>
      <c r="FY729" s="4"/>
      <c r="FZ729" s="4"/>
      <c r="GA729" s="4"/>
      <c r="GB729" s="4"/>
      <c r="GC729" s="4"/>
      <c r="GD729" s="4"/>
      <c r="GE729" s="4"/>
      <c r="GF729" s="4"/>
      <c r="GG729" s="4"/>
      <c r="GH729" s="4"/>
      <c r="GI729" s="4"/>
      <c r="GJ729" s="4"/>
      <c r="GK729" s="4"/>
      <c r="GL729" s="4"/>
      <c r="GM729" s="4"/>
      <c r="GN729" s="4"/>
      <c r="GO729" s="4"/>
      <c r="GP729" s="4"/>
      <c r="GQ729" s="4"/>
      <c r="GR729" s="4"/>
      <c r="GS729" s="4"/>
      <c r="GT729" s="4"/>
      <c r="GU729" s="4"/>
      <c r="GV729" s="4"/>
      <c r="GW729" s="4"/>
      <c r="GX729" s="4"/>
      <c r="GY729" s="4"/>
      <c r="GZ729" s="4"/>
      <c r="HA729" s="4"/>
      <c r="HB729" s="4"/>
      <c r="HC729" s="4"/>
      <c r="HD729" s="4"/>
      <c r="HE729" s="4"/>
      <c r="HF729" s="4"/>
      <c r="HG729" s="4"/>
      <c r="HH729" s="4"/>
      <c r="HI729" s="4"/>
      <c r="HJ729" s="4"/>
    </row>
    <row r="730" spans="1:218" hidden="1">
      <c r="A730" t="s">
        <v>2850</v>
      </c>
      <c r="B730" t="s">
        <v>2851</v>
      </c>
      <c r="C730" t="s">
        <v>489</v>
      </c>
      <c r="D730" t="s">
        <v>490</v>
      </c>
      <c r="E730" t="s">
        <v>490</v>
      </c>
      <c r="F730" s="3">
        <v>1</v>
      </c>
      <c r="G730" s="12">
        <f t="shared" si="22"/>
        <v>2.65</v>
      </c>
      <c r="H730" s="12" t="e">
        <f t="shared" si="23"/>
        <v>#NUM!</v>
      </c>
      <c r="I730" s="3">
        <v>2.6518999999999999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>
        <v>2.65</v>
      </c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  <c r="DQ730" s="4"/>
      <c r="DR730" s="4"/>
      <c r="DS730" s="4"/>
      <c r="DT730" s="4"/>
      <c r="DU730" s="4"/>
      <c r="DV730" s="4"/>
      <c r="DW730" s="4"/>
      <c r="DX730" s="4"/>
      <c r="DY730" s="4"/>
      <c r="DZ730" s="4"/>
      <c r="EA730" s="4"/>
      <c r="EB730" s="4"/>
      <c r="EC730" s="4"/>
      <c r="ED730" s="4"/>
      <c r="EE730" s="4"/>
      <c r="EF730" s="4"/>
      <c r="EG730" s="4"/>
      <c r="EH730" s="4"/>
      <c r="EI730" s="4"/>
      <c r="EJ730" s="4"/>
      <c r="EK730" s="4"/>
      <c r="EL730" s="4"/>
      <c r="EM730" s="4"/>
      <c r="EN730" s="4"/>
      <c r="EO730" s="4"/>
      <c r="EP730" s="4"/>
      <c r="EQ730" s="4"/>
      <c r="ER730" s="4"/>
      <c r="ES730" s="4"/>
      <c r="ET730" s="4"/>
      <c r="EU730" s="4"/>
      <c r="EV730" s="4"/>
      <c r="EW730" s="4"/>
      <c r="EX730" s="4"/>
      <c r="EY730" s="4"/>
      <c r="EZ730" s="4"/>
      <c r="FA730" s="4"/>
      <c r="FB730" s="4"/>
      <c r="FC730" s="4"/>
      <c r="FD730" s="4"/>
      <c r="FE730" s="4"/>
      <c r="FF730" s="4"/>
      <c r="FG730" s="4"/>
      <c r="FH730" s="4"/>
      <c r="FI730" s="4"/>
      <c r="FJ730" s="4"/>
      <c r="FK730" s="4"/>
      <c r="FL730" s="4"/>
      <c r="FM730" s="4"/>
      <c r="FN730" s="4"/>
      <c r="FO730" s="4"/>
      <c r="FP730" s="4"/>
      <c r="FQ730" s="4"/>
      <c r="FR730" s="4"/>
      <c r="FS730" s="4"/>
      <c r="FT730" s="4"/>
      <c r="FU730" s="4"/>
      <c r="FV730" s="4"/>
      <c r="FW730" s="4"/>
      <c r="FX730" s="4"/>
      <c r="FY730" s="4"/>
      <c r="FZ730" s="4"/>
      <c r="GA730" s="4"/>
      <c r="GB730" s="4"/>
      <c r="GC730" s="4"/>
      <c r="GD730" s="4"/>
      <c r="GE730" s="4"/>
      <c r="GF730" s="4"/>
      <c r="GG730" s="4"/>
      <c r="GH730" s="4"/>
      <c r="GI730" s="4"/>
      <c r="GJ730" s="4"/>
      <c r="GK730" s="4"/>
      <c r="GL730" s="4"/>
      <c r="GM730" s="4"/>
      <c r="GN730" s="4"/>
      <c r="GO730" s="4"/>
      <c r="GP730" s="4"/>
      <c r="GQ730" s="4"/>
      <c r="GR730" s="4"/>
      <c r="GS730" s="4"/>
      <c r="GT730" s="4"/>
      <c r="GU730" s="4"/>
      <c r="GV730" s="4"/>
      <c r="GW730" s="4"/>
      <c r="GX730" s="4"/>
      <c r="GY730" s="4"/>
      <c r="GZ730" s="4"/>
      <c r="HA730" s="4"/>
      <c r="HB730" s="4"/>
      <c r="HC730" s="4"/>
      <c r="HD730" s="4"/>
      <c r="HE730" s="4"/>
      <c r="HF730" s="4"/>
      <c r="HG730" s="4"/>
      <c r="HH730" s="4"/>
      <c r="HI730" s="4"/>
      <c r="HJ730" s="4"/>
    </row>
    <row r="731" spans="1:218" hidden="1">
      <c r="A731" t="s">
        <v>2671</v>
      </c>
      <c r="B731" t="s">
        <v>2672</v>
      </c>
      <c r="C731" t="s">
        <v>489</v>
      </c>
      <c r="D731" t="s">
        <v>490</v>
      </c>
      <c r="E731" t="s">
        <v>490</v>
      </c>
      <c r="F731" s="3">
        <v>1</v>
      </c>
      <c r="G731" s="12">
        <f t="shared" si="22"/>
        <v>3.16</v>
      </c>
      <c r="H731" s="12" t="e">
        <f t="shared" si="23"/>
        <v>#NUM!</v>
      </c>
      <c r="I731" s="3">
        <v>3.1638898000000002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>
        <v>3.16</v>
      </c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  <c r="DQ731" s="4"/>
      <c r="DR731" s="4"/>
      <c r="DS731" s="4"/>
      <c r="DT731" s="4"/>
      <c r="DU731" s="4"/>
      <c r="DV731" s="4"/>
      <c r="DW731" s="4"/>
      <c r="DX731" s="4"/>
      <c r="DY731" s="4"/>
      <c r="DZ731" s="4"/>
      <c r="EA731" s="4"/>
      <c r="EB731" s="4"/>
      <c r="EC731" s="4"/>
      <c r="ED731" s="4"/>
      <c r="EE731" s="4"/>
      <c r="EF731" s="4"/>
      <c r="EG731" s="4"/>
      <c r="EH731" s="4"/>
      <c r="EI731" s="4"/>
      <c r="EJ731" s="4"/>
      <c r="EK731" s="4"/>
      <c r="EL731" s="4"/>
      <c r="EM731" s="4"/>
      <c r="EN731" s="4"/>
      <c r="EO731" s="4"/>
      <c r="EP731" s="4"/>
      <c r="EQ731" s="4"/>
      <c r="ER731" s="4"/>
      <c r="ES731" s="4"/>
      <c r="ET731" s="4"/>
      <c r="EU731" s="4"/>
      <c r="EV731" s="4"/>
      <c r="EW731" s="4"/>
      <c r="EX731" s="4"/>
      <c r="EY731" s="4"/>
      <c r="EZ731" s="4"/>
      <c r="FA731" s="4"/>
      <c r="FB731" s="4"/>
      <c r="FC731" s="4"/>
      <c r="FD731" s="4"/>
      <c r="FE731" s="4"/>
      <c r="FF731" s="4"/>
      <c r="FG731" s="4"/>
      <c r="FH731" s="4"/>
      <c r="FI731" s="4"/>
      <c r="FJ731" s="4"/>
      <c r="FK731" s="4"/>
      <c r="FL731" s="4"/>
      <c r="FM731" s="4"/>
      <c r="FN731" s="4"/>
      <c r="FO731" s="4"/>
      <c r="FP731" s="4"/>
      <c r="FQ731" s="4"/>
      <c r="FR731" s="4"/>
      <c r="FS731" s="4"/>
      <c r="FT731" s="4"/>
      <c r="FU731" s="4"/>
      <c r="FV731" s="4"/>
      <c r="FW731" s="4"/>
      <c r="FX731" s="4"/>
      <c r="FY731" s="4"/>
      <c r="FZ731" s="4"/>
      <c r="GA731" s="4"/>
      <c r="GB731" s="4"/>
      <c r="GC731" s="4"/>
      <c r="GD731" s="4"/>
      <c r="GE731" s="4"/>
      <c r="GF731" s="4"/>
      <c r="GG731" s="4"/>
      <c r="GH731" s="4"/>
      <c r="GI731" s="4"/>
      <c r="GJ731" s="4"/>
      <c r="GK731" s="4"/>
      <c r="GL731" s="4"/>
      <c r="GM731" s="4"/>
      <c r="GN731" s="4"/>
      <c r="GO731" s="4"/>
      <c r="GP731" s="4"/>
      <c r="GQ731" s="4"/>
      <c r="GR731" s="4"/>
      <c r="GS731" s="4"/>
      <c r="GT731" s="4"/>
      <c r="GU731" s="4"/>
      <c r="GV731" s="4"/>
      <c r="GW731" s="4"/>
      <c r="GX731" s="4"/>
      <c r="GY731" s="4"/>
      <c r="GZ731" s="4"/>
      <c r="HA731" s="4"/>
      <c r="HB731" s="4"/>
      <c r="HC731" s="4"/>
      <c r="HD731" s="4"/>
      <c r="HE731" s="4"/>
      <c r="HF731" s="4"/>
      <c r="HG731" s="4"/>
      <c r="HH731" s="4"/>
      <c r="HI731" s="4"/>
      <c r="HJ731" s="4"/>
    </row>
    <row r="732" spans="1:218" hidden="1">
      <c r="A732" t="s">
        <v>2282</v>
      </c>
      <c r="B732" t="s">
        <v>2283</v>
      </c>
      <c r="C732" t="s">
        <v>489</v>
      </c>
      <c r="D732" t="s">
        <v>490</v>
      </c>
      <c r="E732" t="s">
        <v>490</v>
      </c>
      <c r="F732" s="3">
        <v>1</v>
      </c>
      <c r="G732" s="12">
        <f t="shared" si="22"/>
        <v>4.18</v>
      </c>
      <c r="H732" s="12" t="e">
        <f t="shared" si="23"/>
        <v>#NUM!</v>
      </c>
      <c r="I732" s="3">
        <v>4.1773100000000003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>
        <v>4.18</v>
      </c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  <c r="DQ732" s="4"/>
      <c r="DR732" s="4"/>
      <c r="DS732" s="4"/>
      <c r="DT732" s="4"/>
      <c r="DU732" s="4"/>
      <c r="DV732" s="4"/>
      <c r="DW732" s="4"/>
      <c r="DX732" s="4"/>
      <c r="DY732" s="4"/>
      <c r="DZ732" s="4"/>
      <c r="EA732" s="4"/>
      <c r="EB732" s="4"/>
      <c r="EC732" s="4"/>
      <c r="ED732" s="4"/>
      <c r="EE732" s="4"/>
      <c r="EF732" s="4"/>
      <c r="EG732" s="4"/>
      <c r="EH732" s="4"/>
      <c r="EI732" s="4"/>
      <c r="EJ732" s="4"/>
      <c r="EK732" s="4"/>
      <c r="EL732" s="4"/>
      <c r="EM732" s="4"/>
      <c r="EN732" s="4"/>
      <c r="EO732" s="4"/>
      <c r="EP732" s="4"/>
      <c r="EQ732" s="4"/>
      <c r="ER732" s="4"/>
      <c r="ES732" s="4"/>
      <c r="ET732" s="4"/>
      <c r="EU732" s="4"/>
      <c r="EV732" s="4"/>
      <c r="EW732" s="4"/>
      <c r="EX732" s="4"/>
      <c r="EY732" s="4"/>
      <c r="EZ732" s="4"/>
      <c r="FA732" s="4"/>
      <c r="FB732" s="4"/>
      <c r="FC732" s="4"/>
      <c r="FD732" s="4"/>
      <c r="FE732" s="4"/>
      <c r="FF732" s="4"/>
      <c r="FG732" s="4"/>
      <c r="FH732" s="4"/>
      <c r="FI732" s="4"/>
      <c r="FJ732" s="4"/>
      <c r="FK732" s="4"/>
      <c r="FL732" s="4"/>
      <c r="FM732" s="4"/>
      <c r="FN732" s="4"/>
      <c r="FO732" s="4"/>
      <c r="FP732" s="4"/>
      <c r="FQ732" s="4"/>
      <c r="FR732" s="4"/>
      <c r="FS732" s="4"/>
      <c r="FT732" s="4"/>
      <c r="FU732" s="4"/>
      <c r="FV732" s="4"/>
      <c r="FW732" s="4"/>
      <c r="FX732" s="4"/>
      <c r="FY732" s="4"/>
      <c r="FZ732" s="4"/>
      <c r="GA732" s="4"/>
      <c r="GB732" s="4"/>
      <c r="GC732" s="4"/>
      <c r="GD732" s="4"/>
      <c r="GE732" s="4"/>
      <c r="GF732" s="4"/>
      <c r="GG732" s="4"/>
      <c r="GH732" s="4"/>
      <c r="GI732" s="4"/>
      <c r="GJ732" s="4"/>
      <c r="GK732" s="4"/>
      <c r="GL732" s="4"/>
      <c r="GM732" s="4"/>
      <c r="GN732" s="4"/>
      <c r="GO732" s="4"/>
      <c r="GP732" s="4"/>
      <c r="GQ732" s="4"/>
      <c r="GR732" s="4"/>
      <c r="GS732" s="4"/>
      <c r="GT732" s="4"/>
      <c r="GU732" s="4"/>
      <c r="GV732" s="4"/>
      <c r="GW732" s="4"/>
      <c r="GX732" s="4"/>
      <c r="GY732" s="4"/>
      <c r="GZ732" s="4"/>
      <c r="HA732" s="4"/>
      <c r="HB732" s="4"/>
      <c r="HC732" s="4"/>
      <c r="HD732" s="4"/>
      <c r="HE732" s="4"/>
      <c r="HF732" s="4"/>
      <c r="HG732" s="4"/>
      <c r="HH732" s="4"/>
      <c r="HI732" s="4"/>
      <c r="HJ732" s="4"/>
    </row>
    <row r="733" spans="1:218" hidden="1">
      <c r="A733" t="s">
        <v>2284</v>
      </c>
      <c r="B733" t="s">
        <v>2285</v>
      </c>
      <c r="C733" t="s">
        <v>489</v>
      </c>
      <c r="D733" t="s">
        <v>490</v>
      </c>
      <c r="E733" t="s">
        <v>490</v>
      </c>
      <c r="F733" s="3">
        <v>1</v>
      </c>
      <c r="G733" s="12">
        <f t="shared" si="22"/>
        <v>4.17</v>
      </c>
      <c r="H733" s="12" t="e">
        <f t="shared" si="23"/>
        <v>#NUM!</v>
      </c>
      <c r="I733" s="3">
        <v>4.17387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  <c r="DQ733" s="4"/>
      <c r="DR733" s="4"/>
      <c r="DS733" s="4"/>
      <c r="DT733" s="4"/>
      <c r="DU733" s="4"/>
      <c r="DV733" s="4"/>
      <c r="DW733" s="4"/>
      <c r="DX733" s="4"/>
      <c r="DY733" s="4"/>
      <c r="DZ733" s="4"/>
      <c r="EA733" s="4"/>
      <c r="EB733" s="4"/>
      <c r="EC733" s="4">
        <v>4.17</v>
      </c>
      <c r="ED733" s="4"/>
      <c r="EE733" s="4"/>
      <c r="EF733" s="4"/>
      <c r="EG733" s="4"/>
      <c r="EH733" s="4"/>
      <c r="EI733" s="4"/>
      <c r="EJ733" s="4"/>
      <c r="EK733" s="4"/>
      <c r="EL733" s="4"/>
      <c r="EM733" s="4"/>
      <c r="EN733" s="4"/>
      <c r="EO733" s="4"/>
      <c r="EP733" s="4"/>
      <c r="EQ733" s="4"/>
      <c r="ER733" s="4"/>
      <c r="ES733" s="4"/>
      <c r="ET733" s="4"/>
      <c r="EU733" s="4"/>
      <c r="EV733" s="4"/>
      <c r="EW733" s="4"/>
      <c r="EX733" s="4"/>
      <c r="EY733" s="4"/>
      <c r="EZ733" s="4"/>
      <c r="FA733" s="4"/>
      <c r="FB733" s="4"/>
      <c r="FC733" s="4"/>
      <c r="FD733" s="4"/>
      <c r="FE733" s="4"/>
      <c r="FF733" s="4"/>
      <c r="FG733" s="4"/>
      <c r="FH733" s="4"/>
      <c r="FI733" s="4"/>
      <c r="FJ733" s="4"/>
      <c r="FK733" s="4"/>
      <c r="FL733" s="4"/>
      <c r="FM733" s="4"/>
      <c r="FN733" s="4"/>
      <c r="FO733" s="4"/>
      <c r="FP733" s="4"/>
      <c r="FQ733" s="4"/>
      <c r="FR733" s="4"/>
      <c r="FS733" s="4"/>
      <c r="FT733" s="4"/>
      <c r="FU733" s="4"/>
      <c r="FV733" s="4"/>
      <c r="FW733" s="4"/>
      <c r="FX733" s="4"/>
      <c r="FY733" s="4"/>
      <c r="FZ733" s="4"/>
      <c r="GA733" s="4"/>
      <c r="GB733" s="4"/>
      <c r="GC733" s="4"/>
      <c r="GD733" s="4"/>
      <c r="GE733" s="4"/>
      <c r="GF733" s="4"/>
      <c r="GG733" s="4"/>
      <c r="GH733" s="4"/>
      <c r="GI733" s="4"/>
      <c r="GJ733" s="4"/>
      <c r="GK733" s="4"/>
      <c r="GL733" s="4"/>
      <c r="GM733" s="4"/>
      <c r="GN733" s="4"/>
      <c r="GO733" s="4"/>
      <c r="GP733" s="4"/>
      <c r="GQ733" s="4"/>
      <c r="GR733" s="4"/>
      <c r="GS733" s="4"/>
      <c r="GT733" s="4"/>
      <c r="GU733" s="4"/>
      <c r="GV733" s="4"/>
      <c r="GW733" s="4"/>
      <c r="GX733" s="4"/>
      <c r="GY733" s="4"/>
      <c r="GZ733" s="4"/>
      <c r="HA733" s="4"/>
      <c r="HB733" s="4"/>
      <c r="HC733" s="4"/>
      <c r="HD733" s="4"/>
      <c r="HE733" s="4"/>
      <c r="HF733" s="4"/>
      <c r="HG733" s="4"/>
      <c r="HH733" s="4"/>
      <c r="HI733" s="4"/>
      <c r="HJ733" s="4"/>
    </row>
    <row r="734" spans="1:218" hidden="1">
      <c r="A734" t="s">
        <v>2015</v>
      </c>
      <c r="B734" t="s">
        <v>2016</v>
      </c>
      <c r="C734" t="s">
        <v>489</v>
      </c>
      <c r="D734" t="s">
        <v>490</v>
      </c>
      <c r="E734" t="s">
        <v>490</v>
      </c>
      <c r="F734" s="3">
        <v>1</v>
      </c>
      <c r="G734" s="12">
        <f t="shared" si="22"/>
        <v>4.75</v>
      </c>
      <c r="H734" s="12" t="e">
        <f t="shared" si="23"/>
        <v>#NUM!</v>
      </c>
      <c r="I734" s="3">
        <v>4.74594</v>
      </c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>
        <v>4.75</v>
      </c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  <c r="DQ734" s="4"/>
      <c r="DR734" s="4"/>
      <c r="DS734" s="4"/>
      <c r="DT734" s="4"/>
      <c r="DU734" s="4"/>
      <c r="DV734" s="4"/>
      <c r="DW734" s="4"/>
      <c r="DX734" s="4"/>
      <c r="DY734" s="4"/>
      <c r="DZ734" s="4"/>
      <c r="EA734" s="4"/>
      <c r="EB734" s="4"/>
      <c r="EC734" s="4"/>
      <c r="ED734" s="4"/>
      <c r="EE734" s="4"/>
      <c r="EF734" s="4"/>
      <c r="EG734" s="4"/>
      <c r="EH734" s="4"/>
      <c r="EI734" s="4"/>
      <c r="EJ734" s="4"/>
      <c r="EK734" s="4"/>
      <c r="EL734" s="4"/>
      <c r="EM734" s="4"/>
      <c r="EN734" s="4"/>
      <c r="EO734" s="4"/>
      <c r="EP734" s="4"/>
      <c r="EQ734" s="4"/>
      <c r="ER734" s="4"/>
      <c r="ES734" s="4"/>
      <c r="ET734" s="4"/>
      <c r="EU734" s="4"/>
      <c r="EV734" s="4"/>
      <c r="EW734" s="4"/>
      <c r="EX734" s="4"/>
      <c r="EY734" s="4"/>
      <c r="EZ734" s="4"/>
      <c r="FA734" s="4"/>
      <c r="FB734" s="4"/>
      <c r="FC734" s="4"/>
      <c r="FD734" s="4"/>
      <c r="FE734" s="4"/>
      <c r="FF734" s="4"/>
      <c r="FG734" s="4"/>
      <c r="FH734" s="4"/>
      <c r="FI734" s="4"/>
      <c r="FJ734" s="4"/>
      <c r="FK734" s="4"/>
      <c r="FL734" s="4"/>
      <c r="FM734" s="4"/>
      <c r="FN734" s="4"/>
      <c r="FO734" s="4"/>
      <c r="FP734" s="4"/>
      <c r="FQ734" s="4"/>
      <c r="FR734" s="4"/>
      <c r="FS734" s="4"/>
      <c r="FT734" s="4"/>
      <c r="FU734" s="4"/>
      <c r="FV734" s="4"/>
      <c r="FW734" s="4"/>
      <c r="FX734" s="4"/>
      <c r="FY734" s="4"/>
      <c r="FZ734" s="4"/>
      <c r="GA734" s="4"/>
      <c r="GB734" s="4"/>
      <c r="GC734" s="4"/>
      <c r="GD734" s="4"/>
      <c r="GE734" s="4"/>
      <c r="GF734" s="4"/>
      <c r="GG734" s="4"/>
      <c r="GH734" s="4"/>
      <c r="GI734" s="4"/>
      <c r="GJ734" s="4"/>
      <c r="GK734" s="4"/>
      <c r="GL734" s="4"/>
      <c r="GM734" s="4"/>
      <c r="GN734" s="4"/>
      <c r="GO734" s="4"/>
      <c r="GP734" s="4"/>
      <c r="GQ734" s="4"/>
      <c r="GR734" s="4"/>
      <c r="GS734" s="4"/>
      <c r="GT734" s="4"/>
      <c r="GU734" s="4"/>
      <c r="GV734" s="4"/>
      <c r="GW734" s="4"/>
      <c r="GX734" s="4"/>
      <c r="GY734" s="4"/>
      <c r="GZ734" s="4"/>
      <c r="HA734" s="4"/>
      <c r="HB734" s="4"/>
      <c r="HC734" s="4"/>
      <c r="HD734" s="4"/>
      <c r="HE734" s="4"/>
      <c r="HF734" s="4"/>
      <c r="HG734" s="4"/>
      <c r="HH734" s="4"/>
      <c r="HI734" s="4"/>
      <c r="HJ734" s="4"/>
    </row>
    <row r="735" spans="1:218" hidden="1">
      <c r="A735" t="s">
        <v>2879</v>
      </c>
      <c r="B735" t="s">
        <v>2880</v>
      </c>
      <c r="C735" t="s">
        <v>585</v>
      </c>
      <c r="D735" t="s">
        <v>2881</v>
      </c>
      <c r="E735" t="s">
        <v>2882</v>
      </c>
      <c r="F735" s="3">
        <v>1</v>
      </c>
      <c r="G735" s="12">
        <f t="shared" si="22"/>
        <v>2.4900000000000002</v>
      </c>
      <c r="H735" s="12" t="e">
        <f t="shared" si="23"/>
        <v>#NUM!</v>
      </c>
      <c r="I735" s="3">
        <v>2.4863</v>
      </c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>
        <v>2.4900000000000002</v>
      </c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  <c r="DQ735" s="4"/>
      <c r="DR735" s="4"/>
      <c r="DS735" s="4"/>
      <c r="DT735" s="4"/>
      <c r="DU735" s="4"/>
      <c r="DV735" s="4"/>
      <c r="DW735" s="4"/>
      <c r="DX735" s="4"/>
      <c r="DY735" s="4"/>
      <c r="DZ735" s="4"/>
      <c r="EA735" s="4"/>
      <c r="EB735" s="4"/>
      <c r="EC735" s="4"/>
      <c r="ED735" s="4"/>
      <c r="EE735" s="4"/>
      <c r="EF735" s="4"/>
      <c r="EG735" s="4"/>
      <c r="EH735" s="4"/>
      <c r="EI735" s="4"/>
      <c r="EJ735" s="4"/>
      <c r="EK735" s="4"/>
      <c r="EL735" s="4"/>
      <c r="EM735" s="4"/>
      <c r="EN735" s="4"/>
      <c r="EO735" s="4"/>
      <c r="EP735" s="4"/>
      <c r="EQ735" s="4"/>
      <c r="ER735" s="4"/>
      <c r="ES735" s="4"/>
      <c r="ET735" s="4"/>
      <c r="EU735" s="4"/>
      <c r="EV735" s="4"/>
      <c r="EW735" s="4"/>
      <c r="EX735" s="4"/>
      <c r="EY735" s="4"/>
      <c r="EZ735" s="4"/>
      <c r="FA735" s="4"/>
      <c r="FB735" s="4"/>
      <c r="FC735" s="4"/>
      <c r="FD735" s="4"/>
      <c r="FE735" s="4"/>
      <c r="FF735" s="4"/>
      <c r="FG735" s="4"/>
      <c r="FH735" s="4"/>
      <c r="FI735" s="4"/>
      <c r="FJ735" s="4"/>
      <c r="FK735" s="4"/>
      <c r="FL735" s="4"/>
      <c r="FM735" s="4"/>
      <c r="FN735" s="4"/>
      <c r="FO735" s="4"/>
      <c r="FP735" s="4"/>
      <c r="FQ735" s="4"/>
      <c r="FR735" s="4"/>
      <c r="FS735" s="4"/>
      <c r="FT735" s="4"/>
      <c r="FU735" s="4"/>
      <c r="FV735" s="4"/>
      <c r="FW735" s="4"/>
      <c r="FX735" s="4"/>
      <c r="FY735" s="4"/>
      <c r="FZ735" s="4"/>
      <c r="GA735" s="4"/>
      <c r="GB735" s="4"/>
      <c r="GC735" s="4"/>
      <c r="GD735" s="4"/>
      <c r="GE735" s="4"/>
      <c r="GF735" s="4"/>
      <c r="GG735" s="4"/>
      <c r="GH735" s="4"/>
      <c r="GI735" s="4"/>
      <c r="GJ735" s="4"/>
      <c r="GK735" s="4"/>
      <c r="GL735" s="4"/>
      <c r="GM735" s="4"/>
      <c r="GN735" s="4"/>
      <c r="GO735" s="4"/>
      <c r="GP735" s="4"/>
      <c r="GQ735" s="4"/>
      <c r="GR735" s="4"/>
      <c r="GS735" s="4"/>
      <c r="GT735" s="4"/>
      <c r="GU735" s="4"/>
      <c r="GV735" s="4"/>
      <c r="GW735" s="4"/>
      <c r="GX735" s="4"/>
      <c r="GY735" s="4"/>
      <c r="GZ735" s="4"/>
      <c r="HA735" s="4"/>
      <c r="HB735" s="4"/>
      <c r="HC735" s="4"/>
      <c r="HD735" s="4"/>
      <c r="HE735" s="4"/>
      <c r="HF735" s="4"/>
      <c r="HG735" s="4"/>
      <c r="HH735" s="4"/>
      <c r="HI735" s="4"/>
      <c r="HJ735" s="4"/>
    </row>
    <row r="736" spans="1:218" hidden="1">
      <c r="A736" t="s">
        <v>2348</v>
      </c>
      <c r="B736" t="s">
        <v>2349</v>
      </c>
      <c r="C736" t="s">
        <v>489</v>
      </c>
      <c r="D736" t="s">
        <v>490</v>
      </c>
      <c r="E736" t="s">
        <v>490</v>
      </c>
      <c r="F736" s="3">
        <v>1</v>
      </c>
      <c r="G736" s="12">
        <f t="shared" si="22"/>
        <v>4.05</v>
      </c>
      <c r="H736" s="12" t="e">
        <f t="shared" si="23"/>
        <v>#NUM!</v>
      </c>
      <c r="I736" s="3">
        <v>4.0454503000000006</v>
      </c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>
        <v>4.05</v>
      </c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  <c r="DQ736" s="4"/>
      <c r="DR736" s="4"/>
      <c r="DS736" s="4"/>
      <c r="DT736" s="4"/>
      <c r="DU736" s="4"/>
      <c r="DV736" s="4"/>
      <c r="DW736" s="4"/>
      <c r="DX736" s="4"/>
      <c r="DY736" s="4"/>
      <c r="DZ736" s="4"/>
      <c r="EA736" s="4"/>
      <c r="EB736" s="4"/>
      <c r="EC736" s="4"/>
      <c r="ED736" s="4"/>
      <c r="EE736" s="4"/>
      <c r="EF736" s="4"/>
      <c r="EG736" s="4"/>
      <c r="EH736" s="4"/>
      <c r="EI736" s="4"/>
      <c r="EJ736" s="4"/>
      <c r="EK736" s="4"/>
      <c r="EL736" s="4"/>
      <c r="EM736" s="4"/>
      <c r="EN736" s="4"/>
      <c r="EO736" s="4"/>
      <c r="EP736" s="4"/>
      <c r="EQ736" s="4"/>
      <c r="ER736" s="4"/>
      <c r="ES736" s="4"/>
      <c r="ET736" s="4"/>
      <c r="EU736" s="4"/>
      <c r="EV736" s="4"/>
      <c r="EW736" s="4"/>
      <c r="EX736" s="4"/>
      <c r="EY736" s="4"/>
      <c r="EZ736" s="4"/>
      <c r="FA736" s="4"/>
      <c r="FB736" s="4"/>
      <c r="FC736" s="4"/>
      <c r="FD736" s="4"/>
      <c r="FE736" s="4"/>
      <c r="FF736" s="4"/>
      <c r="FG736" s="4"/>
      <c r="FH736" s="4"/>
      <c r="FI736" s="4"/>
      <c r="FJ736" s="4"/>
      <c r="FK736" s="4"/>
      <c r="FL736" s="4"/>
      <c r="FM736" s="4"/>
      <c r="FN736" s="4"/>
      <c r="FO736" s="4"/>
      <c r="FP736" s="4"/>
      <c r="FQ736" s="4"/>
      <c r="FR736" s="4"/>
      <c r="FS736" s="4"/>
      <c r="FT736" s="4"/>
      <c r="FU736" s="4"/>
      <c r="FV736" s="4"/>
      <c r="FW736" s="4"/>
      <c r="FX736" s="4"/>
      <c r="FY736" s="4"/>
      <c r="FZ736" s="4"/>
      <c r="GA736" s="4"/>
      <c r="GB736" s="4"/>
      <c r="GC736" s="4"/>
      <c r="GD736" s="4"/>
      <c r="GE736" s="4"/>
      <c r="GF736" s="4"/>
      <c r="GG736" s="4"/>
      <c r="GH736" s="4"/>
      <c r="GI736" s="4"/>
      <c r="GJ736" s="4"/>
      <c r="GK736" s="4"/>
      <c r="GL736" s="4"/>
      <c r="GM736" s="4"/>
      <c r="GN736" s="4"/>
      <c r="GO736" s="4"/>
      <c r="GP736" s="4"/>
      <c r="GQ736" s="4"/>
      <c r="GR736" s="4"/>
      <c r="GS736" s="4"/>
      <c r="GT736" s="4"/>
      <c r="GU736" s="4"/>
      <c r="GV736" s="4"/>
      <c r="GW736" s="4"/>
      <c r="GX736" s="4"/>
      <c r="GY736" s="4"/>
      <c r="GZ736" s="4"/>
      <c r="HA736" s="4"/>
      <c r="HB736" s="4"/>
      <c r="HC736" s="4"/>
      <c r="HD736" s="4"/>
      <c r="HE736" s="4"/>
      <c r="HF736" s="4"/>
      <c r="HG736" s="4"/>
      <c r="HH736" s="4"/>
      <c r="HI736" s="4"/>
      <c r="HJ736" s="4"/>
    </row>
    <row r="737" spans="1:218" hidden="1">
      <c r="A737" t="s">
        <v>2331</v>
      </c>
      <c r="B737" t="s">
        <v>2332</v>
      </c>
      <c r="C737" t="s">
        <v>489</v>
      </c>
      <c r="D737" t="s">
        <v>490</v>
      </c>
      <c r="E737" t="s">
        <v>490</v>
      </c>
      <c r="F737" s="3">
        <v>1</v>
      </c>
      <c r="G737" s="12">
        <f t="shared" si="22"/>
        <v>4.09</v>
      </c>
      <c r="H737" s="12" t="e">
        <f t="shared" si="23"/>
        <v>#NUM!</v>
      </c>
      <c r="I737" s="3">
        <v>4.0867500000000003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  <c r="DQ737" s="4"/>
      <c r="DR737" s="4"/>
      <c r="DS737" s="4"/>
      <c r="DT737" s="4"/>
      <c r="DU737" s="4"/>
      <c r="DV737" s="4"/>
      <c r="DW737" s="4"/>
      <c r="DX737" s="4"/>
      <c r="DY737" s="4"/>
      <c r="DZ737" s="4"/>
      <c r="EA737" s="4"/>
      <c r="EB737" s="4"/>
      <c r="EC737" s="4"/>
      <c r="ED737" s="4"/>
      <c r="EE737" s="4"/>
      <c r="EF737" s="4"/>
      <c r="EG737" s="4">
        <v>4.09</v>
      </c>
      <c r="EH737" s="4"/>
      <c r="EI737" s="4"/>
      <c r="EJ737" s="4"/>
      <c r="EK737" s="4"/>
      <c r="EL737" s="4"/>
      <c r="EM737" s="4"/>
      <c r="EN737" s="4"/>
      <c r="EO737" s="4"/>
      <c r="EP737" s="4"/>
      <c r="EQ737" s="4"/>
      <c r="ER737" s="4"/>
      <c r="ES737" s="4"/>
      <c r="ET737" s="4"/>
      <c r="EU737" s="4"/>
      <c r="EV737" s="4"/>
      <c r="EW737" s="4"/>
      <c r="EX737" s="4"/>
      <c r="EY737" s="4"/>
      <c r="EZ737" s="4"/>
      <c r="FA737" s="4"/>
      <c r="FB737" s="4"/>
      <c r="FC737" s="4"/>
      <c r="FD737" s="4"/>
      <c r="FE737" s="4"/>
      <c r="FF737" s="4"/>
      <c r="FG737" s="4"/>
      <c r="FH737" s="4"/>
      <c r="FI737" s="4"/>
      <c r="FJ737" s="4"/>
      <c r="FK737" s="4"/>
      <c r="FL737" s="4"/>
      <c r="FM737" s="4"/>
      <c r="FN737" s="4"/>
      <c r="FO737" s="4"/>
      <c r="FP737" s="4"/>
      <c r="FQ737" s="4"/>
      <c r="FR737" s="4"/>
      <c r="FS737" s="4"/>
      <c r="FT737" s="4"/>
      <c r="FU737" s="4"/>
      <c r="FV737" s="4"/>
      <c r="FW737" s="4"/>
      <c r="FX737" s="4"/>
      <c r="FY737" s="4"/>
      <c r="FZ737" s="4"/>
      <c r="GA737" s="4"/>
      <c r="GB737" s="4"/>
      <c r="GC737" s="4"/>
      <c r="GD737" s="4"/>
      <c r="GE737" s="4"/>
      <c r="GF737" s="4"/>
      <c r="GG737" s="4"/>
      <c r="GH737" s="4"/>
      <c r="GI737" s="4"/>
      <c r="GJ737" s="4"/>
      <c r="GK737" s="4"/>
      <c r="GL737" s="4"/>
      <c r="GM737" s="4"/>
      <c r="GN737" s="4"/>
      <c r="GO737" s="4"/>
      <c r="GP737" s="4"/>
      <c r="GQ737" s="4"/>
      <c r="GR737" s="4"/>
      <c r="GS737" s="4"/>
      <c r="GT737" s="4"/>
      <c r="GU737" s="4"/>
      <c r="GV737" s="4"/>
      <c r="GW737" s="4"/>
      <c r="GX737" s="4"/>
      <c r="GY737" s="4"/>
      <c r="GZ737" s="4"/>
      <c r="HA737" s="4"/>
      <c r="HB737" s="4"/>
      <c r="HC737" s="4"/>
      <c r="HD737" s="4"/>
      <c r="HE737" s="4"/>
      <c r="HF737" s="4"/>
      <c r="HG737" s="4"/>
      <c r="HH737" s="4"/>
      <c r="HI737" s="4"/>
      <c r="HJ737" s="4"/>
    </row>
    <row r="738" spans="1:218" hidden="1">
      <c r="A738" t="s">
        <v>1992</v>
      </c>
      <c r="B738" t="s">
        <v>1993</v>
      </c>
      <c r="C738" t="s">
        <v>845</v>
      </c>
      <c r="D738" t="s">
        <v>1994</v>
      </c>
      <c r="E738" t="s">
        <v>1995</v>
      </c>
      <c r="F738" s="3">
        <v>1</v>
      </c>
      <c r="G738" s="12">
        <f t="shared" si="22"/>
        <v>4.8099999999999996</v>
      </c>
      <c r="H738" s="12" t="e">
        <f t="shared" si="23"/>
        <v>#NUM!</v>
      </c>
      <c r="I738" s="3">
        <v>4.8072100000000004</v>
      </c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>
        <v>4.8099999999999996</v>
      </c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  <c r="DQ738" s="4"/>
      <c r="DR738" s="4"/>
      <c r="DS738" s="4"/>
      <c r="DT738" s="4"/>
      <c r="DU738" s="4"/>
      <c r="DV738" s="4"/>
      <c r="DW738" s="4"/>
      <c r="DX738" s="4"/>
      <c r="DY738" s="4"/>
      <c r="DZ738" s="4"/>
      <c r="EA738" s="4"/>
      <c r="EB738" s="4"/>
      <c r="EC738" s="4"/>
      <c r="ED738" s="4"/>
      <c r="EE738" s="4"/>
      <c r="EF738" s="4"/>
      <c r="EG738" s="4"/>
      <c r="EH738" s="4"/>
      <c r="EI738" s="4"/>
      <c r="EJ738" s="4"/>
      <c r="EK738" s="4"/>
      <c r="EL738" s="4"/>
      <c r="EM738" s="4"/>
      <c r="EN738" s="4"/>
      <c r="EO738" s="4"/>
      <c r="EP738" s="4"/>
      <c r="EQ738" s="4"/>
      <c r="ER738" s="4"/>
      <c r="ES738" s="4"/>
      <c r="ET738" s="4"/>
      <c r="EU738" s="4"/>
      <c r="EV738" s="4"/>
      <c r="EW738" s="4"/>
      <c r="EX738" s="4"/>
      <c r="EY738" s="4"/>
      <c r="EZ738" s="4"/>
      <c r="FA738" s="4"/>
      <c r="FB738" s="4"/>
      <c r="FC738" s="4"/>
      <c r="FD738" s="4"/>
      <c r="FE738" s="4"/>
      <c r="FF738" s="4"/>
      <c r="FG738" s="4"/>
      <c r="FH738" s="4"/>
      <c r="FI738" s="4"/>
      <c r="FJ738" s="4"/>
      <c r="FK738" s="4"/>
      <c r="FL738" s="4"/>
      <c r="FM738" s="4"/>
      <c r="FN738" s="4"/>
      <c r="FO738" s="4"/>
      <c r="FP738" s="4"/>
      <c r="FQ738" s="4"/>
      <c r="FR738" s="4"/>
      <c r="FS738" s="4"/>
      <c r="FT738" s="4"/>
      <c r="FU738" s="4"/>
      <c r="FV738" s="4"/>
      <c r="FW738" s="4"/>
      <c r="FX738" s="4"/>
      <c r="FY738" s="4"/>
      <c r="FZ738" s="4"/>
      <c r="GA738" s="4"/>
      <c r="GB738" s="4"/>
      <c r="GC738" s="4"/>
      <c r="GD738" s="4"/>
      <c r="GE738" s="4"/>
      <c r="GF738" s="4"/>
      <c r="GG738" s="4"/>
      <c r="GH738" s="4"/>
      <c r="GI738" s="4"/>
      <c r="GJ738" s="4"/>
      <c r="GK738" s="4"/>
      <c r="GL738" s="4"/>
      <c r="GM738" s="4"/>
      <c r="GN738" s="4"/>
      <c r="GO738" s="4"/>
      <c r="GP738" s="4"/>
      <c r="GQ738" s="4"/>
      <c r="GR738" s="4"/>
      <c r="GS738" s="4"/>
      <c r="GT738" s="4"/>
      <c r="GU738" s="4"/>
      <c r="GV738" s="4"/>
      <c r="GW738" s="4"/>
      <c r="GX738" s="4"/>
      <c r="GY738" s="4"/>
      <c r="GZ738" s="4"/>
      <c r="HA738" s="4"/>
      <c r="HB738" s="4"/>
      <c r="HC738" s="4"/>
      <c r="HD738" s="4"/>
      <c r="HE738" s="4"/>
      <c r="HF738" s="4"/>
      <c r="HG738" s="4"/>
      <c r="HH738" s="4"/>
      <c r="HI738" s="4"/>
      <c r="HJ738" s="4"/>
    </row>
    <row r="739" spans="1:218" hidden="1">
      <c r="A739" t="s">
        <v>2734</v>
      </c>
      <c r="B739" t="s">
        <v>2735</v>
      </c>
      <c r="C739" t="s">
        <v>489</v>
      </c>
      <c r="D739" t="s">
        <v>490</v>
      </c>
      <c r="E739" t="s">
        <v>490</v>
      </c>
      <c r="F739" s="3">
        <v>1</v>
      </c>
      <c r="G739" s="12">
        <f t="shared" si="22"/>
        <v>3.02</v>
      </c>
      <c r="H739" s="12" t="e">
        <f t="shared" si="23"/>
        <v>#NUM!</v>
      </c>
      <c r="I739" s="3">
        <v>3.0216899000000002</v>
      </c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>
        <v>3.02</v>
      </c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  <c r="DQ739" s="4"/>
      <c r="DR739" s="4"/>
      <c r="DS739" s="4"/>
      <c r="DT739" s="4"/>
      <c r="DU739" s="4"/>
      <c r="DV739" s="4"/>
      <c r="DW739" s="4"/>
      <c r="DX739" s="4"/>
      <c r="DY739" s="4"/>
      <c r="DZ739" s="4"/>
      <c r="EA739" s="4"/>
      <c r="EB739" s="4"/>
      <c r="EC739" s="4"/>
      <c r="ED739" s="4"/>
      <c r="EE739" s="4"/>
      <c r="EF739" s="4"/>
      <c r="EG739" s="4"/>
      <c r="EH739" s="4"/>
      <c r="EI739" s="4"/>
      <c r="EJ739" s="4"/>
      <c r="EK739" s="4"/>
      <c r="EL739" s="4"/>
      <c r="EM739" s="4"/>
      <c r="EN739" s="4"/>
      <c r="EO739" s="4"/>
      <c r="EP739" s="4"/>
      <c r="EQ739" s="4"/>
      <c r="ER739" s="4"/>
      <c r="ES739" s="4"/>
      <c r="ET739" s="4"/>
      <c r="EU739" s="4"/>
      <c r="EV739" s="4"/>
      <c r="EW739" s="4"/>
      <c r="EX739" s="4"/>
      <c r="EY739" s="4"/>
      <c r="EZ739" s="4"/>
      <c r="FA739" s="4"/>
      <c r="FB739" s="4"/>
      <c r="FC739" s="4"/>
      <c r="FD739" s="4"/>
      <c r="FE739" s="4"/>
      <c r="FF739" s="4"/>
      <c r="FG739" s="4"/>
      <c r="FH739" s="4"/>
      <c r="FI739" s="4"/>
      <c r="FJ739" s="4"/>
      <c r="FK739" s="4"/>
      <c r="FL739" s="4"/>
      <c r="FM739" s="4"/>
      <c r="FN739" s="4"/>
      <c r="FO739" s="4"/>
      <c r="FP739" s="4"/>
      <c r="FQ739" s="4"/>
      <c r="FR739" s="4"/>
      <c r="FS739" s="4"/>
      <c r="FT739" s="4"/>
      <c r="FU739" s="4"/>
      <c r="FV739" s="4"/>
      <c r="FW739" s="4"/>
      <c r="FX739" s="4"/>
      <c r="FY739" s="4"/>
      <c r="FZ739" s="4"/>
      <c r="GA739" s="4"/>
      <c r="GB739" s="4"/>
      <c r="GC739" s="4"/>
      <c r="GD739" s="4"/>
      <c r="GE739" s="4"/>
      <c r="GF739" s="4"/>
      <c r="GG739" s="4"/>
      <c r="GH739" s="4"/>
      <c r="GI739" s="4"/>
      <c r="GJ739" s="4"/>
      <c r="GK739" s="4"/>
      <c r="GL739" s="4"/>
      <c r="GM739" s="4"/>
      <c r="GN739" s="4"/>
      <c r="GO739" s="4"/>
      <c r="GP739" s="4"/>
      <c r="GQ739" s="4"/>
      <c r="GR739" s="4"/>
      <c r="GS739" s="4"/>
      <c r="GT739" s="4"/>
      <c r="GU739" s="4"/>
      <c r="GV739" s="4"/>
      <c r="GW739" s="4"/>
      <c r="GX739" s="4"/>
      <c r="GY739" s="4"/>
      <c r="GZ739" s="4"/>
      <c r="HA739" s="4"/>
      <c r="HB739" s="4"/>
      <c r="HC739" s="4"/>
      <c r="HD739" s="4"/>
      <c r="HE739" s="4"/>
      <c r="HF739" s="4"/>
      <c r="HG739" s="4"/>
      <c r="HH739" s="4"/>
      <c r="HI739" s="4"/>
      <c r="HJ739" s="4"/>
    </row>
    <row r="740" spans="1:218" hidden="1">
      <c r="A740" t="s">
        <v>1693</v>
      </c>
      <c r="B740" t="s">
        <v>1694</v>
      </c>
      <c r="C740" t="s">
        <v>845</v>
      </c>
      <c r="D740" t="s">
        <v>1695</v>
      </c>
      <c r="E740" t="s">
        <v>1696</v>
      </c>
      <c r="F740" s="3">
        <v>1</v>
      </c>
      <c r="G740" s="12">
        <f t="shared" si="22"/>
        <v>8.26</v>
      </c>
      <c r="H740" s="12" t="e">
        <f t="shared" si="23"/>
        <v>#NUM!</v>
      </c>
      <c r="I740" s="3">
        <v>8.2572700000000001</v>
      </c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>
        <v>8.26</v>
      </c>
      <c r="DP740" s="4"/>
      <c r="DQ740" s="4"/>
      <c r="DR740" s="4"/>
      <c r="DS740" s="4"/>
      <c r="DT740" s="4"/>
      <c r="DU740" s="4"/>
      <c r="DV740" s="4"/>
      <c r="DW740" s="4"/>
      <c r="DX740" s="4"/>
      <c r="DY740" s="4"/>
      <c r="DZ740" s="4"/>
      <c r="EA740" s="4"/>
      <c r="EB740" s="4"/>
      <c r="EC740" s="4"/>
      <c r="ED740" s="4"/>
      <c r="EE740" s="4"/>
      <c r="EF740" s="4"/>
      <c r="EG740" s="4"/>
      <c r="EH740" s="4"/>
      <c r="EI740" s="4"/>
      <c r="EJ740" s="4"/>
      <c r="EK740" s="4"/>
      <c r="EL740" s="4"/>
      <c r="EM740" s="4"/>
      <c r="EN740" s="4"/>
      <c r="EO740" s="4"/>
      <c r="EP740" s="4"/>
      <c r="EQ740" s="4"/>
      <c r="ER740" s="4"/>
      <c r="ES740" s="4"/>
      <c r="ET740" s="4"/>
      <c r="EU740" s="4"/>
      <c r="EV740" s="4"/>
      <c r="EW740" s="4"/>
      <c r="EX740" s="4"/>
      <c r="EY740" s="4"/>
      <c r="EZ740" s="4"/>
      <c r="FA740" s="4"/>
      <c r="FB740" s="4"/>
      <c r="FC740" s="4"/>
      <c r="FD740" s="4"/>
      <c r="FE740" s="4"/>
      <c r="FF740" s="4"/>
      <c r="FG740" s="4"/>
      <c r="FH740" s="4"/>
      <c r="FI740" s="4"/>
      <c r="FJ740" s="4"/>
      <c r="FK740" s="4"/>
      <c r="FL740" s="4"/>
      <c r="FM740" s="4"/>
      <c r="FN740" s="4"/>
      <c r="FO740" s="4"/>
      <c r="FP740" s="4"/>
      <c r="FQ740" s="4"/>
      <c r="FR740" s="4"/>
      <c r="FS740" s="4"/>
      <c r="FT740" s="4"/>
      <c r="FU740" s="4"/>
      <c r="FV740" s="4"/>
      <c r="FW740" s="4"/>
      <c r="FX740" s="4"/>
      <c r="FY740" s="4"/>
      <c r="FZ740" s="4"/>
      <c r="GA740" s="4"/>
      <c r="GB740" s="4"/>
      <c r="GC740" s="4"/>
      <c r="GD740" s="4"/>
      <c r="GE740" s="4"/>
      <c r="GF740" s="4"/>
      <c r="GG740" s="4"/>
      <c r="GH740" s="4"/>
      <c r="GI740" s="4"/>
      <c r="GJ740" s="4"/>
      <c r="GK740" s="4"/>
      <c r="GL740" s="4"/>
      <c r="GM740" s="4"/>
      <c r="GN740" s="4"/>
      <c r="GO740" s="4"/>
      <c r="GP740" s="4"/>
      <c r="GQ740" s="4"/>
      <c r="GR740" s="4"/>
      <c r="GS740" s="4"/>
      <c r="GT740" s="4"/>
      <c r="GU740" s="4"/>
      <c r="GV740" s="4"/>
      <c r="GW740" s="4"/>
      <c r="GX740" s="4"/>
      <c r="GY740" s="4"/>
      <c r="GZ740" s="4"/>
      <c r="HA740" s="4"/>
      <c r="HB740" s="4"/>
      <c r="HC740" s="4"/>
      <c r="HD740" s="4"/>
      <c r="HE740" s="4"/>
      <c r="HF740" s="4"/>
      <c r="HG740" s="4"/>
      <c r="HH740" s="4"/>
      <c r="HI740" s="4"/>
      <c r="HJ740" s="4"/>
    </row>
    <row r="741" spans="1:218" hidden="1">
      <c r="A741" t="s">
        <v>3137</v>
      </c>
      <c r="B741" t="s">
        <v>3138</v>
      </c>
      <c r="C741" t="s">
        <v>489</v>
      </c>
      <c r="D741" t="s">
        <v>490</v>
      </c>
      <c r="E741" t="s">
        <v>490</v>
      </c>
      <c r="F741" s="3">
        <v>1</v>
      </c>
      <c r="G741" s="12">
        <f t="shared" si="22"/>
        <v>1.19</v>
      </c>
      <c r="H741" s="12" t="e">
        <f t="shared" si="23"/>
        <v>#NUM!</v>
      </c>
      <c r="I741" s="3">
        <v>1.18581</v>
      </c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>
        <v>1.19</v>
      </c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  <c r="DQ741" s="4"/>
      <c r="DR741" s="4"/>
      <c r="DS741" s="4"/>
      <c r="DT741" s="4"/>
      <c r="DU741" s="4"/>
      <c r="DV741" s="4"/>
      <c r="DW741" s="4"/>
      <c r="DX741" s="4"/>
      <c r="DY741" s="4"/>
      <c r="DZ741" s="4"/>
      <c r="EA741" s="4"/>
      <c r="EB741" s="4"/>
      <c r="EC741" s="4"/>
      <c r="ED741" s="4"/>
      <c r="EE741" s="4"/>
      <c r="EF741" s="4"/>
      <c r="EG741" s="4"/>
      <c r="EH741" s="4"/>
      <c r="EI741" s="4"/>
      <c r="EJ741" s="4"/>
      <c r="EK741" s="4"/>
      <c r="EL741" s="4"/>
      <c r="EM741" s="4"/>
      <c r="EN741" s="4"/>
      <c r="EO741" s="4"/>
      <c r="EP741" s="4"/>
      <c r="EQ741" s="4"/>
      <c r="ER741" s="4"/>
      <c r="ES741" s="4"/>
      <c r="ET741" s="4"/>
      <c r="EU741" s="4"/>
      <c r="EV741" s="4"/>
      <c r="EW741" s="4"/>
      <c r="EX741" s="4"/>
      <c r="EY741" s="4"/>
      <c r="EZ741" s="4"/>
      <c r="FA741" s="4"/>
      <c r="FB741" s="4"/>
      <c r="FC741" s="4"/>
      <c r="FD741" s="4"/>
      <c r="FE741" s="4"/>
      <c r="FF741" s="4"/>
      <c r="FG741" s="4"/>
      <c r="FH741" s="4"/>
      <c r="FI741" s="4"/>
      <c r="FJ741" s="4"/>
      <c r="FK741" s="4"/>
      <c r="FL741" s="4"/>
      <c r="FM741" s="4"/>
      <c r="FN741" s="4"/>
      <c r="FO741" s="4"/>
      <c r="FP741" s="4"/>
      <c r="FQ741" s="4"/>
      <c r="FR741" s="4"/>
      <c r="FS741" s="4"/>
      <c r="FT741" s="4"/>
      <c r="FU741" s="4"/>
      <c r="FV741" s="4"/>
      <c r="FW741" s="4"/>
      <c r="FX741" s="4"/>
      <c r="FY741" s="4"/>
      <c r="FZ741" s="4"/>
      <c r="GA741" s="4"/>
      <c r="GB741" s="4"/>
      <c r="GC741" s="4"/>
      <c r="GD741" s="4"/>
      <c r="GE741" s="4"/>
      <c r="GF741" s="4"/>
      <c r="GG741" s="4"/>
      <c r="GH741" s="4"/>
      <c r="GI741" s="4"/>
      <c r="GJ741" s="4"/>
      <c r="GK741" s="4"/>
      <c r="GL741" s="4"/>
      <c r="GM741" s="4"/>
      <c r="GN741" s="4"/>
      <c r="GO741" s="4"/>
      <c r="GP741" s="4"/>
      <c r="GQ741" s="4"/>
      <c r="GR741" s="4"/>
      <c r="GS741" s="4"/>
      <c r="GT741" s="4"/>
      <c r="GU741" s="4"/>
      <c r="GV741" s="4"/>
      <c r="GW741" s="4"/>
      <c r="GX741" s="4"/>
      <c r="GY741" s="4"/>
      <c r="GZ741" s="4"/>
      <c r="HA741" s="4"/>
      <c r="HB741" s="4"/>
      <c r="HC741" s="4"/>
      <c r="HD741" s="4"/>
      <c r="HE741" s="4"/>
      <c r="HF741" s="4"/>
      <c r="HG741" s="4"/>
      <c r="HH741" s="4"/>
      <c r="HI741" s="4"/>
      <c r="HJ741" s="4"/>
    </row>
    <row r="742" spans="1:218" hidden="1">
      <c r="A742" t="s">
        <v>1890</v>
      </c>
      <c r="B742" t="s">
        <v>1891</v>
      </c>
      <c r="C742" t="s">
        <v>489</v>
      </c>
      <c r="D742" t="s">
        <v>490</v>
      </c>
      <c r="E742" t="s">
        <v>490</v>
      </c>
      <c r="F742" s="3">
        <v>1</v>
      </c>
      <c r="G742" s="12">
        <f t="shared" si="22"/>
        <v>5.41</v>
      </c>
      <c r="H742" s="12" t="e">
        <f t="shared" si="23"/>
        <v>#NUM!</v>
      </c>
      <c r="I742" s="3">
        <v>5.4138400000000004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>
        <v>5.41</v>
      </c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  <c r="DQ742" s="4"/>
      <c r="DR742" s="4"/>
      <c r="DS742" s="4"/>
      <c r="DT742" s="4"/>
      <c r="DU742" s="4"/>
      <c r="DV742" s="4"/>
      <c r="DW742" s="4"/>
      <c r="DX742" s="4"/>
      <c r="DY742" s="4"/>
      <c r="DZ742" s="4"/>
      <c r="EA742" s="4"/>
      <c r="EB742" s="4"/>
      <c r="EC742" s="4"/>
      <c r="ED742" s="4"/>
      <c r="EE742" s="4"/>
      <c r="EF742" s="4"/>
      <c r="EG742" s="4"/>
      <c r="EH742" s="4"/>
      <c r="EI742" s="4"/>
      <c r="EJ742" s="4"/>
      <c r="EK742" s="4"/>
      <c r="EL742" s="4"/>
      <c r="EM742" s="4"/>
      <c r="EN742" s="4"/>
      <c r="EO742" s="4"/>
      <c r="EP742" s="4"/>
      <c r="EQ742" s="4"/>
      <c r="ER742" s="4"/>
      <c r="ES742" s="4"/>
      <c r="ET742" s="4"/>
      <c r="EU742" s="4"/>
      <c r="EV742" s="4"/>
      <c r="EW742" s="4"/>
      <c r="EX742" s="4"/>
      <c r="EY742" s="4"/>
      <c r="EZ742" s="4"/>
      <c r="FA742" s="4"/>
      <c r="FB742" s="4"/>
      <c r="FC742" s="4"/>
      <c r="FD742" s="4"/>
      <c r="FE742" s="4"/>
      <c r="FF742" s="4"/>
      <c r="FG742" s="4"/>
      <c r="FH742" s="4"/>
      <c r="FI742" s="4"/>
      <c r="FJ742" s="4"/>
      <c r="FK742" s="4"/>
      <c r="FL742" s="4"/>
      <c r="FM742" s="4"/>
      <c r="FN742" s="4"/>
      <c r="FO742" s="4"/>
      <c r="FP742" s="4"/>
      <c r="FQ742" s="4"/>
      <c r="FR742" s="4"/>
      <c r="FS742" s="4"/>
      <c r="FT742" s="4"/>
      <c r="FU742" s="4"/>
      <c r="FV742" s="4"/>
      <c r="FW742" s="4"/>
      <c r="FX742" s="4"/>
      <c r="FY742" s="4"/>
      <c r="FZ742" s="4"/>
      <c r="GA742" s="4"/>
      <c r="GB742" s="4"/>
      <c r="GC742" s="4"/>
      <c r="GD742" s="4"/>
      <c r="GE742" s="4"/>
      <c r="GF742" s="4"/>
      <c r="GG742" s="4"/>
      <c r="GH742" s="4"/>
      <c r="GI742" s="4"/>
      <c r="GJ742" s="4"/>
      <c r="GK742" s="4"/>
      <c r="GL742" s="4"/>
      <c r="GM742" s="4"/>
      <c r="GN742" s="4"/>
      <c r="GO742" s="4"/>
      <c r="GP742" s="4"/>
      <c r="GQ742" s="4"/>
      <c r="GR742" s="4"/>
      <c r="GS742" s="4"/>
      <c r="GT742" s="4"/>
      <c r="GU742" s="4"/>
      <c r="GV742" s="4"/>
      <c r="GW742" s="4"/>
      <c r="GX742" s="4"/>
      <c r="GY742" s="4"/>
      <c r="GZ742" s="4"/>
      <c r="HA742" s="4"/>
      <c r="HB742" s="4"/>
      <c r="HC742" s="4"/>
      <c r="HD742" s="4"/>
      <c r="HE742" s="4"/>
      <c r="HF742" s="4"/>
      <c r="HG742" s="4"/>
      <c r="HH742" s="4"/>
      <c r="HI742" s="4"/>
      <c r="HJ742" s="4"/>
    </row>
    <row r="743" spans="1:218" hidden="1">
      <c r="A743" t="s">
        <v>2388</v>
      </c>
      <c r="B743" t="s">
        <v>2389</v>
      </c>
      <c r="C743" t="s">
        <v>489</v>
      </c>
      <c r="D743" t="s">
        <v>490</v>
      </c>
      <c r="E743" t="s">
        <v>490</v>
      </c>
      <c r="F743" s="3">
        <v>1</v>
      </c>
      <c r="G743" s="12">
        <f t="shared" si="22"/>
        <v>3.95</v>
      </c>
      <c r="H743" s="12" t="e">
        <f t="shared" si="23"/>
        <v>#NUM!</v>
      </c>
      <c r="I743" s="3">
        <v>3.9460600000000001</v>
      </c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  <c r="DQ743" s="4"/>
      <c r="DR743" s="4"/>
      <c r="DS743" s="4"/>
      <c r="DT743" s="4"/>
      <c r="DU743" s="4"/>
      <c r="DV743" s="4"/>
      <c r="DW743" s="4"/>
      <c r="DX743" s="4"/>
      <c r="DY743" s="4"/>
      <c r="DZ743" s="4"/>
      <c r="EA743" s="4"/>
      <c r="EB743" s="4"/>
      <c r="EC743" s="4"/>
      <c r="ED743" s="4"/>
      <c r="EE743" s="4"/>
      <c r="EF743" s="4"/>
      <c r="EG743" s="4"/>
      <c r="EH743" s="4"/>
      <c r="EI743" s="4"/>
      <c r="EJ743" s="4"/>
      <c r="EK743" s="4"/>
      <c r="EL743" s="4"/>
      <c r="EM743" s="4"/>
      <c r="EN743" s="4"/>
      <c r="EO743" s="4"/>
      <c r="EP743" s="4"/>
      <c r="EQ743" s="4"/>
      <c r="ER743" s="4"/>
      <c r="ES743" s="4"/>
      <c r="ET743" s="4"/>
      <c r="EU743" s="4"/>
      <c r="EV743" s="4"/>
      <c r="EW743" s="4"/>
      <c r="EX743" s="4"/>
      <c r="EY743" s="4"/>
      <c r="EZ743" s="4"/>
      <c r="FA743" s="4"/>
      <c r="FB743" s="4"/>
      <c r="FC743" s="4"/>
      <c r="FD743" s="4"/>
      <c r="FE743" s="4"/>
      <c r="FF743" s="4"/>
      <c r="FG743" s="4"/>
      <c r="FH743" s="4"/>
      <c r="FI743" s="4"/>
      <c r="FJ743" s="4"/>
      <c r="FK743" s="4"/>
      <c r="FL743" s="4"/>
      <c r="FM743" s="4"/>
      <c r="FN743" s="4"/>
      <c r="FO743" s="4"/>
      <c r="FP743" s="4"/>
      <c r="FQ743" s="4"/>
      <c r="FR743" s="4"/>
      <c r="FS743" s="4"/>
      <c r="FT743" s="4"/>
      <c r="FU743" s="4"/>
      <c r="FV743" s="4"/>
      <c r="FW743" s="4"/>
      <c r="FX743" s="4"/>
      <c r="FY743" s="4"/>
      <c r="FZ743" s="4"/>
      <c r="GA743" s="4"/>
      <c r="GB743" s="4"/>
      <c r="GC743" s="4"/>
      <c r="GD743" s="4"/>
      <c r="GE743" s="4"/>
      <c r="GF743" s="4"/>
      <c r="GG743" s="4"/>
      <c r="GH743" s="4"/>
      <c r="GI743" s="4"/>
      <c r="GJ743" s="4"/>
      <c r="GK743" s="4">
        <v>3.95</v>
      </c>
      <c r="GL743" s="4"/>
      <c r="GM743" s="4"/>
      <c r="GN743" s="4"/>
      <c r="GO743" s="4"/>
      <c r="GP743" s="4"/>
      <c r="GQ743" s="4"/>
      <c r="GR743" s="4"/>
      <c r="GS743" s="4"/>
      <c r="GT743" s="4"/>
      <c r="GU743" s="4"/>
      <c r="GV743" s="4"/>
      <c r="GW743" s="4"/>
      <c r="GX743" s="4"/>
      <c r="GY743" s="4"/>
      <c r="GZ743" s="4"/>
      <c r="HA743" s="4"/>
      <c r="HB743" s="4"/>
      <c r="HC743" s="4"/>
      <c r="HD743" s="4"/>
      <c r="HE743" s="4"/>
      <c r="HF743" s="4"/>
      <c r="HG743" s="4"/>
      <c r="HH743" s="4"/>
      <c r="HI743" s="4"/>
      <c r="HJ743" s="4"/>
    </row>
    <row r="744" spans="1:218" hidden="1">
      <c r="A744" t="s">
        <v>2060</v>
      </c>
      <c r="B744" t="s">
        <v>2061</v>
      </c>
      <c r="C744" t="s">
        <v>1028</v>
      </c>
      <c r="D744" t="s">
        <v>2062</v>
      </c>
      <c r="E744" t="s">
        <v>2063</v>
      </c>
      <c r="F744" s="3">
        <v>1</v>
      </c>
      <c r="G744" s="12">
        <f t="shared" si="22"/>
        <v>4.6100000000000003</v>
      </c>
      <c r="H744" s="12" t="e">
        <f t="shared" si="23"/>
        <v>#NUM!</v>
      </c>
      <c r="I744" s="3">
        <v>4.6101796999999998</v>
      </c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>
        <v>4.6100000000000003</v>
      </c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  <c r="DQ744" s="4"/>
      <c r="DR744" s="4"/>
      <c r="DS744" s="4"/>
      <c r="DT744" s="4"/>
      <c r="DU744" s="4"/>
      <c r="DV744" s="4"/>
      <c r="DW744" s="4"/>
      <c r="DX744" s="4"/>
      <c r="DY744" s="4"/>
      <c r="DZ744" s="4"/>
      <c r="EA744" s="4"/>
      <c r="EB744" s="4"/>
      <c r="EC744" s="4"/>
      <c r="ED744" s="4"/>
      <c r="EE744" s="4"/>
      <c r="EF744" s="4"/>
      <c r="EG744" s="4"/>
      <c r="EH744" s="4"/>
      <c r="EI744" s="4"/>
      <c r="EJ744" s="4"/>
      <c r="EK744" s="4"/>
      <c r="EL744" s="4"/>
      <c r="EM744" s="4"/>
      <c r="EN744" s="4"/>
      <c r="EO744" s="4"/>
      <c r="EP744" s="4"/>
      <c r="EQ744" s="4"/>
      <c r="ER744" s="4"/>
      <c r="ES744" s="4"/>
      <c r="ET744" s="4"/>
      <c r="EU744" s="4"/>
      <c r="EV744" s="4"/>
      <c r="EW744" s="4"/>
      <c r="EX744" s="4"/>
      <c r="EY744" s="4"/>
      <c r="EZ744" s="4"/>
      <c r="FA744" s="4"/>
      <c r="FB744" s="4"/>
      <c r="FC744" s="4"/>
      <c r="FD744" s="4"/>
      <c r="FE744" s="4"/>
      <c r="FF744" s="4"/>
      <c r="FG744" s="4"/>
      <c r="FH744" s="4"/>
      <c r="FI744" s="4"/>
      <c r="FJ744" s="4"/>
      <c r="FK744" s="4"/>
      <c r="FL744" s="4"/>
      <c r="FM744" s="4"/>
      <c r="FN744" s="4"/>
      <c r="FO744" s="4"/>
      <c r="FP744" s="4"/>
      <c r="FQ744" s="4"/>
      <c r="FR744" s="4"/>
      <c r="FS744" s="4"/>
      <c r="FT744" s="4"/>
      <c r="FU744" s="4"/>
      <c r="FV744" s="4"/>
      <c r="FW744" s="4"/>
      <c r="FX744" s="4"/>
      <c r="FY744" s="4"/>
      <c r="FZ744" s="4"/>
      <c r="GA744" s="4"/>
      <c r="GB744" s="4"/>
      <c r="GC744" s="4"/>
      <c r="GD744" s="4"/>
      <c r="GE744" s="4"/>
      <c r="GF744" s="4"/>
      <c r="GG744" s="4"/>
      <c r="GH744" s="4"/>
      <c r="GI744" s="4"/>
      <c r="GJ744" s="4"/>
      <c r="GK744" s="4"/>
      <c r="GL744" s="4"/>
      <c r="GM744" s="4"/>
      <c r="GN744" s="4"/>
      <c r="GO744" s="4"/>
      <c r="GP744" s="4"/>
      <c r="GQ744" s="4"/>
      <c r="GR744" s="4"/>
      <c r="GS744" s="4"/>
      <c r="GT744" s="4"/>
      <c r="GU744" s="4"/>
      <c r="GV744" s="4"/>
      <c r="GW744" s="4"/>
      <c r="GX744" s="4"/>
      <c r="GY744" s="4"/>
      <c r="GZ744" s="4"/>
      <c r="HA744" s="4"/>
      <c r="HB744" s="4"/>
      <c r="HC744" s="4"/>
      <c r="HD744" s="4"/>
      <c r="HE744" s="4"/>
      <c r="HF744" s="4"/>
      <c r="HG744" s="4"/>
      <c r="HH744" s="4"/>
      <c r="HI744" s="4"/>
      <c r="HJ744" s="4"/>
    </row>
    <row r="745" spans="1:218" hidden="1">
      <c r="A745" t="s">
        <v>1685</v>
      </c>
      <c r="B745" t="s">
        <v>1686</v>
      </c>
      <c r="C745" t="s">
        <v>1028</v>
      </c>
      <c r="D745" t="s">
        <v>1687</v>
      </c>
      <c r="E745" t="s">
        <v>1688</v>
      </c>
      <c r="F745" s="3">
        <v>1</v>
      </c>
      <c r="G745" s="12">
        <f t="shared" si="22"/>
        <v>8.7899999999999991</v>
      </c>
      <c r="H745" s="12" t="e">
        <f t="shared" si="23"/>
        <v>#NUM!</v>
      </c>
      <c r="I745" s="3">
        <v>8.7865694999999988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>
        <v>8.7899999999999991</v>
      </c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  <c r="DQ745" s="4"/>
      <c r="DR745" s="4"/>
      <c r="DS745" s="4"/>
      <c r="DT745" s="4"/>
      <c r="DU745" s="4"/>
      <c r="DV745" s="4"/>
      <c r="DW745" s="4"/>
      <c r="DX745" s="4"/>
      <c r="DY745" s="4"/>
      <c r="DZ745" s="4"/>
      <c r="EA745" s="4"/>
      <c r="EB745" s="4"/>
      <c r="EC745" s="4"/>
      <c r="ED745" s="4"/>
      <c r="EE745" s="4"/>
      <c r="EF745" s="4"/>
      <c r="EG745" s="4"/>
      <c r="EH745" s="4"/>
      <c r="EI745" s="4"/>
      <c r="EJ745" s="4"/>
      <c r="EK745" s="4"/>
      <c r="EL745" s="4"/>
      <c r="EM745" s="4"/>
      <c r="EN745" s="4"/>
      <c r="EO745" s="4"/>
      <c r="EP745" s="4"/>
      <c r="EQ745" s="4"/>
      <c r="ER745" s="4"/>
      <c r="ES745" s="4"/>
      <c r="ET745" s="4"/>
      <c r="EU745" s="4"/>
      <c r="EV745" s="4"/>
      <c r="EW745" s="4"/>
      <c r="EX745" s="4"/>
      <c r="EY745" s="4"/>
      <c r="EZ745" s="4"/>
      <c r="FA745" s="4"/>
      <c r="FB745" s="4"/>
      <c r="FC745" s="4"/>
      <c r="FD745" s="4"/>
      <c r="FE745" s="4"/>
      <c r="FF745" s="4"/>
      <c r="FG745" s="4"/>
      <c r="FH745" s="4"/>
      <c r="FI745" s="4"/>
      <c r="FJ745" s="4"/>
      <c r="FK745" s="4"/>
      <c r="FL745" s="4"/>
      <c r="FM745" s="4"/>
      <c r="FN745" s="4"/>
      <c r="FO745" s="4"/>
      <c r="FP745" s="4"/>
      <c r="FQ745" s="4"/>
      <c r="FR745" s="4"/>
      <c r="FS745" s="4"/>
      <c r="FT745" s="4"/>
      <c r="FU745" s="4"/>
      <c r="FV745" s="4"/>
      <c r="FW745" s="4"/>
      <c r="FX745" s="4"/>
      <c r="FY745" s="4"/>
      <c r="FZ745" s="4"/>
      <c r="GA745" s="4"/>
      <c r="GB745" s="4"/>
      <c r="GC745" s="4"/>
      <c r="GD745" s="4"/>
      <c r="GE745" s="4"/>
      <c r="GF745" s="4"/>
      <c r="GG745" s="4"/>
      <c r="GH745" s="4"/>
      <c r="GI745" s="4"/>
      <c r="GJ745" s="4"/>
      <c r="GK745" s="4"/>
      <c r="GL745" s="4"/>
      <c r="GM745" s="4"/>
      <c r="GN745" s="4"/>
      <c r="GO745" s="4"/>
      <c r="GP745" s="4"/>
      <c r="GQ745" s="4"/>
      <c r="GR745" s="4"/>
      <c r="GS745" s="4"/>
      <c r="GT745" s="4"/>
      <c r="GU745" s="4"/>
      <c r="GV745" s="4"/>
      <c r="GW745" s="4"/>
      <c r="GX745" s="4"/>
      <c r="GY745" s="4"/>
      <c r="GZ745" s="4"/>
      <c r="HA745" s="4"/>
      <c r="HB745" s="4"/>
      <c r="HC745" s="4"/>
      <c r="HD745" s="4"/>
      <c r="HE745" s="4"/>
      <c r="HF745" s="4"/>
      <c r="HG745" s="4"/>
      <c r="HH745" s="4"/>
      <c r="HI745" s="4"/>
      <c r="HJ745" s="4"/>
    </row>
    <row r="746" spans="1:218" hidden="1">
      <c r="A746" t="s">
        <v>2001</v>
      </c>
      <c r="B746" t="s">
        <v>2002</v>
      </c>
      <c r="C746" t="s">
        <v>1028</v>
      </c>
      <c r="D746" t="s">
        <v>2003</v>
      </c>
      <c r="E746" t="s">
        <v>2004</v>
      </c>
      <c r="F746" s="3">
        <v>1</v>
      </c>
      <c r="G746" s="12">
        <f t="shared" si="22"/>
        <v>4.7699999999999996</v>
      </c>
      <c r="H746" s="12" t="e">
        <f t="shared" si="23"/>
        <v>#NUM!</v>
      </c>
      <c r="I746" s="3">
        <v>4.7738800000000001</v>
      </c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>
        <v>4.7699999999999996</v>
      </c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  <c r="DQ746" s="4"/>
      <c r="DR746" s="4"/>
      <c r="DS746" s="4"/>
      <c r="DT746" s="4"/>
      <c r="DU746" s="4"/>
      <c r="DV746" s="4"/>
      <c r="DW746" s="4"/>
      <c r="DX746" s="4"/>
      <c r="DY746" s="4"/>
      <c r="DZ746" s="4"/>
      <c r="EA746" s="4"/>
      <c r="EB746" s="4"/>
      <c r="EC746" s="4"/>
      <c r="ED746" s="4"/>
      <c r="EE746" s="4"/>
      <c r="EF746" s="4"/>
      <c r="EG746" s="4"/>
      <c r="EH746" s="4"/>
      <c r="EI746" s="4"/>
      <c r="EJ746" s="4"/>
      <c r="EK746" s="4"/>
      <c r="EL746" s="4"/>
      <c r="EM746" s="4"/>
      <c r="EN746" s="4"/>
      <c r="EO746" s="4"/>
      <c r="EP746" s="4"/>
      <c r="EQ746" s="4"/>
      <c r="ER746" s="4"/>
      <c r="ES746" s="4"/>
      <c r="ET746" s="4"/>
      <c r="EU746" s="4"/>
      <c r="EV746" s="4"/>
      <c r="EW746" s="4"/>
      <c r="EX746" s="4"/>
      <c r="EY746" s="4"/>
      <c r="EZ746" s="4"/>
      <c r="FA746" s="4"/>
      <c r="FB746" s="4"/>
      <c r="FC746" s="4"/>
      <c r="FD746" s="4"/>
      <c r="FE746" s="4"/>
      <c r="FF746" s="4"/>
      <c r="FG746" s="4"/>
      <c r="FH746" s="4"/>
      <c r="FI746" s="4"/>
      <c r="FJ746" s="4"/>
      <c r="FK746" s="4"/>
      <c r="FL746" s="4"/>
      <c r="FM746" s="4"/>
      <c r="FN746" s="4"/>
      <c r="FO746" s="4"/>
      <c r="FP746" s="4"/>
      <c r="FQ746" s="4"/>
      <c r="FR746" s="4"/>
      <c r="FS746" s="4"/>
      <c r="FT746" s="4"/>
      <c r="FU746" s="4"/>
      <c r="FV746" s="4"/>
      <c r="FW746" s="4"/>
      <c r="FX746" s="4"/>
      <c r="FY746" s="4"/>
      <c r="FZ746" s="4"/>
      <c r="GA746" s="4"/>
      <c r="GB746" s="4"/>
      <c r="GC746" s="4"/>
      <c r="GD746" s="4"/>
      <c r="GE746" s="4"/>
      <c r="GF746" s="4"/>
      <c r="GG746" s="4"/>
      <c r="GH746" s="4"/>
      <c r="GI746" s="4"/>
      <c r="GJ746" s="4"/>
      <c r="GK746" s="4"/>
      <c r="GL746" s="4"/>
      <c r="GM746" s="4"/>
      <c r="GN746" s="4"/>
      <c r="GO746" s="4"/>
      <c r="GP746" s="4"/>
      <c r="GQ746" s="4"/>
      <c r="GR746" s="4"/>
      <c r="GS746" s="4"/>
      <c r="GT746" s="4"/>
      <c r="GU746" s="4"/>
      <c r="GV746" s="4"/>
      <c r="GW746" s="4"/>
      <c r="GX746" s="4"/>
      <c r="GY746" s="4"/>
      <c r="GZ746" s="4"/>
      <c r="HA746" s="4"/>
      <c r="HB746" s="4"/>
      <c r="HC746" s="4"/>
      <c r="HD746" s="4"/>
      <c r="HE746" s="4"/>
      <c r="HF746" s="4"/>
      <c r="HG746" s="4"/>
      <c r="HH746" s="4"/>
      <c r="HI746" s="4"/>
      <c r="HJ746" s="4"/>
    </row>
    <row r="747" spans="1:218" hidden="1">
      <c r="A747" t="s">
        <v>2248</v>
      </c>
      <c r="B747" t="s">
        <v>2249</v>
      </c>
      <c r="C747" t="s">
        <v>1329</v>
      </c>
      <c r="D747" t="s">
        <v>2250</v>
      </c>
      <c r="E747" t="s">
        <v>2251</v>
      </c>
      <c r="F747" s="3">
        <v>1</v>
      </c>
      <c r="G747" s="12">
        <f t="shared" si="22"/>
        <v>4.22</v>
      </c>
      <c r="H747" s="12" t="e">
        <f t="shared" si="23"/>
        <v>#NUM!</v>
      </c>
      <c r="I747" s="3">
        <v>4.2190097</v>
      </c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>
        <v>4.22</v>
      </c>
      <c r="DN747" s="4"/>
      <c r="DO747" s="4"/>
      <c r="DP747" s="4"/>
      <c r="DQ747" s="4"/>
      <c r="DR747" s="4"/>
      <c r="DS747" s="4"/>
      <c r="DT747" s="4"/>
      <c r="DU747" s="4"/>
      <c r="DV747" s="4"/>
      <c r="DW747" s="4"/>
      <c r="DX747" s="4"/>
      <c r="DY747" s="4"/>
      <c r="DZ747" s="4"/>
      <c r="EA747" s="4"/>
      <c r="EB747" s="4"/>
      <c r="EC747" s="4"/>
      <c r="ED747" s="4"/>
      <c r="EE747" s="4"/>
      <c r="EF747" s="4"/>
      <c r="EG747" s="4"/>
      <c r="EH747" s="4"/>
      <c r="EI747" s="4"/>
      <c r="EJ747" s="4"/>
      <c r="EK747" s="4"/>
      <c r="EL747" s="4"/>
      <c r="EM747" s="4"/>
      <c r="EN747" s="4"/>
      <c r="EO747" s="4"/>
      <c r="EP747" s="4"/>
      <c r="EQ747" s="4"/>
      <c r="ER747" s="4"/>
      <c r="ES747" s="4"/>
      <c r="ET747" s="4"/>
      <c r="EU747" s="4"/>
      <c r="EV747" s="4"/>
      <c r="EW747" s="4"/>
      <c r="EX747" s="4"/>
      <c r="EY747" s="4"/>
      <c r="EZ747" s="4"/>
      <c r="FA747" s="4"/>
      <c r="FB747" s="4"/>
      <c r="FC747" s="4"/>
      <c r="FD747" s="4"/>
      <c r="FE747" s="4"/>
      <c r="FF747" s="4"/>
      <c r="FG747" s="4"/>
      <c r="FH747" s="4"/>
      <c r="FI747" s="4"/>
      <c r="FJ747" s="4"/>
      <c r="FK747" s="4"/>
      <c r="FL747" s="4"/>
      <c r="FM747" s="4"/>
      <c r="FN747" s="4"/>
      <c r="FO747" s="4"/>
      <c r="FP747" s="4"/>
      <c r="FQ747" s="4"/>
      <c r="FR747" s="4"/>
      <c r="FS747" s="4"/>
      <c r="FT747" s="4"/>
      <c r="FU747" s="4"/>
      <c r="FV747" s="4"/>
      <c r="FW747" s="4"/>
      <c r="FX747" s="4"/>
      <c r="FY747" s="4"/>
      <c r="FZ747" s="4"/>
      <c r="GA747" s="4"/>
      <c r="GB747" s="4"/>
      <c r="GC747" s="4"/>
      <c r="GD747" s="4"/>
      <c r="GE747" s="4"/>
      <c r="GF747" s="4"/>
      <c r="GG747" s="4"/>
      <c r="GH747" s="4"/>
      <c r="GI747" s="4"/>
      <c r="GJ747" s="4"/>
      <c r="GK747" s="4"/>
      <c r="GL747" s="4"/>
      <c r="GM747" s="4"/>
      <c r="GN747" s="4"/>
      <c r="GO747" s="4"/>
      <c r="GP747" s="4"/>
      <c r="GQ747" s="4"/>
      <c r="GR747" s="4"/>
      <c r="GS747" s="4"/>
      <c r="GT747" s="4"/>
      <c r="GU747" s="4"/>
      <c r="GV747" s="4"/>
      <c r="GW747" s="4"/>
      <c r="GX747" s="4"/>
      <c r="GY747" s="4"/>
      <c r="GZ747" s="4"/>
      <c r="HA747" s="4"/>
      <c r="HB747" s="4"/>
      <c r="HC747" s="4"/>
      <c r="HD747" s="4"/>
      <c r="HE747" s="4"/>
      <c r="HF747" s="4"/>
      <c r="HG747" s="4"/>
      <c r="HH747" s="4"/>
      <c r="HI747" s="4"/>
      <c r="HJ747" s="4"/>
    </row>
    <row r="748" spans="1:218" hidden="1">
      <c r="A748" t="s">
        <v>2896</v>
      </c>
      <c r="B748" t="s">
        <v>2897</v>
      </c>
      <c r="C748" t="s">
        <v>489</v>
      </c>
      <c r="D748" t="s">
        <v>490</v>
      </c>
      <c r="E748" t="s">
        <v>490</v>
      </c>
      <c r="F748" s="3">
        <v>1</v>
      </c>
      <c r="G748" s="12">
        <f t="shared" si="22"/>
        <v>2.4</v>
      </c>
      <c r="H748" s="12" t="e">
        <f t="shared" si="23"/>
        <v>#NUM!</v>
      </c>
      <c r="I748" s="3">
        <v>2.4012199999999999</v>
      </c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  <c r="DQ748" s="4"/>
      <c r="DR748" s="4"/>
      <c r="DS748" s="4"/>
      <c r="DT748" s="4"/>
      <c r="DU748" s="4"/>
      <c r="DV748" s="4"/>
      <c r="DW748" s="4"/>
      <c r="DX748" s="4"/>
      <c r="DY748" s="4"/>
      <c r="DZ748" s="4"/>
      <c r="EA748" s="4"/>
      <c r="EB748" s="4"/>
      <c r="EC748" s="4"/>
      <c r="ED748" s="4"/>
      <c r="EE748" s="4"/>
      <c r="EF748" s="4"/>
      <c r="EG748" s="4"/>
      <c r="EH748" s="4"/>
      <c r="EI748" s="4"/>
      <c r="EJ748" s="4"/>
      <c r="EK748" s="4"/>
      <c r="EL748" s="4"/>
      <c r="EM748" s="4"/>
      <c r="EN748" s="4"/>
      <c r="EO748" s="4"/>
      <c r="EP748" s="4"/>
      <c r="EQ748" s="4"/>
      <c r="ER748" s="4"/>
      <c r="ES748" s="4">
        <v>2.4</v>
      </c>
      <c r="ET748" s="4"/>
      <c r="EU748" s="4"/>
      <c r="EV748" s="4"/>
      <c r="EW748" s="4"/>
      <c r="EX748" s="4"/>
      <c r="EY748" s="4"/>
      <c r="EZ748" s="4"/>
      <c r="FA748" s="4"/>
      <c r="FB748" s="4"/>
      <c r="FC748" s="4"/>
      <c r="FD748" s="4"/>
      <c r="FE748" s="4"/>
      <c r="FF748" s="4"/>
      <c r="FG748" s="4"/>
      <c r="FH748" s="4"/>
      <c r="FI748" s="4"/>
      <c r="FJ748" s="4"/>
      <c r="FK748" s="4"/>
      <c r="FL748" s="4"/>
      <c r="FM748" s="4"/>
      <c r="FN748" s="4"/>
      <c r="FO748" s="4"/>
      <c r="FP748" s="4"/>
      <c r="FQ748" s="4"/>
      <c r="FR748" s="4"/>
      <c r="FS748" s="4"/>
      <c r="FT748" s="4"/>
      <c r="FU748" s="4"/>
      <c r="FV748" s="4"/>
      <c r="FW748" s="4"/>
      <c r="FX748" s="4"/>
      <c r="FY748" s="4"/>
      <c r="FZ748" s="4"/>
      <c r="GA748" s="4"/>
      <c r="GB748" s="4"/>
      <c r="GC748" s="4"/>
      <c r="GD748" s="4"/>
      <c r="GE748" s="4"/>
      <c r="GF748" s="4"/>
      <c r="GG748" s="4"/>
      <c r="GH748" s="4"/>
      <c r="GI748" s="4"/>
      <c r="GJ748" s="4"/>
      <c r="GK748" s="4"/>
      <c r="GL748" s="4"/>
      <c r="GM748" s="4"/>
      <c r="GN748" s="4"/>
      <c r="GO748" s="4"/>
      <c r="GP748" s="4"/>
      <c r="GQ748" s="4"/>
      <c r="GR748" s="4"/>
      <c r="GS748" s="4"/>
      <c r="GT748" s="4"/>
      <c r="GU748" s="4"/>
      <c r="GV748" s="4"/>
      <c r="GW748" s="4"/>
      <c r="GX748" s="4"/>
      <c r="GY748" s="4"/>
      <c r="GZ748" s="4"/>
      <c r="HA748" s="4"/>
      <c r="HB748" s="4"/>
      <c r="HC748" s="4"/>
      <c r="HD748" s="4"/>
      <c r="HE748" s="4"/>
      <c r="HF748" s="4"/>
      <c r="HG748" s="4"/>
      <c r="HH748" s="4"/>
      <c r="HI748" s="4"/>
      <c r="HJ748" s="4"/>
    </row>
  </sheetData>
  <autoFilter ref="A5:HJ748" xr:uid="{00000000-0001-0000-0000-000000000000}">
    <filterColumn colId="1">
      <customFilters>
        <customFilter val="*MU*"/>
        <customFilter val="*WDC*"/>
      </customFilters>
    </filterColumn>
    <sortState xmlns:xlrd2="http://schemas.microsoft.com/office/spreadsheetml/2017/richdata2" ref="A6:HJ748">
      <sortCondition descending="1" ref="F6:F748"/>
    </sortState>
  </autoFilter>
  <sortState xmlns:xlrd2="http://schemas.microsoft.com/office/spreadsheetml/2017/richdata2" ref="A7:HJ748">
    <sortCondition ref="A7:A748"/>
  </sortState>
  <conditionalFormatting sqref="K7:HJ748 K4:HJ4">
    <cfRule type="cellIs" dxfId="2" priority="1" stopIfTrue="1" operator="equal">
      <formula>K$1</formula>
    </cfRule>
    <cfRule type="cellIs" dxfId="1" priority="2" stopIfTrue="1" operator="equal">
      <formula>K$2</formula>
    </cfRule>
    <cfRule type="cellIs" dxfId="0" priority="3" stopIfTrue="1" operator="equal">
      <formula>K$3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0"/>
  <sheetViews>
    <sheetView workbookViewId="0"/>
  </sheetViews>
  <sheetFormatPr defaultRowHeight="15"/>
  <sheetData>
    <row r="1" spans="1:6">
      <c r="A1" s="1" t="s">
        <v>3168</v>
      </c>
      <c r="B1" s="1" t="s">
        <v>3169</v>
      </c>
      <c r="C1" s="1" t="s">
        <v>3170</v>
      </c>
      <c r="D1" s="1" t="s">
        <v>3171</v>
      </c>
      <c r="E1" s="1" t="s">
        <v>3172</v>
      </c>
      <c r="F1" s="1" t="s">
        <v>3173</v>
      </c>
    </row>
    <row r="2" spans="1:6">
      <c r="A2" t="s">
        <v>6</v>
      </c>
      <c r="B2">
        <v>10</v>
      </c>
      <c r="C2">
        <v>31.8522003</v>
      </c>
      <c r="D2">
        <v>3.18522003</v>
      </c>
      <c r="E2">
        <v>4.3214303000000003</v>
      </c>
      <c r="F2" t="s">
        <v>236</v>
      </c>
    </row>
    <row r="3" spans="1:6">
      <c r="A3" t="s">
        <v>7</v>
      </c>
      <c r="B3">
        <v>10</v>
      </c>
      <c r="C3">
        <v>39.029519999999998</v>
      </c>
      <c r="D3">
        <v>3.902952</v>
      </c>
      <c r="E3">
        <v>8.5628600000000006</v>
      </c>
      <c r="F3" t="s">
        <v>237</v>
      </c>
    </row>
    <row r="4" spans="1:6">
      <c r="A4" t="s">
        <v>8</v>
      </c>
      <c r="B4">
        <v>10</v>
      </c>
      <c r="C4">
        <v>54.523549799999998</v>
      </c>
      <c r="D4">
        <v>5.45235498</v>
      </c>
      <c r="E4">
        <v>6.7025199999999989</v>
      </c>
      <c r="F4" t="s">
        <v>238</v>
      </c>
    </row>
    <row r="5" spans="1:6">
      <c r="A5" t="s">
        <v>10</v>
      </c>
      <c r="B5">
        <v>10</v>
      </c>
      <c r="C5">
        <v>69.586020000000005</v>
      </c>
      <c r="D5">
        <v>6.958602</v>
      </c>
      <c r="E5">
        <v>13.59347</v>
      </c>
      <c r="F5" t="s">
        <v>239</v>
      </c>
    </row>
    <row r="6" spans="1:6">
      <c r="A6" t="s">
        <v>11</v>
      </c>
      <c r="B6">
        <v>10</v>
      </c>
      <c r="C6">
        <v>51.501930400000013</v>
      </c>
      <c r="D6">
        <v>5.1501930399999996</v>
      </c>
      <c r="E6">
        <v>7.909040000000001</v>
      </c>
      <c r="F6" t="s">
        <v>240</v>
      </c>
    </row>
    <row r="7" spans="1:6">
      <c r="A7" t="s">
        <v>12</v>
      </c>
      <c r="B7">
        <v>10</v>
      </c>
      <c r="C7">
        <v>42.673040100000001</v>
      </c>
      <c r="D7">
        <v>4.2673040099999993</v>
      </c>
      <c r="E7">
        <v>7.1124700000000001</v>
      </c>
      <c r="F7" t="s">
        <v>241</v>
      </c>
    </row>
    <row r="8" spans="1:6">
      <c r="A8" t="s">
        <v>14</v>
      </c>
      <c r="B8">
        <v>10</v>
      </c>
      <c r="C8">
        <v>40.805499500000003</v>
      </c>
      <c r="D8">
        <v>4.0805499499999991</v>
      </c>
      <c r="E8">
        <v>6.348139999999999</v>
      </c>
      <c r="F8" t="s">
        <v>242</v>
      </c>
    </row>
    <row r="9" spans="1:6">
      <c r="A9" t="s">
        <v>15</v>
      </c>
      <c r="B9">
        <v>10</v>
      </c>
      <c r="C9">
        <v>49.302299599999998</v>
      </c>
      <c r="D9">
        <v>4.9302299600000001</v>
      </c>
      <c r="E9">
        <v>12.2688904</v>
      </c>
      <c r="F9" t="s">
        <v>243</v>
      </c>
    </row>
    <row r="10" spans="1:6">
      <c r="A10" t="s">
        <v>16</v>
      </c>
      <c r="B10">
        <v>10</v>
      </c>
      <c r="C10">
        <v>77.527899599999998</v>
      </c>
      <c r="D10">
        <v>7.7527899599999994</v>
      </c>
      <c r="E10">
        <v>14.85604</v>
      </c>
      <c r="F10" t="s">
        <v>244</v>
      </c>
    </row>
    <row r="11" spans="1:6">
      <c r="A11" t="s">
        <v>17</v>
      </c>
      <c r="B11">
        <v>10</v>
      </c>
      <c r="C11">
        <v>32.152669899999999</v>
      </c>
      <c r="D11">
        <v>3.2152669899999999</v>
      </c>
      <c r="E11">
        <v>4.0771297999999998</v>
      </c>
      <c r="F11" t="s">
        <v>245</v>
      </c>
    </row>
    <row r="12" spans="1:6">
      <c r="A12" t="s">
        <v>18</v>
      </c>
      <c r="B12">
        <v>10</v>
      </c>
      <c r="C12">
        <v>24.441480200000001</v>
      </c>
      <c r="D12">
        <v>2.4441480200000001</v>
      </c>
      <c r="E12">
        <v>3.3544198000000001</v>
      </c>
      <c r="F12" t="s">
        <v>246</v>
      </c>
    </row>
    <row r="13" spans="1:6">
      <c r="A13" t="s">
        <v>19</v>
      </c>
      <c r="B13">
        <v>10</v>
      </c>
      <c r="C13">
        <v>33.470180300000003</v>
      </c>
      <c r="D13">
        <v>3.3470180300000001</v>
      </c>
      <c r="E13">
        <v>4.9340200000000003</v>
      </c>
      <c r="F13" t="s">
        <v>247</v>
      </c>
    </row>
    <row r="14" spans="1:6">
      <c r="A14" t="s">
        <v>20</v>
      </c>
      <c r="B14">
        <v>2</v>
      </c>
      <c r="C14">
        <v>8.1032399999999996</v>
      </c>
      <c r="D14">
        <v>4.0516199999999998</v>
      </c>
      <c r="E14">
        <v>7.3391000000000002</v>
      </c>
      <c r="F14" t="s">
        <v>248</v>
      </c>
    </row>
    <row r="15" spans="1:6">
      <c r="A15" t="s">
        <v>21</v>
      </c>
      <c r="B15">
        <v>10</v>
      </c>
      <c r="C15">
        <v>56.4263002</v>
      </c>
      <c r="D15">
        <v>5.6426300200000004</v>
      </c>
      <c r="E15">
        <v>12.71759</v>
      </c>
      <c r="F15" t="s">
        <v>249</v>
      </c>
    </row>
    <row r="16" spans="1:6">
      <c r="A16" t="s">
        <v>22</v>
      </c>
      <c r="B16">
        <v>10</v>
      </c>
      <c r="C16">
        <v>44.006229500000003</v>
      </c>
      <c r="D16">
        <v>4.4006229499999998</v>
      </c>
      <c r="E16">
        <v>8.8266893999999994</v>
      </c>
      <c r="F16" t="s">
        <v>250</v>
      </c>
    </row>
    <row r="17" spans="1:6">
      <c r="A17" t="s">
        <v>23</v>
      </c>
      <c r="B17">
        <v>10</v>
      </c>
      <c r="C17">
        <v>55.685379900000001</v>
      </c>
      <c r="D17">
        <v>5.5685379899999994</v>
      </c>
      <c r="E17">
        <v>10.15014</v>
      </c>
      <c r="F17" t="s">
        <v>251</v>
      </c>
    </row>
    <row r="18" spans="1:6">
      <c r="A18" t="s">
        <v>24</v>
      </c>
      <c r="B18">
        <v>9</v>
      </c>
      <c r="C18">
        <v>47.246230799999999</v>
      </c>
      <c r="D18">
        <v>5.2495812000000006</v>
      </c>
      <c r="E18">
        <v>9.4266004999999993</v>
      </c>
      <c r="F18" t="s">
        <v>252</v>
      </c>
    </row>
    <row r="19" spans="1:6">
      <c r="A19" t="s">
        <v>25</v>
      </c>
      <c r="B19">
        <v>10</v>
      </c>
      <c r="C19">
        <v>57.815040199999999</v>
      </c>
      <c r="D19">
        <v>5.7815040199999999</v>
      </c>
      <c r="E19">
        <v>8.7416603999999989</v>
      </c>
      <c r="F19" t="s">
        <v>253</v>
      </c>
    </row>
    <row r="20" spans="1:6">
      <c r="A20" t="s">
        <v>26</v>
      </c>
      <c r="B20">
        <v>10</v>
      </c>
      <c r="C20">
        <v>49.624670100000003</v>
      </c>
      <c r="D20">
        <v>4.9624670100000001</v>
      </c>
      <c r="E20">
        <v>7.4766203999999998</v>
      </c>
      <c r="F20" t="s">
        <v>254</v>
      </c>
    </row>
    <row r="21" spans="1:6">
      <c r="A21" t="s">
        <v>27</v>
      </c>
      <c r="B21">
        <v>10</v>
      </c>
      <c r="C21">
        <v>46.643239800000003</v>
      </c>
      <c r="D21">
        <v>4.6643239799999998</v>
      </c>
      <c r="E21">
        <v>7.2990599999999999</v>
      </c>
      <c r="F21" t="s">
        <v>255</v>
      </c>
    </row>
    <row r="22" spans="1:6">
      <c r="A22" t="s">
        <v>28</v>
      </c>
      <c r="B22">
        <v>10</v>
      </c>
      <c r="C22">
        <v>29.295189700000002</v>
      </c>
      <c r="D22">
        <v>2.9295189700000002</v>
      </c>
      <c r="E22">
        <v>4.6001200000000004</v>
      </c>
      <c r="F22" t="s">
        <v>256</v>
      </c>
    </row>
    <row r="23" spans="1:6">
      <c r="A23" t="s">
        <v>29</v>
      </c>
      <c r="B23">
        <v>10</v>
      </c>
      <c r="C23">
        <v>37.165849799999997</v>
      </c>
      <c r="D23">
        <v>3.7165849799999999</v>
      </c>
      <c r="E23">
        <v>6.00542</v>
      </c>
      <c r="F23" t="s">
        <v>257</v>
      </c>
    </row>
    <row r="24" spans="1:6">
      <c r="A24" t="s">
        <v>30</v>
      </c>
      <c r="B24">
        <v>10</v>
      </c>
      <c r="C24">
        <v>37.700829800000001</v>
      </c>
      <c r="D24">
        <v>3.7700829800000002</v>
      </c>
      <c r="E24">
        <v>5.33826</v>
      </c>
      <c r="F24" t="s">
        <v>258</v>
      </c>
    </row>
    <row r="25" spans="1:6">
      <c r="A25" t="s">
        <v>31</v>
      </c>
      <c r="B25">
        <v>10</v>
      </c>
      <c r="C25">
        <v>50.062679499999987</v>
      </c>
      <c r="D25">
        <v>5.0062679499999998</v>
      </c>
      <c r="E25">
        <v>6.0986199999999986</v>
      </c>
      <c r="F25" t="s">
        <v>259</v>
      </c>
    </row>
    <row r="26" spans="1:6">
      <c r="A26" t="s">
        <v>32</v>
      </c>
      <c r="B26">
        <v>10</v>
      </c>
      <c r="C26">
        <v>58.652410600000003</v>
      </c>
      <c r="D26">
        <v>5.8652410600000007</v>
      </c>
      <c r="E26">
        <v>9.2843800000000005</v>
      </c>
      <c r="F26" t="s">
        <v>260</v>
      </c>
    </row>
    <row r="27" spans="1:6">
      <c r="A27" t="s">
        <v>33</v>
      </c>
      <c r="B27">
        <v>10</v>
      </c>
      <c r="C27">
        <v>59.6782495</v>
      </c>
      <c r="D27">
        <v>5.9678249500000007</v>
      </c>
      <c r="E27">
        <v>7.4520799999999996</v>
      </c>
      <c r="F27" t="s">
        <v>261</v>
      </c>
    </row>
    <row r="28" spans="1:6">
      <c r="A28" t="s">
        <v>34</v>
      </c>
      <c r="B28">
        <v>10</v>
      </c>
      <c r="C28">
        <v>65.14145959999999</v>
      </c>
      <c r="D28">
        <v>6.5141459599999996</v>
      </c>
      <c r="E28">
        <v>9.3803789999999996</v>
      </c>
      <c r="F28" t="s">
        <v>262</v>
      </c>
    </row>
    <row r="29" spans="1:6">
      <c r="A29" t="s">
        <v>35</v>
      </c>
      <c r="B29">
        <v>10</v>
      </c>
      <c r="C29">
        <v>33.272519699999997</v>
      </c>
      <c r="D29">
        <v>3.3272519699999998</v>
      </c>
      <c r="E29">
        <v>3.86212</v>
      </c>
      <c r="F29" t="s">
        <v>263</v>
      </c>
    </row>
    <row r="30" spans="1:6">
      <c r="A30" t="s">
        <v>36</v>
      </c>
      <c r="B30">
        <v>10</v>
      </c>
      <c r="C30">
        <v>57.033939599999997</v>
      </c>
      <c r="D30">
        <v>5.7033939600000014</v>
      </c>
      <c r="E30">
        <v>8.30945</v>
      </c>
      <c r="F30" t="s">
        <v>264</v>
      </c>
    </row>
    <row r="31" spans="1:6">
      <c r="A31" t="s">
        <v>37</v>
      </c>
      <c r="B31">
        <v>10</v>
      </c>
      <c r="C31">
        <v>49.463020899999997</v>
      </c>
      <c r="D31">
        <v>4.9463020900000014</v>
      </c>
      <c r="E31">
        <v>6.1504102999999999</v>
      </c>
      <c r="F31" t="s">
        <v>265</v>
      </c>
    </row>
    <row r="32" spans="1:6">
      <c r="A32" t="s">
        <v>38</v>
      </c>
      <c r="B32">
        <v>10</v>
      </c>
      <c r="C32">
        <v>49.385990399999997</v>
      </c>
      <c r="D32">
        <v>4.9385990400000006</v>
      </c>
      <c r="E32">
        <v>6.8207405999999997</v>
      </c>
      <c r="F32" t="s">
        <v>266</v>
      </c>
    </row>
    <row r="33" spans="1:6">
      <c r="A33" t="s">
        <v>39</v>
      </c>
      <c r="B33">
        <v>10</v>
      </c>
      <c r="C33">
        <v>71.410539999999997</v>
      </c>
      <c r="D33">
        <v>7.1410539999999996</v>
      </c>
      <c r="E33">
        <v>9.9228000000000005</v>
      </c>
      <c r="F33" t="s">
        <v>267</v>
      </c>
    </row>
    <row r="34" spans="1:6">
      <c r="A34" t="s">
        <v>40</v>
      </c>
      <c r="B34">
        <v>10</v>
      </c>
      <c r="C34">
        <v>53.555480699999997</v>
      </c>
      <c r="D34">
        <v>5.3555480700000002</v>
      </c>
      <c r="E34">
        <v>6.4505000000000008</v>
      </c>
      <c r="F34" t="s">
        <v>268</v>
      </c>
    </row>
    <row r="35" spans="1:6">
      <c r="A35" t="s">
        <v>41</v>
      </c>
      <c r="B35">
        <v>10</v>
      </c>
      <c r="C35">
        <v>62.734119999999997</v>
      </c>
      <c r="D35">
        <v>6.2734120000000004</v>
      </c>
      <c r="E35">
        <v>10.92783</v>
      </c>
      <c r="F35" t="s">
        <v>269</v>
      </c>
    </row>
    <row r="36" spans="1:6">
      <c r="A36" t="s">
        <v>42</v>
      </c>
      <c r="B36">
        <v>10</v>
      </c>
      <c r="C36">
        <v>47.573650899999997</v>
      </c>
      <c r="D36">
        <v>4.7573650900000004</v>
      </c>
      <c r="E36">
        <v>6.2925400000000007</v>
      </c>
      <c r="F36" t="s">
        <v>270</v>
      </c>
    </row>
    <row r="37" spans="1:6">
      <c r="A37" t="s">
        <v>43</v>
      </c>
      <c r="B37">
        <v>10</v>
      </c>
      <c r="C37">
        <v>47.648960299999999</v>
      </c>
      <c r="D37">
        <v>4.7648960300000001</v>
      </c>
      <c r="E37">
        <v>6.3427199999999999</v>
      </c>
      <c r="F37" t="s">
        <v>271</v>
      </c>
    </row>
    <row r="38" spans="1:6">
      <c r="A38" t="s">
        <v>44</v>
      </c>
      <c r="B38">
        <v>1</v>
      </c>
      <c r="C38">
        <v>6.7742499999999994</v>
      </c>
      <c r="D38">
        <v>6.7742499999999994</v>
      </c>
      <c r="E38">
        <v>6.7742499999999994</v>
      </c>
      <c r="F38" t="s">
        <v>272</v>
      </c>
    </row>
    <row r="39" spans="1:6">
      <c r="A39" t="s">
        <v>46</v>
      </c>
      <c r="B39">
        <v>10</v>
      </c>
      <c r="C39">
        <v>54.7978101</v>
      </c>
      <c r="D39">
        <v>5.47978101</v>
      </c>
      <c r="E39">
        <v>10.092359999999999</v>
      </c>
      <c r="F39" t="s">
        <v>273</v>
      </c>
    </row>
    <row r="40" spans="1:6">
      <c r="A40" t="s">
        <v>47</v>
      </c>
      <c r="B40">
        <v>9</v>
      </c>
      <c r="C40">
        <v>100.008438</v>
      </c>
      <c r="D40">
        <v>11.11204866666667</v>
      </c>
      <c r="E40">
        <v>19.740379000000001</v>
      </c>
      <c r="F40" t="s">
        <v>274</v>
      </c>
    </row>
    <row r="41" spans="1:6">
      <c r="A41" t="s">
        <v>48</v>
      </c>
      <c r="B41">
        <v>7</v>
      </c>
      <c r="C41">
        <v>76.694240000000008</v>
      </c>
      <c r="D41">
        <v>10.95632</v>
      </c>
      <c r="E41">
        <v>24.74502</v>
      </c>
      <c r="F41" t="s">
        <v>275</v>
      </c>
    </row>
    <row r="42" spans="1:6">
      <c r="A42" t="s">
        <v>49</v>
      </c>
      <c r="B42">
        <v>10</v>
      </c>
      <c r="C42">
        <v>68.349169000000003</v>
      </c>
      <c r="D42">
        <v>6.8349169000000014</v>
      </c>
      <c r="E42">
        <v>9.8800495000000002</v>
      </c>
      <c r="F42" t="s">
        <v>276</v>
      </c>
    </row>
    <row r="43" spans="1:6">
      <c r="A43" t="s">
        <v>50</v>
      </c>
      <c r="B43">
        <v>10</v>
      </c>
      <c r="C43">
        <v>26.881220299999999</v>
      </c>
      <c r="D43">
        <v>2.6881220300000002</v>
      </c>
      <c r="E43">
        <v>5.0030600000000014</v>
      </c>
      <c r="F43" t="s">
        <v>277</v>
      </c>
    </row>
    <row r="44" spans="1:6">
      <c r="A44" t="s">
        <v>51</v>
      </c>
      <c r="B44">
        <v>10</v>
      </c>
      <c r="C44">
        <v>66.215749799999998</v>
      </c>
      <c r="D44">
        <v>6.6215749800000001</v>
      </c>
      <c r="E44">
        <v>12.216519999999999</v>
      </c>
      <c r="F44" t="s">
        <v>278</v>
      </c>
    </row>
    <row r="45" spans="1:6">
      <c r="A45" t="s">
        <v>52</v>
      </c>
      <c r="B45">
        <v>10</v>
      </c>
      <c r="C45">
        <v>58.527000899999997</v>
      </c>
      <c r="D45">
        <v>5.8527000899999999</v>
      </c>
      <c r="E45">
        <v>7.4829005000000004</v>
      </c>
      <c r="F45" t="s">
        <v>279</v>
      </c>
    </row>
    <row r="46" spans="1:6">
      <c r="A46" t="s">
        <v>53</v>
      </c>
      <c r="B46">
        <v>10</v>
      </c>
      <c r="C46">
        <v>42.799820400000002</v>
      </c>
      <c r="D46">
        <v>4.2799820400000002</v>
      </c>
      <c r="E46">
        <v>4.8544900000000002</v>
      </c>
      <c r="F46" t="s">
        <v>280</v>
      </c>
    </row>
    <row r="47" spans="1:6">
      <c r="A47" t="s">
        <v>54</v>
      </c>
      <c r="B47">
        <v>10</v>
      </c>
      <c r="C47">
        <v>46.318270499999997</v>
      </c>
      <c r="D47">
        <v>4.6318270500000001</v>
      </c>
      <c r="E47">
        <v>5.5759000000000007</v>
      </c>
      <c r="F47" t="s">
        <v>281</v>
      </c>
    </row>
    <row r="48" spans="1:6">
      <c r="A48" t="s">
        <v>55</v>
      </c>
      <c r="B48">
        <v>10</v>
      </c>
      <c r="C48">
        <v>22.896479800000002</v>
      </c>
      <c r="D48">
        <v>2.2896479799999998</v>
      </c>
      <c r="E48">
        <v>2.8549699999999998</v>
      </c>
      <c r="F48" t="s">
        <v>282</v>
      </c>
    </row>
    <row r="49" spans="1:6">
      <c r="A49" t="s">
        <v>56</v>
      </c>
      <c r="B49">
        <v>10</v>
      </c>
      <c r="C49">
        <v>40.858891100000001</v>
      </c>
      <c r="D49">
        <v>4.0858891100000001</v>
      </c>
      <c r="E49">
        <v>15.15906</v>
      </c>
      <c r="F49" t="s">
        <v>283</v>
      </c>
    </row>
    <row r="50" spans="1:6">
      <c r="A50" t="s">
        <v>57</v>
      </c>
      <c r="B50">
        <v>10</v>
      </c>
      <c r="C50">
        <v>14.443099999999999</v>
      </c>
      <c r="D50">
        <v>1.44431</v>
      </c>
      <c r="E50">
        <v>3.0985999999999998</v>
      </c>
      <c r="F50" t="s">
        <v>284</v>
      </c>
    </row>
    <row r="51" spans="1:6">
      <c r="A51" t="s">
        <v>58</v>
      </c>
      <c r="B51">
        <v>10</v>
      </c>
      <c r="C51">
        <v>49.381020499999998</v>
      </c>
      <c r="D51">
        <v>4.9381020499999986</v>
      </c>
      <c r="E51">
        <v>6.5501900000000006</v>
      </c>
      <c r="F51" t="s">
        <v>285</v>
      </c>
    </row>
    <row r="52" spans="1:6">
      <c r="A52" t="s">
        <v>59</v>
      </c>
      <c r="B52">
        <v>10</v>
      </c>
      <c r="C52">
        <v>13.811179900000001</v>
      </c>
      <c r="D52">
        <v>1.3811179899999999</v>
      </c>
      <c r="E52">
        <v>1.7421800000000001</v>
      </c>
      <c r="F52" t="s">
        <v>286</v>
      </c>
    </row>
    <row r="53" spans="1:6">
      <c r="A53" t="s">
        <v>60</v>
      </c>
      <c r="B53">
        <v>10</v>
      </c>
      <c r="C53">
        <v>59.844030099999998</v>
      </c>
      <c r="D53">
        <v>5.9844030100000003</v>
      </c>
      <c r="E53">
        <v>10.243969999999999</v>
      </c>
      <c r="F53" t="s">
        <v>287</v>
      </c>
    </row>
    <row r="54" spans="1:6">
      <c r="A54" t="s">
        <v>61</v>
      </c>
      <c r="B54">
        <v>10</v>
      </c>
      <c r="C54">
        <v>41.835578900000002</v>
      </c>
      <c r="D54">
        <v>4.1835578900000003</v>
      </c>
      <c r="E54">
        <v>7.3822595000000009</v>
      </c>
      <c r="F54" t="s">
        <v>288</v>
      </c>
    </row>
    <row r="55" spans="1:6">
      <c r="A55" t="s">
        <v>62</v>
      </c>
      <c r="B55">
        <v>10</v>
      </c>
      <c r="C55">
        <v>57.860041199999998</v>
      </c>
      <c r="D55">
        <v>5.7860041200000003</v>
      </c>
      <c r="E55">
        <v>8.3653899999999997</v>
      </c>
      <c r="F55" t="s">
        <v>289</v>
      </c>
    </row>
    <row r="56" spans="1:6">
      <c r="A56" t="s">
        <v>63</v>
      </c>
      <c r="B56">
        <v>10</v>
      </c>
      <c r="C56">
        <v>60.387100599999997</v>
      </c>
      <c r="D56">
        <v>6.0387100599999997</v>
      </c>
      <c r="E56">
        <v>8.3405400000000007</v>
      </c>
      <c r="F56" t="s">
        <v>290</v>
      </c>
    </row>
    <row r="57" spans="1:6">
      <c r="A57" t="s">
        <v>64</v>
      </c>
      <c r="B57">
        <v>10</v>
      </c>
      <c r="C57">
        <v>39.117809800000003</v>
      </c>
      <c r="D57">
        <v>3.9117809800000001</v>
      </c>
      <c r="E57">
        <v>7.5015499999999999</v>
      </c>
      <c r="F57" t="s">
        <v>291</v>
      </c>
    </row>
    <row r="58" spans="1:6">
      <c r="A58" t="s">
        <v>65</v>
      </c>
      <c r="B58">
        <v>10</v>
      </c>
      <c r="C58">
        <v>38.251329599999998</v>
      </c>
      <c r="D58">
        <v>3.8251329599999999</v>
      </c>
      <c r="E58">
        <v>4.4234299999999998</v>
      </c>
      <c r="F58" t="s">
        <v>292</v>
      </c>
    </row>
    <row r="59" spans="1:6">
      <c r="A59" t="s">
        <v>67</v>
      </c>
      <c r="B59">
        <v>10</v>
      </c>
      <c r="C59">
        <v>23.299409799999999</v>
      </c>
      <c r="D59">
        <v>2.3299409799999991</v>
      </c>
      <c r="E59">
        <v>4.1106100000000003</v>
      </c>
      <c r="F59" t="s">
        <v>293</v>
      </c>
    </row>
    <row r="60" spans="1:6">
      <c r="A60" t="s">
        <v>68</v>
      </c>
      <c r="B60">
        <v>10</v>
      </c>
      <c r="C60">
        <v>62.467310500000004</v>
      </c>
      <c r="D60">
        <v>6.2467310500000002</v>
      </c>
      <c r="E60">
        <v>7.6842300000000003</v>
      </c>
      <c r="F60" t="s">
        <v>294</v>
      </c>
    </row>
    <row r="61" spans="1:6">
      <c r="A61" t="s">
        <v>69</v>
      </c>
      <c r="B61">
        <v>10</v>
      </c>
      <c r="C61">
        <v>53.443899900000012</v>
      </c>
      <c r="D61">
        <v>5.3443899899999998</v>
      </c>
      <c r="E61">
        <v>8.2520800000000012</v>
      </c>
      <c r="F61" t="s">
        <v>295</v>
      </c>
    </row>
    <row r="62" spans="1:6">
      <c r="A62" t="s">
        <v>70</v>
      </c>
      <c r="B62">
        <v>10</v>
      </c>
      <c r="C62">
        <v>41.089199999999998</v>
      </c>
      <c r="D62">
        <v>4.1089200000000003</v>
      </c>
      <c r="E62">
        <v>6.6426200000000009</v>
      </c>
      <c r="F62" t="s">
        <v>296</v>
      </c>
    </row>
    <row r="63" spans="1:6">
      <c r="A63" t="s">
        <v>71</v>
      </c>
      <c r="B63">
        <v>10</v>
      </c>
      <c r="C63">
        <v>61.157829200000002</v>
      </c>
      <c r="D63">
        <v>6.11578292</v>
      </c>
      <c r="E63">
        <v>10.9956</v>
      </c>
      <c r="F63" t="s">
        <v>297</v>
      </c>
    </row>
    <row r="64" spans="1:6">
      <c r="A64" t="s">
        <v>72</v>
      </c>
      <c r="B64">
        <v>10</v>
      </c>
      <c r="C64">
        <v>64.724509499999996</v>
      </c>
      <c r="D64">
        <v>6.4724509499999998</v>
      </c>
      <c r="E64">
        <v>9.8148695999999997</v>
      </c>
      <c r="F64" t="s">
        <v>298</v>
      </c>
    </row>
    <row r="65" spans="1:6">
      <c r="A65" t="s">
        <v>73</v>
      </c>
      <c r="B65">
        <v>10</v>
      </c>
      <c r="C65">
        <v>52.241579999999999</v>
      </c>
      <c r="D65">
        <v>5.2241579999999992</v>
      </c>
      <c r="E65">
        <v>9.3635800000000007</v>
      </c>
      <c r="F65" t="s">
        <v>299</v>
      </c>
    </row>
    <row r="66" spans="1:6">
      <c r="A66" t="s">
        <v>74</v>
      </c>
      <c r="B66">
        <v>10</v>
      </c>
      <c r="C66">
        <v>63.316890100000002</v>
      </c>
      <c r="D66">
        <v>6.3316890099999998</v>
      </c>
      <c r="E66">
        <v>21.068999999999999</v>
      </c>
      <c r="F66" t="s">
        <v>300</v>
      </c>
    </row>
    <row r="67" spans="1:6">
      <c r="A67" t="s">
        <v>75</v>
      </c>
      <c r="B67">
        <v>10</v>
      </c>
      <c r="C67">
        <v>55.417269700000013</v>
      </c>
      <c r="D67">
        <v>5.5417269700000009</v>
      </c>
      <c r="E67">
        <v>14.87453</v>
      </c>
      <c r="F67" t="s">
        <v>301</v>
      </c>
    </row>
    <row r="68" spans="1:6">
      <c r="A68" t="s">
        <v>76</v>
      </c>
      <c r="B68">
        <v>10</v>
      </c>
      <c r="C68">
        <v>63.843619199999999</v>
      </c>
      <c r="D68">
        <v>6.3843619200000008</v>
      </c>
      <c r="E68">
        <v>8.2201699999999995</v>
      </c>
      <c r="F68" t="s">
        <v>302</v>
      </c>
    </row>
    <row r="69" spans="1:6">
      <c r="A69" t="s">
        <v>77</v>
      </c>
      <c r="B69">
        <v>10</v>
      </c>
      <c r="C69">
        <v>59.102598949999987</v>
      </c>
      <c r="D69">
        <v>5.9102598949999994</v>
      </c>
      <c r="E69">
        <v>16.732980000000001</v>
      </c>
      <c r="F69" t="s">
        <v>303</v>
      </c>
    </row>
    <row r="70" spans="1:6">
      <c r="A70" t="s">
        <v>78</v>
      </c>
      <c r="B70">
        <v>10</v>
      </c>
      <c r="C70">
        <v>67.227218899999997</v>
      </c>
      <c r="D70">
        <v>6.7227218899999999</v>
      </c>
      <c r="E70">
        <v>11.98714</v>
      </c>
      <c r="F70" t="s">
        <v>304</v>
      </c>
    </row>
    <row r="71" spans="1:6">
      <c r="A71" t="s">
        <v>79</v>
      </c>
      <c r="B71">
        <v>10</v>
      </c>
      <c r="C71">
        <v>53.695489799999997</v>
      </c>
      <c r="D71">
        <v>5.3695489799999994</v>
      </c>
      <c r="E71">
        <v>7.5559900000000004</v>
      </c>
      <c r="F71" t="s">
        <v>305</v>
      </c>
    </row>
    <row r="72" spans="1:6">
      <c r="A72" t="s">
        <v>80</v>
      </c>
      <c r="B72">
        <v>10</v>
      </c>
      <c r="C72">
        <v>13.414600099999999</v>
      </c>
      <c r="D72">
        <v>1.34146001</v>
      </c>
      <c r="E72">
        <v>1.92679</v>
      </c>
      <c r="F72" t="s">
        <v>306</v>
      </c>
    </row>
    <row r="73" spans="1:6">
      <c r="A73" t="s">
        <v>81</v>
      </c>
      <c r="B73">
        <v>10</v>
      </c>
      <c r="C73">
        <v>45.161150500000012</v>
      </c>
      <c r="D73">
        <v>4.5161150500000007</v>
      </c>
      <c r="E73">
        <v>6.3374899999999998</v>
      </c>
      <c r="F73" t="s">
        <v>307</v>
      </c>
    </row>
    <row r="74" spans="1:6">
      <c r="A74" t="s">
        <v>82</v>
      </c>
      <c r="B74">
        <v>10</v>
      </c>
      <c r="C74">
        <v>49.735830100000001</v>
      </c>
      <c r="D74">
        <v>4.9735830099999996</v>
      </c>
      <c r="E74">
        <v>5.9530903000000004</v>
      </c>
      <c r="F74" t="s">
        <v>308</v>
      </c>
    </row>
    <row r="75" spans="1:6">
      <c r="A75" t="s">
        <v>83</v>
      </c>
      <c r="B75">
        <v>10</v>
      </c>
      <c r="C75">
        <v>38.334430300000001</v>
      </c>
      <c r="D75">
        <v>3.8334430300000002</v>
      </c>
      <c r="E75">
        <v>5.5081703000000006</v>
      </c>
      <c r="F75" t="s">
        <v>309</v>
      </c>
    </row>
    <row r="76" spans="1:6">
      <c r="A76" t="s">
        <v>84</v>
      </c>
      <c r="B76">
        <v>10</v>
      </c>
      <c r="C76">
        <v>54.352030500000012</v>
      </c>
      <c r="D76">
        <v>5.4352030500000001</v>
      </c>
      <c r="E76">
        <v>8.7289099999999991</v>
      </c>
      <c r="F76" t="s">
        <v>310</v>
      </c>
    </row>
    <row r="77" spans="1:6">
      <c r="A77" t="s">
        <v>85</v>
      </c>
      <c r="B77">
        <v>10</v>
      </c>
      <c r="C77">
        <v>30.256319600000001</v>
      </c>
      <c r="D77">
        <v>3.0256319600000001</v>
      </c>
      <c r="E77">
        <v>4.6179198000000001</v>
      </c>
      <c r="F77" t="s">
        <v>261</v>
      </c>
    </row>
    <row r="78" spans="1:6">
      <c r="A78" t="s">
        <v>86</v>
      </c>
      <c r="B78">
        <v>10</v>
      </c>
      <c r="C78">
        <v>52.742090100000013</v>
      </c>
      <c r="D78">
        <v>5.2742090100000008</v>
      </c>
      <c r="E78">
        <v>6.2422800000000001</v>
      </c>
      <c r="F78" t="s">
        <v>311</v>
      </c>
    </row>
    <row r="79" spans="1:6">
      <c r="A79" t="s">
        <v>87</v>
      </c>
      <c r="B79">
        <v>10</v>
      </c>
      <c r="C79">
        <v>59.575140400000002</v>
      </c>
      <c r="D79">
        <v>5.9575140400000004</v>
      </c>
      <c r="E79">
        <v>9.8532303999999993</v>
      </c>
      <c r="F79" t="s">
        <v>312</v>
      </c>
    </row>
    <row r="80" spans="1:6">
      <c r="A80" t="s">
        <v>88</v>
      </c>
      <c r="B80">
        <v>10</v>
      </c>
      <c r="C80">
        <v>77.903160200000002</v>
      </c>
      <c r="D80">
        <v>7.7903160200000006</v>
      </c>
      <c r="E80">
        <v>29.342140000000001</v>
      </c>
      <c r="F80" t="s">
        <v>313</v>
      </c>
    </row>
    <row r="81" spans="1:6">
      <c r="A81" t="s">
        <v>89</v>
      </c>
      <c r="B81">
        <v>10</v>
      </c>
      <c r="C81">
        <v>59.815250200000001</v>
      </c>
      <c r="D81">
        <v>5.9815250200000003</v>
      </c>
      <c r="E81">
        <v>7.7840699999999998</v>
      </c>
      <c r="F81" t="s">
        <v>314</v>
      </c>
    </row>
    <row r="82" spans="1:6">
      <c r="A82" t="s">
        <v>90</v>
      </c>
      <c r="B82">
        <v>10</v>
      </c>
      <c r="C82">
        <v>56.797249100000002</v>
      </c>
      <c r="D82">
        <v>5.67972491</v>
      </c>
      <c r="E82">
        <v>8.3084099999999985</v>
      </c>
      <c r="F82" t="s">
        <v>315</v>
      </c>
    </row>
    <row r="83" spans="1:6">
      <c r="A83" t="s">
        <v>91</v>
      </c>
      <c r="B83">
        <v>10</v>
      </c>
      <c r="C83">
        <v>42.401360199999999</v>
      </c>
      <c r="D83">
        <v>4.2401360199999996</v>
      </c>
      <c r="E83">
        <v>4.8958000000000004</v>
      </c>
      <c r="F83" t="s">
        <v>316</v>
      </c>
    </row>
    <row r="84" spans="1:6">
      <c r="A84" t="s">
        <v>92</v>
      </c>
      <c r="B84">
        <v>10</v>
      </c>
      <c r="C84">
        <v>24.335099899999999</v>
      </c>
      <c r="D84">
        <v>2.4335099900000001</v>
      </c>
      <c r="E84">
        <v>2.83365</v>
      </c>
      <c r="F84" t="s">
        <v>317</v>
      </c>
    </row>
    <row r="85" spans="1:6">
      <c r="A85" t="s">
        <v>93</v>
      </c>
      <c r="B85">
        <v>10</v>
      </c>
      <c r="C85">
        <v>44.773560699999997</v>
      </c>
      <c r="D85">
        <v>4.4773560699999999</v>
      </c>
      <c r="E85">
        <v>8.5542300000000004</v>
      </c>
      <c r="F85" t="s">
        <v>318</v>
      </c>
    </row>
    <row r="86" spans="1:6">
      <c r="A86" t="s">
        <v>94</v>
      </c>
      <c r="B86">
        <v>10</v>
      </c>
      <c r="C86">
        <v>52.213860599999997</v>
      </c>
      <c r="D86">
        <v>5.2213860600000013</v>
      </c>
      <c r="E86">
        <v>9.1044999999999998</v>
      </c>
      <c r="F86" t="s">
        <v>319</v>
      </c>
    </row>
    <row r="87" spans="1:6">
      <c r="A87" t="s">
        <v>95</v>
      </c>
      <c r="B87">
        <v>10</v>
      </c>
      <c r="C87">
        <v>41.595250500000013</v>
      </c>
      <c r="D87">
        <v>4.1595250500000001</v>
      </c>
      <c r="E87">
        <v>5.2717197999999996</v>
      </c>
      <c r="F87" t="s">
        <v>320</v>
      </c>
    </row>
    <row r="88" spans="1:6">
      <c r="A88" t="s">
        <v>96</v>
      </c>
      <c r="B88">
        <v>10</v>
      </c>
      <c r="C88">
        <v>83.5051998</v>
      </c>
      <c r="D88">
        <v>8.3505199799999996</v>
      </c>
      <c r="E88">
        <v>16.19369</v>
      </c>
      <c r="F88" t="s">
        <v>321</v>
      </c>
    </row>
    <row r="89" spans="1:6">
      <c r="A89" t="s">
        <v>97</v>
      </c>
      <c r="B89">
        <v>10</v>
      </c>
      <c r="C89">
        <v>59.314010000000003</v>
      </c>
      <c r="D89">
        <v>5.931401000000001</v>
      </c>
      <c r="E89">
        <v>11.106849499999999</v>
      </c>
      <c r="F89" t="s">
        <v>322</v>
      </c>
    </row>
    <row r="90" spans="1:6">
      <c r="A90" t="s">
        <v>98</v>
      </c>
      <c r="B90">
        <v>10</v>
      </c>
      <c r="C90">
        <v>40.752229800000002</v>
      </c>
      <c r="D90">
        <v>4.0752229799999986</v>
      </c>
      <c r="E90">
        <v>5.8524900000000004</v>
      </c>
      <c r="F90" t="s">
        <v>323</v>
      </c>
    </row>
    <row r="91" spans="1:6">
      <c r="A91" t="s">
        <v>99</v>
      </c>
      <c r="B91">
        <v>10</v>
      </c>
      <c r="C91">
        <v>26.335610200000001</v>
      </c>
      <c r="D91">
        <v>2.6335610200000001</v>
      </c>
      <c r="E91">
        <v>2.9810699999999999</v>
      </c>
      <c r="F91" t="s">
        <v>324</v>
      </c>
    </row>
    <row r="92" spans="1:6">
      <c r="A92" t="s">
        <v>100</v>
      </c>
      <c r="B92">
        <v>10</v>
      </c>
      <c r="C92">
        <v>55.079151000000003</v>
      </c>
      <c r="D92">
        <v>5.5079151000000008</v>
      </c>
      <c r="E92">
        <v>12.1412605</v>
      </c>
      <c r="F92" t="s">
        <v>325</v>
      </c>
    </row>
    <row r="93" spans="1:6">
      <c r="A93" t="s">
        <v>101</v>
      </c>
      <c r="B93">
        <v>10</v>
      </c>
      <c r="C93">
        <v>31.924969600000001</v>
      </c>
      <c r="D93">
        <v>3.192496960000001</v>
      </c>
      <c r="E93">
        <v>3.8242098000000002</v>
      </c>
      <c r="F93" t="s">
        <v>326</v>
      </c>
    </row>
    <row r="94" spans="1:6">
      <c r="A94" t="s">
        <v>102</v>
      </c>
      <c r="B94">
        <v>10</v>
      </c>
      <c r="C94">
        <v>41.566600399999999</v>
      </c>
      <c r="D94">
        <v>4.1566600400000002</v>
      </c>
      <c r="E94">
        <v>7.2882799999999994</v>
      </c>
      <c r="F94" t="s">
        <v>327</v>
      </c>
    </row>
    <row r="95" spans="1:6">
      <c r="A95" t="s">
        <v>103</v>
      </c>
      <c r="B95">
        <v>10</v>
      </c>
      <c r="C95">
        <v>63.316349799999998</v>
      </c>
      <c r="D95">
        <v>6.3316349799999996</v>
      </c>
      <c r="E95">
        <v>8.3252400000000009</v>
      </c>
      <c r="F95" t="s">
        <v>328</v>
      </c>
    </row>
    <row r="96" spans="1:6">
      <c r="A96" t="s">
        <v>104</v>
      </c>
      <c r="B96">
        <v>10</v>
      </c>
      <c r="C96">
        <v>57.806588900000001</v>
      </c>
      <c r="D96">
        <v>5.7806588899999998</v>
      </c>
      <c r="E96">
        <v>10.160439999999999</v>
      </c>
      <c r="F96" t="s">
        <v>329</v>
      </c>
    </row>
    <row r="97" spans="1:6">
      <c r="A97" t="s">
        <v>105</v>
      </c>
      <c r="B97">
        <v>10</v>
      </c>
      <c r="C97">
        <v>55.211800099999998</v>
      </c>
      <c r="D97">
        <v>5.5211800100000001</v>
      </c>
      <c r="E97">
        <v>12.768879999999999</v>
      </c>
      <c r="F97" t="s">
        <v>330</v>
      </c>
    </row>
    <row r="98" spans="1:6">
      <c r="A98" t="s">
        <v>106</v>
      </c>
      <c r="B98">
        <v>10</v>
      </c>
      <c r="C98">
        <v>38.174939799999997</v>
      </c>
      <c r="D98">
        <v>3.8174939800000001</v>
      </c>
      <c r="E98">
        <v>5.4845600000000001</v>
      </c>
      <c r="F98" t="s">
        <v>331</v>
      </c>
    </row>
    <row r="99" spans="1:6">
      <c r="A99" t="s">
        <v>107</v>
      </c>
      <c r="B99">
        <v>10</v>
      </c>
      <c r="C99">
        <v>65.70966940000001</v>
      </c>
      <c r="D99">
        <v>6.5709669399999999</v>
      </c>
      <c r="E99">
        <v>12.28355</v>
      </c>
      <c r="F99" t="s">
        <v>332</v>
      </c>
    </row>
    <row r="100" spans="1:6">
      <c r="A100" t="s">
        <v>108</v>
      </c>
      <c r="B100">
        <v>10</v>
      </c>
      <c r="C100">
        <v>55.4678404</v>
      </c>
      <c r="D100">
        <v>5.5467840400000004</v>
      </c>
      <c r="E100">
        <v>8.6433399999999985</v>
      </c>
      <c r="F100" t="s">
        <v>333</v>
      </c>
    </row>
    <row r="101" spans="1:6">
      <c r="A101" t="s">
        <v>109</v>
      </c>
      <c r="B101">
        <v>10</v>
      </c>
      <c r="C101">
        <v>62.016299799999999</v>
      </c>
      <c r="D101">
        <v>6.201629979999999</v>
      </c>
      <c r="E101">
        <v>7.8038899999999991</v>
      </c>
      <c r="F101" t="s">
        <v>334</v>
      </c>
    </row>
    <row r="102" spans="1:6">
      <c r="A102" t="s">
        <v>110</v>
      </c>
      <c r="B102">
        <v>10</v>
      </c>
      <c r="C102">
        <v>19.682030000000001</v>
      </c>
      <c r="D102">
        <v>1.9682029999999999</v>
      </c>
      <c r="E102">
        <v>2.1187299999999998</v>
      </c>
      <c r="F102" t="s">
        <v>305</v>
      </c>
    </row>
    <row r="103" spans="1:6">
      <c r="A103" t="s">
        <v>111</v>
      </c>
      <c r="B103">
        <v>10</v>
      </c>
      <c r="C103">
        <v>40.537459800000001</v>
      </c>
      <c r="D103">
        <v>4.0537459800000004</v>
      </c>
      <c r="E103">
        <v>5.1615599999999997</v>
      </c>
      <c r="F103" t="s">
        <v>335</v>
      </c>
    </row>
    <row r="104" spans="1:6">
      <c r="A104" t="s">
        <v>112</v>
      </c>
      <c r="B104">
        <v>10</v>
      </c>
      <c r="C104">
        <v>49.289889799999997</v>
      </c>
      <c r="D104">
        <v>4.9289889799999997</v>
      </c>
      <c r="E104">
        <v>7.5568399999999993</v>
      </c>
      <c r="F104" t="s">
        <v>336</v>
      </c>
    </row>
    <row r="105" spans="1:6">
      <c r="A105" t="s">
        <v>113</v>
      </c>
      <c r="B105">
        <v>10</v>
      </c>
      <c r="C105">
        <v>66.135706999999996</v>
      </c>
      <c r="D105">
        <v>6.6135707000000004</v>
      </c>
      <c r="E105">
        <v>19.427178999999999</v>
      </c>
      <c r="F105" t="s">
        <v>337</v>
      </c>
    </row>
    <row r="106" spans="1:6">
      <c r="A106" t="s">
        <v>114</v>
      </c>
      <c r="B106">
        <v>10</v>
      </c>
      <c r="C106">
        <v>62.426669799999999</v>
      </c>
      <c r="D106">
        <v>6.2426669800000001</v>
      </c>
      <c r="E106">
        <v>14.960380000000001</v>
      </c>
      <c r="F106" t="s">
        <v>338</v>
      </c>
    </row>
    <row r="107" spans="1:6">
      <c r="A107" t="s">
        <v>115</v>
      </c>
      <c r="B107">
        <v>10</v>
      </c>
      <c r="C107">
        <v>65.876280699999995</v>
      </c>
      <c r="D107">
        <v>6.5876280700000001</v>
      </c>
      <c r="E107">
        <v>10.897449999999999</v>
      </c>
      <c r="F107" t="s">
        <v>339</v>
      </c>
    </row>
    <row r="108" spans="1:6">
      <c r="A108" t="s">
        <v>116</v>
      </c>
      <c r="B108">
        <v>10</v>
      </c>
      <c r="C108">
        <v>34.1396297</v>
      </c>
      <c r="D108">
        <v>3.41396297</v>
      </c>
      <c r="E108">
        <v>4.4302000000000001</v>
      </c>
      <c r="F108" t="s">
        <v>340</v>
      </c>
    </row>
    <row r="109" spans="1:6">
      <c r="A109" t="s">
        <v>117</v>
      </c>
      <c r="B109">
        <v>10</v>
      </c>
      <c r="C109">
        <v>70.611370199999996</v>
      </c>
      <c r="D109">
        <v>7.0611370199999994</v>
      </c>
      <c r="E109">
        <v>18.474930000000001</v>
      </c>
      <c r="F109" t="s">
        <v>341</v>
      </c>
    </row>
    <row r="110" spans="1:6">
      <c r="A110" t="s">
        <v>118</v>
      </c>
      <c r="B110">
        <v>10</v>
      </c>
      <c r="C110">
        <v>58.162970400000013</v>
      </c>
      <c r="D110">
        <v>5.8162970400000003</v>
      </c>
      <c r="E110">
        <v>8.2572700000000001</v>
      </c>
      <c r="F110" t="s">
        <v>342</v>
      </c>
    </row>
    <row r="111" spans="1:6">
      <c r="A111" t="s">
        <v>119</v>
      </c>
      <c r="B111">
        <v>10</v>
      </c>
      <c r="C111">
        <v>59.683259900000003</v>
      </c>
      <c r="D111">
        <v>5.9683259899999994</v>
      </c>
      <c r="E111">
        <v>14.88062</v>
      </c>
      <c r="F111" t="s">
        <v>343</v>
      </c>
    </row>
    <row r="112" spans="1:6">
      <c r="A112" t="s">
        <v>120</v>
      </c>
      <c r="B112">
        <v>10</v>
      </c>
      <c r="C112">
        <v>28.780769800000002</v>
      </c>
      <c r="D112">
        <v>2.8780769799999999</v>
      </c>
      <c r="E112">
        <v>3.70567</v>
      </c>
      <c r="F112" t="s">
        <v>344</v>
      </c>
    </row>
    <row r="113" spans="1:6">
      <c r="A113" t="s">
        <v>121</v>
      </c>
      <c r="B113">
        <v>10</v>
      </c>
      <c r="C113">
        <v>10.50742</v>
      </c>
      <c r="D113">
        <v>1.0507420000000001</v>
      </c>
      <c r="E113">
        <v>1.62917</v>
      </c>
      <c r="F113" t="s">
        <v>345</v>
      </c>
    </row>
    <row r="114" spans="1:6">
      <c r="A114" t="s">
        <v>122</v>
      </c>
      <c r="B114">
        <v>10</v>
      </c>
      <c r="C114">
        <v>63.644350000000003</v>
      </c>
      <c r="D114">
        <v>6.3644350000000003</v>
      </c>
      <c r="E114">
        <v>9.46068</v>
      </c>
      <c r="F114" t="s">
        <v>346</v>
      </c>
    </row>
    <row r="115" spans="1:6">
      <c r="A115" t="s">
        <v>123</v>
      </c>
      <c r="B115">
        <v>10</v>
      </c>
      <c r="C115">
        <v>34.069869799999999</v>
      </c>
      <c r="D115">
        <v>3.4069869800000001</v>
      </c>
      <c r="E115">
        <v>5.1595601999999996</v>
      </c>
      <c r="F115" t="s">
        <v>257</v>
      </c>
    </row>
    <row r="116" spans="1:6">
      <c r="A116" t="s">
        <v>124</v>
      </c>
      <c r="B116">
        <v>10</v>
      </c>
      <c r="C116">
        <v>49.194150200000003</v>
      </c>
      <c r="D116">
        <v>4.9194150199999997</v>
      </c>
      <c r="E116">
        <v>7.8478099999999991</v>
      </c>
      <c r="F116" t="s">
        <v>347</v>
      </c>
    </row>
    <row r="117" spans="1:6">
      <c r="A117" t="s">
        <v>125</v>
      </c>
      <c r="B117">
        <v>10</v>
      </c>
      <c r="C117">
        <v>67.079699300000001</v>
      </c>
      <c r="D117">
        <v>6.7079699299999991</v>
      </c>
      <c r="E117">
        <v>10.37364</v>
      </c>
      <c r="F117" t="s">
        <v>348</v>
      </c>
    </row>
    <row r="118" spans="1:6">
      <c r="A118" t="s">
        <v>126</v>
      </c>
      <c r="B118">
        <v>10</v>
      </c>
      <c r="C118">
        <v>38.033679900000003</v>
      </c>
      <c r="D118">
        <v>3.8033679899999999</v>
      </c>
      <c r="E118">
        <v>4.5584899999999999</v>
      </c>
      <c r="F118" t="s">
        <v>296</v>
      </c>
    </row>
    <row r="119" spans="1:6">
      <c r="A119" t="s">
        <v>127</v>
      </c>
      <c r="B119">
        <v>10</v>
      </c>
      <c r="C119">
        <v>61.240929800000004</v>
      </c>
      <c r="D119">
        <v>6.1240929799999986</v>
      </c>
      <c r="E119">
        <v>14.175330000000001</v>
      </c>
      <c r="F119" t="s">
        <v>349</v>
      </c>
    </row>
    <row r="120" spans="1:6">
      <c r="A120" t="s">
        <v>128</v>
      </c>
      <c r="B120">
        <v>10</v>
      </c>
      <c r="C120">
        <v>62.924400499999997</v>
      </c>
      <c r="D120">
        <v>6.2924400500000006</v>
      </c>
      <c r="E120">
        <v>9.1910000000000007</v>
      </c>
      <c r="F120" t="s">
        <v>350</v>
      </c>
    </row>
    <row r="121" spans="1:6">
      <c r="A121" t="s">
        <v>129</v>
      </c>
      <c r="B121">
        <v>1</v>
      </c>
      <c r="C121">
        <v>1.0052319999999999</v>
      </c>
      <c r="D121">
        <v>1.0052319999999999</v>
      </c>
      <c r="E121">
        <v>1.0052319999999999</v>
      </c>
      <c r="F121" t="s">
        <v>351</v>
      </c>
    </row>
    <row r="122" spans="1:6">
      <c r="A122" t="s">
        <v>130</v>
      </c>
      <c r="B122">
        <v>10</v>
      </c>
      <c r="C122">
        <v>65.726179999999999</v>
      </c>
      <c r="D122">
        <v>6.5726179999999994</v>
      </c>
      <c r="E122">
        <v>9.24634</v>
      </c>
      <c r="F122" t="s">
        <v>352</v>
      </c>
    </row>
    <row r="123" spans="1:6">
      <c r="A123" t="s">
        <v>131</v>
      </c>
      <c r="B123">
        <v>10</v>
      </c>
      <c r="C123">
        <v>39.594089799999999</v>
      </c>
      <c r="D123">
        <v>3.9594089800000001</v>
      </c>
      <c r="E123">
        <v>7.3949400000000001</v>
      </c>
      <c r="F123" t="s">
        <v>353</v>
      </c>
    </row>
    <row r="124" spans="1:6">
      <c r="A124" t="s">
        <v>133</v>
      </c>
      <c r="B124">
        <v>10</v>
      </c>
      <c r="C124">
        <v>59.014418900000003</v>
      </c>
      <c r="D124">
        <v>5.9014418900000001</v>
      </c>
      <c r="E124">
        <v>8.3041699999999992</v>
      </c>
      <c r="F124" t="s">
        <v>354</v>
      </c>
    </row>
    <row r="125" spans="1:6">
      <c r="A125" t="s">
        <v>134</v>
      </c>
      <c r="B125">
        <v>10</v>
      </c>
      <c r="C125">
        <v>56.929719600000013</v>
      </c>
      <c r="D125">
        <v>5.6929719600000004</v>
      </c>
      <c r="E125">
        <v>9.4096094000000008</v>
      </c>
      <c r="F125" t="s">
        <v>355</v>
      </c>
    </row>
    <row r="126" spans="1:6">
      <c r="A126" t="s">
        <v>135</v>
      </c>
      <c r="B126">
        <v>10</v>
      </c>
      <c r="C126">
        <v>46.921010500000001</v>
      </c>
      <c r="D126">
        <v>4.6921010499999998</v>
      </c>
      <c r="E126">
        <v>7.3368100000000007</v>
      </c>
      <c r="F126" t="s">
        <v>356</v>
      </c>
    </row>
    <row r="127" spans="1:6">
      <c r="A127" t="s">
        <v>136</v>
      </c>
      <c r="B127">
        <v>10</v>
      </c>
      <c r="C127">
        <v>35.575660199999987</v>
      </c>
      <c r="D127">
        <v>3.5575660199999999</v>
      </c>
      <c r="E127">
        <v>3.8504100000000001</v>
      </c>
      <c r="F127" t="s">
        <v>357</v>
      </c>
    </row>
    <row r="128" spans="1:6">
      <c r="A128" t="s">
        <v>137</v>
      </c>
      <c r="B128">
        <v>10</v>
      </c>
      <c r="C128">
        <v>29.883240199999999</v>
      </c>
      <c r="D128">
        <v>2.9883240199999999</v>
      </c>
      <c r="E128">
        <v>5.3423400000000001</v>
      </c>
      <c r="F128" t="s">
        <v>358</v>
      </c>
    </row>
    <row r="129" spans="1:6">
      <c r="A129" t="s">
        <v>138</v>
      </c>
      <c r="B129">
        <v>10</v>
      </c>
      <c r="C129">
        <v>42.885240099999997</v>
      </c>
      <c r="D129">
        <v>4.2885240099999997</v>
      </c>
      <c r="E129">
        <v>5.1609103000000003</v>
      </c>
      <c r="F129" t="s">
        <v>359</v>
      </c>
    </row>
    <row r="130" spans="1:6">
      <c r="A130" t="s">
        <v>140</v>
      </c>
      <c r="B130">
        <v>10</v>
      </c>
      <c r="C130">
        <v>57.344349999999999</v>
      </c>
      <c r="D130">
        <v>5.7344350000000004</v>
      </c>
      <c r="E130">
        <v>8.2161300000000015</v>
      </c>
      <c r="F130" t="s">
        <v>360</v>
      </c>
    </row>
    <row r="131" spans="1:6">
      <c r="A131" t="s">
        <v>141</v>
      </c>
      <c r="B131">
        <v>10</v>
      </c>
      <c r="C131">
        <v>47.015090399999998</v>
      </c>
      <c r="D131">
        <v>4.7015090400000004</v>
      </c>
      <c r="E131">
        <v>15.9123</v>
      </c>
      <c r="F131" t="s">
        <v>361</v>
      </c>
    </row>
    <row r="132" spans="1:6">
      <c r="A132" t="s">
        <v>143</v>
      </c>
      <c r="B132">
        <v>10</v>
      </c>
      <c r="C132">
        <v>36.267530100000002</v>
      </c>
      <c r="D132">
        <v>3.6267530099999998</v>
      </c>
      <c r="E132">
        <v>9.0640499999999999</v>
      </c>
      <c r="F132" t="s">
        <v>362</v>
      </c>
    </row>
    <row r="133" spans="1:6">
      <c r="A133" t="s">
        <v>144</v>
      </c>
      <c r="B133">
        <v>10</v>
      </c>
      <c r="C133">
        <v>45.324870900000001</v>
      </c>
      <c r="D133">
        <v>4.5324870900000001</v>
      </c>
      <c r="E133">
        <v>6.9288105</v>
      </c>
      <c r="F133" t="s">
        <v>363</v>
      </c>
    </row>
    <row r="134" spans="1:6">
      <c r="A134" t="s">
        <v>145</v>
      </c>
      <c r="B134">
        <v>10</v>
      </c>
      <c r="C134">
        <v>76.252010299999995</v>
      </c>
      <c r="D134">
        <v>7.6252010299999986</v>
      </c>
      <c r="E134">
        <v>22.65728</v>
      </c>
      <c r="F134" t="s">
        <v>364</v>
      </c>
    </row>
    <row r="135" spans="1:6">
      <c r="A135" t="s">
        <v>146</v>
      </c>
      <c r="B135">
        <v>10</v>
      </c>
      <c r="C135">
        <v>17.561559849999998</v>
      </c>
      <c r="D135">
        <v>1.7561559849999999</v>
      </c>
      <c r="E135">
        <v>2.4037199999999999</v>
      </c>
      <c r="F135" t="s">
        <v>365</v>
      </c>
    </row>
    <row r="136" spans="1:6">
      <c r="A136" t="s">
        <v>148</v>
      </c>
      <c r="B136">
        <v>10</v>
      </c>
      <c r="C136">
        <v>24.8529999</v>
      </c>
      <c r="D136">
        <v>2.4852999900000001</v>
      </c>
      <c r="E136">
        <v>3.8451900000000001</v>
      </c>
      <c r="F136" t="s">
        <v>366</v>
      </c>
    </row>
    <row r="137" spans="1:6">
      <c r="A137" t="s">
        <v>149</v>
      </c>
      <c r="B137">
        <v>10</v>
      </c>
      <c r="C137">
        <v>45.762599899999998</v>
      </c>
      <c r="D137">
        <v>4.5762599899999996</v>
      </c>
      <c r="E137">
        <v>9.8392999999999997</v>
      </c>
      <c r="F137" t="s">
        <v>367</v>
      </c>
    </row>
    <row r="138" spans="1:6">
      <c r="A138" t="s">
        <v>150</v>
      </c>
      <c r="B138">
        <v>10</v>
      </c>
      <c r="C138">
        <v>47.253329399999998</v>
      </c>
      <c r="D138">
        <v>4.7253329400000004</v>
      </c>
      <c r="E138">
        <v>6.5887799999999999</v>
      </c>
      <c r="F138" t="s">
        <v>368</v>
      </c>
    </row>
    <row r="139" spans="1:6">
      <c r="A139" t="s">
        <v>151</v>
      </c>
      <c r="B139">
        <v>10</v>
      </c>
      <c r="C139">
        <v>62.543360000000007</v>
      </c>
      <c r="D139">
        <v>6.2543360000000003</v>
      </c>
      <c r="E139">
        <v>9.8827599999999993</v>
      </c>
      <c r="F139" t="s">
        <v>369</v>
      </c>
    </row>
    <row r="140" spans="1:6">
      <c r="A140" t="s">
        <v>153</v>
      </c>
      <c r="B140">
        <v>10</v>
      </c>
      <c r="C140">
        <v>55.211370000000002</v>
      </c>
      <c r="D140">
        <v>5.5211370000000004</v>
      </c>
      <c r="E140">
        <v>8.6713895000000001</v>
      </c>
      <c r="F140" t="s">
        <v>370</v>
      </c>
    </row>
    <row r="141" spans="1:6">
      <c r="A141" t="s">
        <v>156</v>
      </c>
      <c r="B141">
        <v>10</v>
      </c>
      <c r="C141">
        <v>25.496510000000001</v>
      </c>
      <c r="D141">
        <v>2.5496509999999999</v>
      </c>
      <c r="E141">
        <v>3.18438</v>
      </c>
      <c r="F141" t="s">
        <v>371</v>
      </c>
    </row>
    <row r="142" spans="1:6">
      <c r="A142" t="s">
        <v>157</v>
      </c>
      <c r="B142">
        <v>10</v>
      </c>
      <c r="C142">
        <v>66.391049600000002</v>
      </c>
      <c r="D142">
        <v>6.6391049600000001</v>
      </c>
      <c r="E142">
        <v>12.17046</v>
      </c>
      <c r="F142" t="s">
        <v>372</v>
      </c>
    </row>
    <row r="143" spans="1:6">
      <c r="A143" t="s">
        <v>158</v>
      </c>
      <c r="B143">
        <v>10</v>
      </c>
      <c r="C143">
        <v>53.042099899999997</v>
      </c>
      <c r="D143">
        <v>5.3042099899999986</v>
      </c>
      <c r="E143">
        <v>9.0433194999999991</v>
      </c>
      <c r="F143" t="s">
        <v>373</v>
      </c>
    </row>
    <row r="144" spans="1:6">
      <c r="A144" t="s">
        <v>159</v>
      </c>
      <c r="B144">
        <v>10</v>
      </c>
      <c r="C144">
        <v>51.3629502</v>
      </c>
      <c r="D144">
        <v>5.1362950200000004</v>
      </c>
      <c r="E144">
        <v>6.1611799999999999</v>
      </c>
      <c r="F144" t="s">
        <v>374</v>
      </c>
    </row>
    <row r="145" spans="1:6">
      <c r="A145" t="s">
        <v>160</v>
      </c>
      <c r="B145">
        <v>10</v>
      </c>
      <c r="C145">
        <v>40.7014602</v>
      </c>
      <c r="D145">
        <v>4.0701460200000001</v>
      </c>
      <c r="E145">
        <v>6.7612099999999993</v>
      </c>
      <c r="F145" t="s">
        <v>375</v>
      </c>
    </row>
    <row r="146" spans="1:6">
      <c r="A146" t="s">
        <v>161</v>
      </c>
      <c r="B146">
        <v>10</v>
      </c>
      <c r="C146">
        <v>42.630799799999998</v>
      </c>
      <c r="D146">
        <v>4.2630799799999997</v>
      </c>
      <c r="E146">
        <v>6.9288199999999991</v>
      </c>
      <c r="F146" t="s">
        <v>376</v>
      </c>
    </row>
    <row r="147" spans="1:6">
      <c r="A147" t="s">
        <v>162</v>
      </c>
      <c r="B147">
        <v>10</v>
      </c>
      <c r="C147">
        <v>59.5678701</v>
      </c>
      <c r="D147">
        <v>5.9567870099999993</v>
      </c>
      <c r="E147">
        <v>10.59817</v>
      </c>
      <c r="F147" t="s">
        <v>377</v>
      </c>
    </row>
    <row r="148" spans="1:6">
      <c r="A148" t="s">
        <v>163</v>
      </c>
      <c r="B148">
        <v>10</v>
      </c>
      <c r="C148">
        <v>47.4662699</v>
      </c>
      <c r="D148">
        <v>4.7466269900000002</v>
      </c>
      <c r="E148">
        <v>8.15761</v>
      </c>
      <c r="F148" t="s">
        <v>378</v>
      </c>
    </row>
    <row r="149" spans="1:6">
      <c r="A149" t="s">
        <v>164</v>
      </c>
      <c r="B149">
        <v>10</v>
      </c>
      <c r="C149">
        <v>45.468849400000003</v>
      </c>
      <c r="D149">
        <v>4.54688494</v>
      </c>
      <c r="E149">
        <v>9.3349195999999992</v>
      </c>
      <c r="F149" t="s">
        <v>379</v>
      </c>
    </row>
    <row r="150" spans="1:6">
      <c r="A150" t="s">
        <v>165</v>
      </c>
      <c r="B150">
        <v>10</v>
      </c>
      <c r="C150">
        <v>22.3034599</v>
      </c>
      <c r="D150">
        <v>2.23034599</v>
      </c>
      <c r="E150">
        <v>3.1749497999999998</v>
      </c>
      <c r="F150" t="s">
        <v>380</v>
      </c>
    </row>
    <row r="151" spans="1:6">
      <c r="A151" t="s">
        <v>166</v>
      </c>
      <c r="B151">
        <v>10</v>
      </c>
      <c r="C151">
        <v>14.278089899999999</v>
      </c>
      <c r="D151">
        <v>1.4278089899999999</v>
      </c>
      <c r="E151">
        <v>1.8744400000000001</v>
      </c>
      <c r="F151" t="s">
        <v>381</v>
      </c>
    </row>
    <row r="152" spans="1:6">
      <c r="A152" t="s">
        <v>167</v>
      </c>
      <c r="B152">
        <v>10</v>
      </c>
      <c r="C152">
        <v>48.291789999999999</v>
      </c>
      <c r="D152">
        <v>4.8291789999999999</v>
      </c>
      <c r="E152">
        <v>5.6033502999999998</v>
      </c>
      <c r="F152" t="s">
        <v>382</v>
      </c>
    </row>
    <row r="153" spans="1:6">
      <c r="A153" t="s">
        <v>168</v>
      </c>
      <c r="B153">
        <v>10</v>
      </c>
      <c r="C153">
        <v>55.570119799999993</v>
      </c>
      <c r="D153">
        <v>5.5570119800000004</v>
      </c>
      <c r="E153">
        <v>8.2073599999999995</v>
      </c>
      <c r="F153" t="s">
        <v>383</v>
      </c>
    </row>
    <row r="154" spans="1:6">
      <c r="A154" t="s">
        <v>169</v>
      </c>
      <c r="B154">
        <v>10</v>
      </c>
      <c r="C154">
        <v>19.967610100000002</v>
      </c>
      <c r="D154">
        <v>1.9967610099999999</v>
      </c>
      <c r="E154">
        <v>2.3974799999999998</v>
      </c>
      <c r="F154" t="s">
        <v>384</v>
      </c>
    </row>
    <row r="155" spans="1:6">
      <c r="A155" t="s">
        <v>170</v>
      </c>
      <c r="B155">
        <v>10</v>
      </c>
      <c r="C155">
        <v>17.12932</v>
      </c>
      <c r="D155">
        <v>1.7129319999999999</v>
      </c>
      <c r="E155">
        <v>2.3472099000000002</v>
      </c>
      <c r="F155" t="s">
        <v>385</v>
      </c>
    </row>
    <row r="156" spans="1:6">
      <c r="A156" t="s">
        <v>171</v>
      </c>
      <c r="B156">
        <v>10</v>
      </c>
      <c r="C156">
        <v>50.532269599999999</v>
      </c>
      <c r="D156">
        <v>5.0532269599999999</v>
      </c>
      <c r="E156">
        <v>8.3525895999999999</v>
      </c>
      <c r="F156" t="s">
        <v>386</v>
      </c>
    </row>
    <row r="157" spans="1:6">
      <c r="A157" t="s">
        <v>172</v>
      </c>
      <c r="B157">
        <v>10</v>
      </c>
      <c r="C157">
        <v>61.502020599999987</v>
      </c>
      <c r="D157">
        <v>6.1502020599999998</v>
      </c>
      <c r="E157">
        <v>8.8597599999999996</v>
      </c>
      <c r="F157" t="s">
        <v>387</v>
      </c>
    </row>
    <row r="158" spans="1:6">
      <c r="A158" t="s">
        <v>173</v>
      </c>
      <c r="B158">
        <v>10</v>
      </c>
      <c r="C158">
        <v>49.380570599999999</v>
      </c>
      <c r="D158">
        <v>4.9380570600000002</v>
      </c>
      <c r="E158">
        <v>5.0581300000000002</v>
      </c>
      <c r="F158" t="s">
        <v>388</v>
      </c>
    </row>
    <row r="159" spans="1:6">
      <c r="A159" t="s">
        <v>174</v>
      </c>
      <c r="B159">
        <v>10</v>
      </c>
      <c r="C159">
        <v>43.020739300000002</v>
      </c>
      <c r="D159">
        <v>4.3020739299999997</v>
      </c>
      <c r="E159">
        <v>5.5057402999999994</v>
      </c>
      <c r="F159" t="s">
        <v>389</v>
      </c>
    </row>
    <row r="160" spans="1:6">
      <c r="A160" t="s">
        <v>177</v>
      </c>
      <c r="B160">
        <v>10</v>
      </c>
      <c r="C160">
        <v>37.226050000000001</v>
      </c>
      <c r="D160">
        <v>3.7226050000000002</v>
      </c>
      <c r="E160">
        <v>5.3358401999999998</v>
      </c>
      <c r="F160" t="s">
        <v>390</v>
      </c>
    </row>
    <row r="161" spans="1:6">
      <c r="A161" t="s">
        <v>178</v>
      </c>
      <c r="B161">
        <v>10</v>
      </c>
      <c r="C161">
        <v>68.365319800000009</v>
      </c>
      <c r="D161">
        <v>6.8365319800000002</v>
      </c>
      <c r="E161">
        <v>14.75794</v>
      </c>
      <c r="F161" t="s">
        <v>391</v>
      </c>
    </row>
    <row r="162" spans="1:6">
      <c r="A162" t="s">
        <v>179</v>
      </c>
      <c r="B162">
        <v>10</v>
      </c>
      <c r="C162">
        <v>43.860420400000002</v>
      </c>
      <c r="D162">
        <v>4.3860420400000004</v>
      </c>
      <c r="E162">
        <v>6.1115197999999999</v>
      </c>
      <c r="F162" t="s">
        <v>392</v>
      </c>
    </row>
    <row r="163" spans="1:6">
      <c r="A163" t="s">
        <v>180</v>
      </c>
      <c r="B163">
        <v>10</v>
      </c>
      <c r="C163">
        <v>59.398619899999993</v>
      </c>
      <c r="D163">
        <v>5.9398619899999989</v>
      </c>
      <c r="E163">
        <v>8.4357399999999991</v>
      </c>
      <c r="F163" t="s">
        <v>393</v>
      </c>
    </row>
    <row r="164" spans="1:6">
      <c r="A164" t="s">
        <v>181</v>
      </c>
      <c r="B164">
        <v>10</v>
      </c>
      <c r="C164">
        <v>76.357928099999995</v>
      </c>
      <c r="D164">
        <v>7.6357928099999999</v>
      </c>
      <c r="E164">
        <v>17.551518999999999</v>
      </c>
      <c r="F164" t="s">
        <v>394</v>
      </c>
    </row>
    <row r="165" spans="1:6">
      <c r="A165" t="s">
        <v>182</v>
      </c>
      <c r="B165">
        <v>10</v>
      </c>
      <c r="C165">
        <v>57.071209699999997</v>
      </c>
      <c r="D165">
        <v>5.7071209700000001</v>
      </c>
      <c r="E165">
        <v>10.256220000000001</v>
      </c>
      <c r="F165" t="s">
        <v>395</v>
      </c>
    </row>
    <row r="166" spans="1:6">
      <c r="A166" t="s">
        <v>183</v>
      </c>
      <c r="B166">
        <v>10</v>
      </c>
      <c r="C166">
        <v>38.458439800000001</v>
      </c>
      <c r="D166">
        <v>3.8458439800000002</v>
      </c>
      <c r="E166">
        <v>5.2940696000000003</v>
      </c>
      <c r="F166" t="s">
        <v>396</v>
      </c>
    </row>
    <row r="167" spans="1:6">
      <c r="A167" t="s">
        <v>184</v>
      </c>
      <c r="B167">
        <v>10</v>
      </c>
      <c r="C167">
        <v>72.5160798</v>
      </c>
      <c r="D167">
        <v>7.2516079799999993</v>
      </c>
      <c r="E167">
        <v>15.23034</v>
      </c>
      <c r="F167" t="s">
        <v>397</v>
      </c>
    </row>
    <row r="168" spans="1:6">
      <c r="A168" t="s">
        <v>185</v>
      </c>
      <c r="B168">
        <v>10</v>
      </c>
      <c r="C168">
        <v>73.610211300000003</v>
      </c>
      <c r="D168">
        <v>7.361021130000001</v>
      </c>
      <c r="E168">
        <v>13.962631</v>
      </c>
      <c r="F168" t="s">
        <v>398</v>
      </c>
    </row>
    <row r="169" spans="1:6">
      <c r="A169" t="s">
        <v>187</v>
      </c>
      <c r="B169">
        <v>10</v>
      </c>
      <c r="C169">
        <v>48.034159799999998</v>
      </c>
      <c r="D169">
        <v>4.8034159799999996</v>
      </c>
      <c r="E169">
        <v>9.4436199999999992</v>
      </c>
      <c r="F169" t="s">
        <v>399</v>
      </c>
    </row>
    <row r="170" spans="1:6">
      <c r="A170" t="s">
        <v>188</v>
      </c>
      <c r="B170">
        <v>10</v>
      </c>
      <c r="C170">
        <v>63.382651300000013</v>
      </c>
      <c r="D170">
        <v>6.3382651300000008</v>
      </c>
      <c r="E170">
        <v>11.839480999999999</v>
      </c>
      <c r="F170" t="s">
        <v>400</v>
      </c>
    </row>
    <row r="171" spans="1:6">
      <c r="A171" t="s">
        <v>189</v>
      </c>
      <c r="B171">
        <v>10</v>
      </c>
      <c r="C171">
        <v>62.128010600000003</v>
      </c>
      <c r="D171">
        <v>6.2128010599999994</v>
      </c>
      <c r="E171">
        <v>11.61924</v>
      </c>
      <c r="F171" t="s">
        <v>401</v>
      </c>
    </row>
    <row r="172" spans="1:6">
      <c r="A172" t="s">
        <v>190</v>
      </c>
      <c r="B172">
        <v>10</v>
      </c>
      <c r="C172">
        <v>51.972169200000003</v>
      </c>
      <c r="D172">
        <v>5.1972169199999998</v>
      </c>
      <c r="E172">
        <v>6.1489399999999996</v>
      </c>
      <c r="F172" t="s">
        <v>402</v>
      </c>
    </row>
    <row r="173" spans="1:6">
      <c r="A173" t="s">
        <v>191</v>
      </c>
      <c r="B173">
        <v>10</v>
      </c>
      <c r="C173">
        <v>40.358499500000001</v>
      </c>
      <c r="D173">
        <v>4.0358499500000002</v>
      </c>
      <c r="E173">
        <v>8.1208095</v>
      </c>
      <c r="F173" t="s">
        <v>403</v>
      </c>
    </row>
    <row r="174" spans="1:6">
      <c r="A174" t="s">
        <v>192</v>
      </c>
      <c r="B174">
        <v>10</v>
      </c>
      <c r="C174">
        <v>69.379729699999999</v>
      </c>
      <c r="D174">
        <v>6.9379729700000006</v>
      </c>
      <c r="E174">
        <v>15.36994</v>
      </c>
      <c r="F174" t="s">
        <v>404</v>
      </c>
    </row>
    <row r="175" spans="1:6">
      <c r="A175" t="s">
        <v>193</v>
      </c>
      <c r="B175">
        <v>10</v>
      </c>
      <c r="C175">
        <v>65.158048399999998</v>
      </c>
      <c r="D175">
        <v>6.5158048400000004</v>
      </c>
      <c r="E175">
        <v>11.738289999999999</v>
      </c>
      <c r="F175" t="s">
        <v>405</v>
      </c>
    </row>
    <row r="176" spans="1:6">
      <c r="A176" t="s">
        <v>194</v>
      </c>
      <c r="B176">
        <v>10</v>
      </c>
      <c r="C176">
        <v>50.409910099999998</v>
      </c>
      <c r="D176">
        <v>5.0409910099999999</v>
      </c>
      <c r="E176">
        <v>8.9059399999999993</v>
      </c>
      <c r="F176" t="s">
        <v>406</v>
      </c>
    </row>
    <row r="177" spans="1:6">
      <c r="A177" t="s">
        <v>195</v>
      </c>
      <c r="B177">
        <v>9</v>
      </c>
      <c r="C177">
        <v>37.146760299999997</v>
      </c>
      <c r="D177">
        <v>4.1274178111111111</v>
      </c>
      <c r="E177">
        <v>5.6383000000000001</v>
      </c>
      <c r="F177" t="s">
        <v>407</v>
      </c>
    </row>
    <row r="178" spans="1:6">
      <c r="A178" t="s">
        <v>196</v>
      </c>
      <c r="B178">
        <v>10</v>
      </c>
      <c r="C178">
        <v>31.7434397</v>
      </c>
      <c r="D178">
        <v>3.1743439699999998</v>
      </c>
      <c r="E178">
        <v>4.0002897000000006</v>
      </c>
      <c r="F178" t="s">
        <v>408</v>
      </c>
    </row>
    <row r="179" spans="1:6">
      <c r="A179" t="s">
        <v>197</v>
      </c>
      <c r="B179">
        <v>10</v>
      </c>
      <c r="C179">
        <v>61.499570700000007</v>
      </c>
      <c r="D179">
        <v>6.149957070000001</v>
      </c>
      <c r="E179">
        <v>8.1087600000000002</v>
      </c>
      <c r="F179" t="s">
        <v>409</v>
      </c>
    </row>
    <row r="180" spans="1:6">
      <c r="A180" t="s">
        <v>198</v>
      </c>
      <c r="B180">
        <v>10</v>
      </c>
      <c r="C180">
        <v>52.716080099999999</v>
      </c>
      <c r="D180">
        <v>5.2716080099999996</v>
      </c>
      <c r="E180">
        <v>7.2224795999999998</v>
      </c>
      <c r="F180" t="s">
        <v>410</v>
      </c>
    </row>
    <row r="181" spans="1:6">
      <c r="A181" t="s">
        <v>200</v>
      </c>
      <c r="B181">
        <v>10</v>
      </c>
      <c r="C181">
        <v>50.721090099999998</v>
      </c>
      <c r="D181">
        <v>5.0721090100000001</v>
      </c>
      <c r="E181">
        <v>6.9110900000000006</v>
      </c>
      <c r="F181" t="s">
        <v>411</v>
      </c>
    </row>
    <row r="182" spans="1:6">
      <c r="A182" t="s">
        <v>201</v>
      </c>
      <c r="B182">
        <v>10</v>
      </c>
      <c r="C182">
        <v>33.815590100000001</v>
      </c>
      <c r="D182">
        <v>3.3815590100000001</v>
      </c>
      <c r="E182">
        <v>6.2352999999999996</v>
      </c>
      <c r="F182" t="s">
        <v>412</v>
      </c>
    </row>
    <row r="183" spans="1:6">
      <c r="A183" t="s">
        <v>202</v>
      </c>
      <c r="B183">
        <v>9</v>
      </c>
      <c r="C183">
        <v>60.6040402</v>
      </c>
      <c r="D183">
        <v>6.7337822444444448</v>
      </c>
      <c r="E183">
        <v>23.176310000000001</v>
      </c>
      <c r="F183" t="s">
        <v>413</v>
      </c>
    </row>
    <row r="184" spans="1:6">
      <c r="A184" t="s">
        <v>203</v>
      </c>
      <c r="B184">
        <v>10</v>
      </c>
      <c r="C184">
        <v>79.313129799999999</v>
      </c>
      <c r="D184">
        <v>7.9313129800000004</v>
      </c>
      <c r="E184">
        <v>15.64974</v>
      </c>
      <c r="F184" t="s">
        <v>414</v>
      </c>
    </row>
    <row r="185" spans="1:6">
      <c r="A185" t="s">
        <v>204</v>
      </c>
      <c r="B185">
        <v>9</v>
      </c>
      <c r="C185">
        <v>66.065850699999999</v>
      </c>
      <c r="D185">
        <v>7.3406500777777772</v>
      </c>
      <c r="E185">
        <v>21.648250000000001</v>
      </c>
      <c r="F185" t="s">
        <v>415</v>
      </c>
    </row>
    <row r="186" spans="1:6">
      <c r="A186" t="s">
        <v>205</v>
      </c>
      <c r="B186">
        <v>10</v>
      </c>
      <c r="C186">
        <v>62.033949700000001</v>
      </c>
      <c r="D186">
        <v>6.2033949699999997</v>
      </c>
      <c r="E186">
        <v>7.8968499999999997</v>
      </c>
      <c r="F186" t="s">
        <v>416</v>
      </c>
    </row>
    <row r="187" spans="1:6">
      <c r="A187" t="s">
        <v>206</v>
      </c>
      <c r="B187">
        <v>10</v>
      </c>
      <c r="C187">
        <v>63.6625303</v>
      </c>
      <c r="D187">
        <v>6.3662530299999993</v>
      </c>
      <c r="E187">
        <v>10.0250594</v>
      </c>
      <c r="F187" t="s">
        <v>417</v>
      </c>
    </row>
    <row r="188" spans="1:6">
      <c r="A188" t="s">
        <v>207</v>
      </c>
      <c r="B188">
        <v>10</v>
      </c>
      <c r="C188">
        <v>54.749390200000001</v>
      </c>
      <c r="D188">
        <v>5.4749390200000008</v>
      </c>
      <c r="E188">
        <v>14.780340000000001</v>
      </c>
      <c r="F188" t="s">
        <v>418</v>
      </c>
    </row>
    <row r="189" spans="1:6">
      <c r="A189" t="s">
        <v>208</v>
      </c>
      <c r="B189">
        <v>10</v>
      </c>
      <c r="C189">
        <v>52.115910399999997</v>
      </c>
      <c r="D189">
        <v>5.2115910400000001</v>
      </c>
      <c r="E189">
        <v>8.5201600000000006</v>
      </c>
      <c r="F189" t="s">
        <v>419</v>
      </c>
    </row>
    <row r="190" spans="1:6">
      <c r="A190" t="s">
        <v>210</v>
      </c>
      <c r="B190">
        <v>10</v>
      </c>
      <c r="C190">
        <v>60.611881199999992</v>
      </c>
      <c r="D190">
        <v>6.0611881199999997</v>
      </c>
      <c r="E190">
        <v>16.782399999999999</v>
      </c>
      <c r="F190" t="s">
        <v>420</v>
      </c>
    </row>
    <row r="191" spans="1:6">
      <c r="A191" t="s">
        <v>211</v>
      </c>
      <c r="B191">
        <v>10</v>
      </c>
      <c r="C191">
        <v>29.9387504</v>
      </c>
      <c r="D191">
        <v>2.9938750399999998</v>
      </c>
      <c r="E191">
        <v>5.7582202999999996</v>
      </c>
      <c r="F191" t="s">
        <v>421</v>
      </c>
    </row>
    <row r="192" spans="1:6">
      <c r="A192" t="s">
        <v>212</v>
      </c>
      <c r="B192">
        <v>10</v>
      </c>
      <c r="C192">
        <v>47.088989900000001</v>
      </c>
      <c r="D192">
        <v>4.7088989900000007</v>
      </c>
      <c r="E192">
        <v>21.814080000000001</v>
      </c>
      <c r="F192" t="s">
        <v>422</v>
      </c>
    </row>
    <row r="193" spans="1:6">
      <c r="A193" t="s">
        <v>213</v>
      </c>
      <c r="B193">
        <v>10</v>
      </c>
      <c r="C193">
        <v>70.168430499999999</v>
      </c>
      <c r="D193">
        <v>7.0168430500000003</v>
      </c>
      <c r="E193">
        <v>11.55682</v>
      </c>
      <c r="F193" t="s">
        <v>423</v>
      </c>
    </row>
    <row r="194" spans="1:6">
      <c r="A194" t="s">
        <v>214</v>
      </c>
      <c r="B194">
        <v>10</v>
      </c>
      <c r="C194">
        <v>63.341780800000002</v>
      </c>
      <c r="D194">
        <v>6.33417808</v>
      </c>
      <c r="E194">
        <v>10.85374</v>
      </c>
      <c r="F194" t="s">
        <v>424</v>
      </c>
    </row>
    <row r="195" spans="1:6">
      <c r="A195" t="s">
        <v>215</v>
      </c>
      <c r="B195">
        <v>10</v>
      </c>
      <c r="C195">
        <v>66.488680500000001</v>
      </c>
      <c r="D195">
        <v>6.648868049999999</v>
      </c>
      <c r="E195">
        <v>9.4432004000000003</v>
      </c>
      <c r="F195" t="s">
        <v>425</v>
      </c>
    </row>
    <row r="196" spans="1:6">
      <c r="A196" t="s">
        <v>216</v>
      </c>
      <c r="B196">
        <v>10</v>
      </c>
      <c r="C196">
        <v>56.0620896</v>
      </c>
      <c r="D196">
        <v>5.60620896</v>
      </c>
      <c r="E196">
        <v>7.7500999999999998</v>
      </c>
      <c r="F196" t="s">
        <v>426</v>
      </c>
    </row>
    <row r="197" spans="1:6">
      <c r="A197" t="s">
        <v>217</v>
      </c>
      <c r="B197">
        <v>10</v>
      </c>
      <c r="C197">
        <v>23.746949799999999</v>
      </c>
      <c r="D197">
        <v>2.3746949800000001</v>
      </c>
      <c r="E197">
        <v>3.16859</v>
      </c>
      <c r="F197" t="s">
        <v>427</v>
      </c>
    </row>
    <row r="198" spans="1:6">
      <c r="A198" t="s">
        <v>218</v>
      </c>
      <c r="B198">
        <v>10</v>
      </c>
      <c r="C198">
        <v>57.253590099999997</v>
      </c>
      <c r="D198">
        <v>5.7253590099999991</v>
      </c>
      <c r="E198">
        <v>7.1249000000000002</v>
      </c>
      <c r="F198" t="s">
        <v>428</v>
      </c>
    </row>
    <row r="199" spans="1:6">
      <c r="A199" t="s">
        <v>220</v>
      </c>
      <c r="B199">
        <v>10</v>
      </c>
      <c r="C199">
        <v>48.426499700000001</v>
      </c>
      <c r="D199">
        <v>4.8426499700000001</v>
      </c>
      <c r="E199">
        <v>5.2798299999999996</v>
      </c>
      <c r="F199" t="s">
        <v>429</v>
      </c>
    </row>
    <row r="200" spans="1:6">
      <c r="A200" t="s">
        <v>222</v>
      </c>
      <c r="B200">
        <v>10</v>
      </c>
      <c r="C200">
        <v>50.049339600000003</v>
      </c>
      <c r="D200">
        <v>5.0049339599999998</v>
      </c>
      <c r="E200">
        <v>8.9138300000000008</v>
      </c>
      <c r="F200" t="s">
        <v>430</v>
      </c>
    </row>
    <row r="201" spans="1:6">
      <c r="A201" t="s">
        <v>223</v>
      </c>
      <c r="B201">
        <v>10</v>
      </c>
      <c r="C201">
        <v>37.442759899999999</v>
      </c>
      <c r="D201">
        <v>3.7442759900000002</v>
      </c>
      <c r="E201">
        <v>4.6953100000000001</v>
      </c>
      <c r="F201" t="s">
        <v>431</v>
      </c>
    </row>
    <row r="202" spans="1:6">
      <c r="A202" t="s">
        <v>224</v>
      </c>
      <c r="B202">
        <v>10</v>
      </c>
      <c r="C202">
        <v>48.989721099999997</v>
      </c>
      <c r="D202">
        <v>4.8989721099999999</v>
      </c>
      <c r="E202">
        <v>7.1943305000000004</v>
      </c>
      <c r="F202" t="s">
        <v>432</v>
      </c>
    </row>
    <row r="203" spans="1:6">
      <c r="A203" t="s">
        <v>225</v>
      </c>
      <c r="B203">
        <v>10</v>
      </c>
      <c r="C203">
        <v>34.553240000000002</v>
      </c>
      <c r="D203">
        <v>3.4553240000000001</v>
      </c>
      <c r="E203">
        <v>5.8312400000000002</v>
      </c>
      <c r="F203" t="s">
        <v>433</v>
      </c>
    </row>
    <row r="204" spans="1:6">
      <c r="A204" t="s">
        <v>226</v>
      </c>
      <c r="B204">
        <v>10</v>
      </c>
      <c r="C204">
        <v>54.226450200000002</v>
      </c>
      <c r="D204">
        <v>5.42264502</v>
      </c>
      <c r="E204">
        <v>9.833730000000001</v>
      </c>
      <c r="F204" t="s">
        <v>434</v>
      </c>
    </row>
    <row r="205" spans="1:6">
      <c r="A205" t="s">
        <v>227</v>
      </c>
      <c r="B205">
        <v>10</v>
      </c>
      <c r="C205">
        <v>61.347140000000003</v>
      </c>
      <c r="D205">
        <v>6.1347139999999998</v>
      </c>
      <c r="E205">
        <v>8.6686200000000007</v>
      </c>
      <c r="F205" t="s">
        <v>435</v>
      </c>
    </row>
    <row r="206" spans="1:6">
      <c r="A206" t="s">
        <v>228</v>
      </c>
      <c r="B206">
        <v>10</v>
      </c>
      <c r="C206">
        <v>60.035060799999997</v>
      </c>
      <c r="D206">
        <v>6.0035060800000002</v>
      </c>
      <c r="E206">
        <v>14.14545</v>
      </c>
      <c r="F206" t="s">
        <v>436</v>
      </c>
    </row>
    <row r="207" spans="1:6">
      <c r="A207" t="s">
        <v>229</v>
      </c>
      <c r="B207">
        <v>10</v>
      </c>
      <c r="C207">
        <v>40.293099499999997</v>
      </c>
      <c r="D207">
        <v>4.02930995</v>
      </c>
      <c r="E207">
        <v>7.5508094999999997</v>
      </c>
      <c r="F207" t="s">
        <v>437</v>
      </c>
    </row>
    <row r="208" spans="1:6">
      <c r="A208" t="s">
        <v>230</v>
      </c>
      <c r="B208">
        <v>10</v>
      </c>
      <c r="C208">
        <v>61.782010600000007</v>
      </c>
      <c r="D208">
        <v>6.178201060000001</v>
      </c>
      <c r="E208">
        <v>13.068569999999999</v>
      </c>
      <c r="F208" t="s">
        <v>438</v>
      </c>
    </row>
    <row r="209" spans="1:6">
      <c r="A209" t="s">
        <v>231</v>
      </c>
      <c r="B209">
        <v>10</v>
      </c>
      <c r="C209">
        <v>37.140739600000003</v>
      </c>
      <c r="D209">
        <v>3.7140739599999999</v>
      </c>
      <c r="E209">
        <v>6.2386397000000002</v>
      </c>
      <c r="F209" t="s">
        <v>439</v>
      </c>
    </row>
    <row r="210" spans="1:6">
      <c r="A210" t="s">
        <v>232</v>
      </c>
      <c r="B210">
        <v>10</v>
      </c>
      <c r="C210">
        <v>43.498840800000004</v>
      </c>
      <c r="D210">
        <v>4.3498840799999998</v>
      </c>
      <c r="E210">
        <v>5.5886100000000001</v>
      </c>
      <c r="F210" t="s">
        <v>440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44"/>
  <sheetViews>
    <sheetView workbookViewId="0"/>
  </sheetViews>
  <sheetFormatPr defaultRowHeight="15"/>
  <sheetData>
    <row r="1" spans="1:6">
      <c r="A1" s="1" t="s">
        <v>3174</v>
      </c>
      <c r="B1" s="1" t="s">
        <v>0</v>
      </c>
      <c r="C1" s="1" t="s">
        <v>233</v>
      </c>
      <c r="D1" s="1" t="s">
        <v>234</v>
      </c>
      <c r="E1" s="1" t="s">
        <v>3175</v>
      </c>
      <c r="F1" s="1" t="s">
        <v>3176</v>
      </c>
    </row>
    <row r="2" spans="1:6">
      <c r="A2" t="s">
        <v>442</v>
      </c>
      <c r="B2" t="s">
        <v>441</v>
      </c>
      <c r="C2">
        <v>52</v>
      </c>
      <c r="D2">
        <v>397.21788220000002</v>
      </c>
      <c r="E2">
        <v>7.638805426923077</v>
      </c>
      <c r="F2">
        <v>17.551518999999999</v>
      </c>
    </row>
    <row r="3" spans="1:6">
      <c r="A3" t="s">
        <v>447</v>
      </c>
      <c r="B3" t="s">
        <v>446</v>
      </c>
      <c r="C3">
        <v>46</v>
      </c>
      <c r="D3">
        <v>300.35022120000002</v>
      </c>
      <c r="E3">
        <v>6.5293526347826081</v>
      </c>
      <c r="F3">
        <v>21.814080000000001</v>
      </c>
    </row>
    <row r="4" spans="1:6">
      <c r="A4" t="s">
        <v>451</v>
      </c>
      <c r="B4" t="s">
        <v>450</v>
      </c>
      <c r="C4">
        <v>45</v>
      </c>
      <c r="D4">
        <v>238.6443098</v>
      </c>
      <c r="E4">
        <v>5.3032068844444442</v>
      </c>
      <c r="F4">
        <v>9.4859100000000005</v>
      </c>
    </row>
    <row r="5" spans="1:6">
      <c r="A5" t="s">
        <v>455</v>
      </c>
      <c r="B5" t="s">
        <v>454</v>
      </c>
      <c r="C5">
        <v>43</v>
      </c>
      <c r="D5">
        <v>249.85850980000001</v>
      </c>
      <c r="E5">
        <v>5.8106630186046511</v>
      </c>
      <c r="F5">
        <v>13.05231</v>
      </c>
    </row>
    <row r="6" spans="1:6">
      <c r="A6" t="s">
        <v>459</v>
      </c>
      <c r="B6" t="s">
        <v>458</v>
      </c>
      <c r="C6">
        <v>31</v>
      </c>
      <c r="D6">
        <v>173.2248324</v>
      </c>
      <c r="E6">
        <v>5.587897819354839</v>
      </c>
      <c r="F6">
        <v>14.77403</v>
      </c>
    </row>
    <row r="7" spans="1:6">
      <c r="A7" t="s">
        <v>463</v>
      </c>
      <c r="B7" t="s">
        <v>462</v>
      </c>
      <c r="C7">
        <v>29</v>
      </c>
      <c r="D7">
        <v>140.62619900000001</v>
      </c>
      <c r="E7">
        <v>4.8491792758620686</v>
      </c>
      <c r="F7">
        <v>9.833730000000001</v>
      </c>
    </row>
    <row r="8" spans="1:6">
      <c r="A8" t="s">
        <v>467</v>
      </c>
      <c r="B8" t="s">
        <v>466</v>
      </c>
      <c r="C8">
        <v>27</v>
      </c>
      <c r="D8">
        <v>144.6716898</v>
      </c>
      <c r="E8">
        <v>5.3582107333333333</v>
      </c>
      <c r="F8">
        <v>9.8749199999999995</v>
      </c>
    </row>
    <row r="9" spans="1:6">
      <c r="A9" t="s">
        <v>471</v>
      </c>
      <c r="B9" t="s">
        <v>470</v>
      </c>
      <c r="C9">
        <v>21</v>
      </c>
      <c r="D9">
        <v>106.2998199</v>
      </c>
      <c r="E9">
        <v>5.0618961857142857</v>
      </c>
      <c r="F9">
        <v>11.98714</v>
      </c>
    </row>
    <row r="10" spans="1:6">
      <c r="A10" t="s">
        <v>475</v>
      </c>
      <c r="B10" t="s">
        <v>474</v>
      </c>
      <c r="C10">
        <v>18</v>
      </c>
      <c r="D10">
        <v>133.42711199999999</v>
      </c>
      <c r="E10">
        <v>7.4126173333333334</v>
      </c>
      <c r="F10">
        <v>15.264301</v>
      </c>
    </row>
    <row r="11" spans="1:6">
      <c r="A11" t="s">
        <v>479</v>
      </c>
      <c r="B11" t="s">
        <v>478</v>
      </c>
      <c r="C11">
        <v>17</v>
      </c>
      <c r="D11">
        <v>84.183859200000001</v>
      </c>
      <c r="E11">
        <v>4.9519917176470587</v>
      </c>
      <c r="F11">
        <v>10.5185</v>
      </c>
    </row>
    <row r="12" spans="1:6">
      <c r="A12" t="s">
        <v>483</v>
      </c>
      <c r="B12" t="s">
        <v>482</v>
      </c>
      <c r="C12">
        <v>16</v>
      </c>
      <c r="D12">
        <v>134.83400140000001</v>
      </c>
      <c r="E12">
        <v>8.4271250875000003</v>
      </c>
      <c r="F12">
        <v>24.74502</v>
      </c>
    </row>
    <row r="13" spans="1:6">
      <c r="A13" t="s">
        <v>488</v>
      </c>
      <c r="B13" t="s">
        <v>487</v>
      </c>
      <c r="C13">
        <v>16</v>
      </c>
      <c r="D13">
        <v>104.7880705</v>
      </c>
      <c r="E13">
        <v>6.5492544062499993</v>
      </c>
      <c r="F13">
        <v>15.9123</v>
      </c>
    </row>
    <row r="14" spans="1:6">
      <c r="A14" t="s">
        <v>492</v>
      </c>
      <c r="B14" t="s">
        <v>491</v>
      </c>
      <c r="C14">
        <v>16</v>
      </c>
      <c r="D14">
        <v>78.682969499999999</v>
      </c>
      <c r="E14">
        <v>4.9176855937499999</v>
      </c>
      <c r="F14">
        <v>14.85604</v>
      </c>
    </row>
    <row r="15" spans="1:6">
      <c r="A15" t="s">
        <v>496</v>
      </c>
      <c r="B15" t="s">
        <v>495</v>
      </c>
      <c r="C15">
        <v>16</v>
      </c>
      <c r="D15">
        <v>66.357400300000009</v>
      </c>
      <c r="E15">
        <v>4.1473375187500006</v>
      </c>
      <c r="F15">
        <v>8.4063999999999997</v>
      </c>
    </row>
    <row r="16" spans="1:6">
      <c r="A16" t="s">
        <v>500</v>
      </c>
      <c r="B16" t="s">
        <v>499</v>
      </c>
      <c r="C16">
        <v>15</v>
      </c>
      <c r="D16">
        <v>102.22755960000001</v>
      </c>
      <c r="E16">
        <v>6.8151706399999998</v>
      </c>
      <c r="F16">
        <v>13.59347</v>
      </c>
    </row>
    <row r="17" spans="1:6">
      <c r="A17" t="s">
        <v>504</v>
      </c>
      <c r="B17" t="s">
        <v>503</v>
      </c>
      <c r="C17">
        <v>15</v>
      </c>
      <c r="D17">
        <v>91.058160950000001</v>
      </c>
      <c r="E17">
        <v>6.0705440633333341</v>
      </c>
      <c r="F17">
        <v>15.343389999999999</v>
      </c>
    </row>
    <row r="18" spans="1:6">
      <c r="A18" t="s">
        <v>509</v>
      </c>
      <c r="B18" t="s">
        <v>508</v>
      </c>
      <c r="C18">
        <v>15</v>
      </c>
      <c r="D18">
        <v>77.418349300000003</v>
      </c>
      <c r="E18">
        <v>5.161223286666667</v>
      </c>
      <c r="F18">
        <v>8.0610800000000005</v>
      </c>
    </row>
    <row r="19" spans="1:6">
      <c r="A19" t="s">
        <v>513</v>
      </c>
      <c r="B19" t="s">
        <v>512</v>
      </c>
      <c r="C19">
        <v>14</v>
      </c>
      <c r="D19">
        <v>113.3812909</v>
      </c>
      <c r="E19">
        <v>8.0986636357142849</v>
      </c>
      <c r="F19">
        <v>22.65728</v>
      </c>
    </row>
    <row r="20" spans="1:6">
      <c r="A20" t="s">
        <v>517</v>
      </c>
      <c r="B20" t="s">
        <v>516</v>
      </c>
      <c r="C20">
        <v>14</v>
      </c>
      <c r="D20">
        <v>59.524638950000003</v>
      </c>
      <c r="E20">
        <v>4.251759925</v>
      </c>
      <c r="F20">
        <v>9.3803789999999996</v>
      </c>
    </row>
    <row r="21" spans="1:6">
      <c r="A21" t="s">
        <v>521</v>
      </c>
      <c r="B21" t="s">
        <v>520</v>
      </c>
      <c r="C21">
        <v>14</v>
      </c>
      <c r="D21">
        <v>57.357909999999997</v>
      </c>
      <c r="E21">
        <v>4.0969935714285706</v>
      </c>
      <c r="F21">
        <v>8.6716995000000008</v>
      </c>
    </row>
    <row r="22" spans="1:6">
      <c r="A22" t="s">
        <v>525</v>
      </c>
      <c r="B22" t="s">
        <v>524</v>
      </c>
      <c r="C22">
        <v>13</v>
      </c>
      <c r="D22">
        <v>73.854930800000005</v>
      </c>
      <c r="E22">
        <v>5.6811485230769243</v>
      </c>
      <c r="F22">
        <v>9.577399999999999</v>
      </c>
    </row>
    <row r="23" spans="1:6">
      <c r="A23" t="s">
        <v>529</v>
      </c>
      <c r="B23" t="s">
        <v>528</v>
      </c>
      <c r="C23">
        <v>13</v>
      </c>
      <c r="D23">
        <v>68.480369799999991</v>
      </c>
      <c r="E23">
        <v>5.2677207538461532</v>
      </c>
      <c r="F23">
        <v>10.15014</v>
      </c>
    </row>
    <row r="24" spans="1:6">
      <c r="A24" t="s">
        <v>531</v>
      </c>
      <c r="B24" t="s">
        <v>530</v>
      </c>
      <c r="C24">
        <v>13</v>
      </c>
      <c r="D24">
        <v>61.202690099999998</v>
      </c>
      <c r="E24">
        <v>4.7078992384615388</v>
      </c>
      <c r="F24">
        <v>8.6937903999999993</v>
      </c>
    </row>
    <row r="25" spans="1:6">
      <c r="A25" t="s">
        <v>535</v>
      </c>
      <c r="B25" t="s">
        <v>534</v>
      </c>
      <c r="C25">
        <v>13</v>
      </c>
      <c r="D25">
        <v>56.233079900000007</v>
      </c>
      <c r="E25">
        <v>4.3256215307692312</v>
      </c>
      <c r="F25">
        <v>7.5808600000000004</v>
      </c>
    </row>
    <row r="26" spans="1:6">
      <c r="A26" t="s">
        <v>539</v>
      </c>
      <c r="B26" t="s">
        <v>538</v>
      </c>
      <c r="C26">
        <v>12</v>
      </c>
      <c r="D26">
        <v>62.812721099999997</v>
      </c>
      <c r="E26">
        <v>5.2343934250000004</v>
      </c>
      <c r="F26">
        <v>8.5531199999999998</v>
      </c>
    </row>
    <row r="27" spans="1:6">
      <c r="A27" t="s">
        <v>541</v>
      </c>
      <c r="B27" t="s">
        <v>540</v>
      </c>
      <c r="C27">
        <v>12</v>
      </c>
      <c r="D27">
        <v>48.468919700000001</v>
      </c>
      <c r="E27">
        <v>4.039076641666667</v>
      </c>
      <c r="F27">
        <v>9.2690699999999993</v>
      </c>
    </row>
    <row r="28" spans="1:6">
      <c r="A28" t="s">
        <v>545</v>
      </c>
      <c r="B28" t="s">
        <v>544</v>
      </c>
      <c r="C28">
        <v>11</v>
      </c>
      <c r="D28">
        <v>54.782199499999997</v>
      </c>
      <c r="E28">
        <v>4.9801999545454541</v>
      </c>
      <c r="F28">
        <v>8.6713895000000001</v>
      </c>
    </row>
    <row r="29" spans="1:6">
      <c r="A29" t="s">
        <v>549</v>
      </c>
      <c r="B29" t="s">
        <v>548</v>
      </c>
      <c r="C29">
        <v>11</v>
      </c>
      <c r="D29">
        <v>51.686828799999986</v>
      </c>
      <c r="E29">
        <v>4.6988026181818183</v>
      </c>
      <c r="F29">
        <v>8.1085790000000006</v>
      </c>
    </row>
    <row r="30" spans="1:6">
      <c r="A30" t="s">
        <v>553</v>
      </c>
      <c r="B30" t="s">
        <v>552</v>
      </c>
      <c r="C30">
        <v>10</v>
      </c>
      <c r="D30">
        <v>49.795070500000001</v>
      </c>
      <c r="E30">
        <v>4.9795070499999996</v>
      </c>
      <c r="F30">
        <v>7.4520799999999996</v>
      </c>
    </row>
    <row r="31" spans="1:6">
      <c r="A31" t="s">
        <v>557</v>
      </c>
      <c r="B31" t="s">
        <v>556</v>
      </c>
      <c r="C31">
        <v>10</v>
      </c>
      <c r="D31">
        <v>44.004990900000003</v>
      </c>
      <c r="E31">
        <v>4.4004990900000003</v>
      </c>
      <c r="F31">
        <v>7.2363704000000002</v>
      </c>
    </row>
    <row r="32" spans="1:6">
      <c r="A32" t="s">
        <v>559</v>
      </c>
      <c r="B32" t="s">
        <v>558</v>
      </c>
      <c r="C32">
        <v>10</v>
      </c>
      <c r="D32">
        <v>39.436299900000002</v>
      </c>
      <c r="E32">
        <v>3.9436299899999998</v>
      </c>
      <c r="F32">
        <v>7.2054800000000014</v>
      </c>
    </row>
    <row r="33" spans="1:6">
      <c r="A33" t="s">
        <v>563</v>
      </c>
      <c r="B33" t="s">
        <v>562</v>
      </c>
      <c r="C33">
        <v>9</v>
      </c>
      <c r="D33">
        <v>59.416030399999997</v>
      </c>
      <c r="E33">
        <v>6.6017811555555559</v>
      </c>
      <c r="F33">
        <v>8.9293203999999999</v>
      </c>
    </row>
    <row r="34" spans="1:6">
      <c r="A34" t="s">
        <v>567</v>
      </c>
      <c r="B34" t="s">
        <v>566</v>
      </c>
      <c r="C34">
        <v>9</v>
      </c>
      <c r="D34">
        <v>55.626480700000002</v>
      </c>
      <c r="E34">
        <v>6.180720077777778</v>
      </c>
      <c r="F34">
        <v>8.8383099999999999</v>
      </c>
    </row>
    <row r="35" spans="1:6">
      <c r="A35" t="s">
        <v>571</v>
      </c>
      <c r="B35" t="s">
        <v>570</v>
      </c>
      <c r="C35">
        <v>9</v>
      </c>
      <c r="D35">
        <v>51.1551203</v>
      </c>
      <c r="E35">
        <v>5.6839022555555552</v>
      </c>
      <c r="F35">
        <v>7.7742199999999997</v>
      </c>
    </row>
    <row r="36" spans="1:6">
      <c r="A36" t="s">
        <v>575</v>
      </c>
      <c r="B36" t="s">
        <v>574</v>
      </c>
      <c r="C36">
        <v>9</v>
      </c>
      <c r="D36">
        <v>44.654039300000001</v>
      </c>
      <c r="E36">
        <v>4.9615599222222224</v>
      </c>
      <c r="F36">
        <v>7.8305899999999999</v>
      </c>
    </row>
    <row r="37" spans="1:6">
      <c r="A37" t="s">
        <v>580</v>
      </c>
      <c r="B37" t="s">
        <v>579</v>
      </c>
      <c r="C37">
        <v>9</v>
      </c>
      <c r="D37">
        <v>41.176429599999999</v>
      </c>
      <c r="E37">
        <v>4.5751588444444442</v>
      </c>
      <c r="F37">
        <v>7.5508094999999997</v>
      </c>
    </row>
    <row r="38" spans="1:6">
      <c r="A38" t="s">
        <v>584</v>
      </c>
      <c r="B38" t="s">
        <v>583</v>
      </c>
      <c r="C38">
        <v>9</v>
      </c>
      <c r="D38">
        <v>31.600489799999998</v>
      </c>
      <c r="E38">
        <v>3.5111655333333331</v>
      </c>
      <c r="F38">
        <v>4.6089099999999998</v>
      </c>
    </row>
    <row r="39" spans="1:6">
      <c r="A39" t="s">
        <v>589</v>
      </c>
      <c r="B39" t="s">
        <v>588</v>
      </c>
      <c r="C39">
        <v>8</v>
      </c>
      <c r="D39">
        <v>82.199790899999996</v>
      </c>
      <c r="E39">
        <v>10.2749738625</v>
      </c>
      <c r="F39">
        <v>23.176310000000001</v>
      </c>
    </row>
    <row r="40" spans="1:6">
      <c r="A40" t="s">
        <v>594</v>
      </c>
      <c r="B40" t="s">
        <v>593</v>
      </c>
      <c r="C40">
        <v>8</v>
      </c>
      <c r="D40">
        <v>47.5003107</v>
      </c>
      <c r="E40">
        <v>5.9375388375</v>
      </c>
      <c r="F40">
        <v>8.3041699999999992</v>
      </c>
    </row>
    <row r="41" spans="1:6">
      <c r="A41" t="s">
        <v>598</v>
      </c>
      <c r="B41" t="s">
        <v>597</v>
      </c>
      <c r="C41">
        <v>8</v>
      </c>
      <c r="D41">
        <v>46.079999800000003</v>
      </c>
      <c r="E41">
        <v>5.7599999749999986</v>
      </c>
      <c r="F41">
        <v>9.4096094000000008</v>
      </c>
    </row>
    <row r="42" spans="1:6">
      <c r="A42" t="s">
        <v>600</v>
      </c>
      <c r="B42" t="s">
        <v>599</v>
      </c>
      <c r="C42">
        <v>8</v>
      </c>
      <c r="D42">
        <v>40.318918600000003</v>
      </c>
      <c r="E42">
        <v>5.0398648250000004</v>
      </c>
      <c r="F42">
        <v>9.9845890000000015</v>
      </c>
    </row>
    <row r="43" spans="1:6">
      <c r="A43" t="s">
        <v>604</v>
      </c>
      <c r="B43" t="s">
        <v>603</v>
      </c>
      <c r="C43">
        <v>8</v>
      </c>
      <c r="D43">
        <v>34.004319799999998</v>
      </c>
      <c r="E43">
        <v>4.2505399749999997</v>
      </c>
      <c r="F43">
        <v>5.8039199999999997</v>
      </c>
    </row>
    <row r="44" spans="1:6">
      <c r="A44" t="s">
        <v>608</v>
      </c>
      <c r="B44" t="s">
        <v>607</v>
      </c>
      <c r="C44">
        <v>8</v>
      </c>
      <c r="D44">
        <v>33.663689499999997</v>
      </c>
      <c r="E44">
        <v>4.2079611874999996</v>
      </c>
      <c r="F44">
        <v>6.3427199999999999</v>
      </c>
    </row>
    <row r="45" spans="1:6">
      <c r="A45" t="s">
        <v>610</v>
      </c>
      <c r="B45" t="s">
        <v>609</v>
      </c>
      <c r="C45">
        <v>8</v>
      </c>
      <c r="D45">
        <v>31.568740200000001</v>
      </c>
      <c r="E45">
        <v>3.9460925250000001</v>
      </c>
      <c r="F45">
        <v>8.1501999999999999</v>
      </c>
    </row>
    <row r="46" spans="1:6">
      <c r="A46" t="s">
        <v>612</v>
      </c>
      <c r="B46" t="s">
        <v>611</v>
      </c>
      <c r="C46">
        <v>8</v>
      </c>
      <c r="D46">
        <v>31.142550400000001</v>
      </c>
      <c r="E46">
        <v>3.8928188000000001</v>
      </c>
      <c r="F46">
        <v>7.1024500000000002</v>
      </c>
    </row>
    <row r="47" spans="1:6">
      <c r="A47" t="s">
        <v>617</v>
      </c>
      <c r="B47" t="s">
        <v>616</v>
      </c>
      <c r="C47">
        <v>8</v>
      </c>
      <c r="D47">
        <v>29.0163297</v>
      </c>
      <c r="E47">
        <v>3.6270412125</v>
      </c>
      <c r="F47">
        <v>5.6502298</v>
      </c>
    </row>
    <row r="48" spans="1:6">
      <c r="A48" t="s">
        <v>622</v>
      </c>
      <c r="B48" t="s">
        <v>621</v>
      </c>
      <c r="C48">
        <v>7</v>
      </c>
      <c r="D48">
        <v>79.375139400000009</v>
      </c>
      <c r="E48">
        <v>11.339305628571431</v>
      </c>
      <c r="F48">
        <v>19.427178999999999</v>
      </c>
    </row>
    <row r="49" spans="1:6">
      <c r="A49" t="s">
        <v>627</v>
      </c>
      <c r="B49" t="s">
        <v>626</v>
      </c>
      <c r="C49">
        <v>7</v>
      </c>
      <c r="D49">
        <v>52.917191799999998</v>
      </c>
      <c r="E49">
        <v>7.5595988285714304</v>
      </c>
      <c r="F49">
        <v>16.34355</v>
      </c>
    </row>
    <row r="50" spans="1:6">
      <c r="A50" t="s">
        <v>631</v>
      </c>
      <c r="B50" t="s">
        <v>630</v>
      </c>
      <c r="C50">
        <v>7</v>
      </c>
      <c r="D50">
        <v>49.067819999999998</v>
      </c>
      <c r="E50">
        <v>7.0096885714285708</v>
      </c>
      <c r="F50">
        <v>11.966799999999999</v>
      </c>
    </row>
    <row r="51" spans="1:6">
      <c r="A51" t="s">
        <v>635</v>
      </c>
      <c r="B51" t="s">
        <v>634</v>
      </c>
      <c r="C51">
        <v>7</v>
      </c>
      <c r="D51">
        <v>46.259279200000002</v>
      </c>
      <c r="E51">
        <v>6.6084684571428571</v>
      </c>
      <c r="F51">
        <v>8.9982994000000005</v>
      </c>
    </row>
    <row r="52" spans="1:6">
      <c r="A52" t="s">
        <v>639</v>
      </c>
      <c r="B52" t="s">
        <v>638</v>
      </c>
      <c r="C52">
        <v>7</v>
      </c>
      <c r="D52">
        <v>46.017029700000002</v>
      </c>
      <c r="E52">
        <v>6.5738613857142862</v>
      </c>
      <c r="F52">
        <v>7.9435304000000002</v>
      </c>
    </row>
    <row r="53" spans="1:6">
      <c r="A53" t="s">
        <v>643</v>
      </c>
      <c r="B53" t="s">
        <v>642</v>
      </c>
      <c r="C53">
        <v>7</v>
      </c>
      <c r="D53">
        <v>45.146329999999999</v>
      </c>
      <c r="E53">
        <v>6.4494757142857146</v>
      </c>
      <c r="F53">
        <v>11.738289999999999</v>
      </c>
    </row>
    <row r="54" spans="1:6">
      <c r="A54" t="s">
        <v>647</v>
      </c>
      <c r="B54" t="s">
        <v>646</v>
      </c>
      <c r="C54">
        <v>7</v>
      </c>
      <c r="D54">
        <v>40.787559999999999</v>
      </c>
      <c r="E54">
        <v>5.8267942857142856</v>
      </c>
      <c r="F54">
        <v>8.8031699999999997</v>
      </c>
    </row>
    <row r="55" spans="1:6">
      <c r="A55" t="s">
        <v>651</v>
      </c>
      <c r="B55" t="s">
        <v>650</v>
      </c>
      <c r="C55">
        <v>7</v>
      </c>
      <c r="D55">
        <v>39.341049299999987</v>
      </c>
      <c r="E55">
        <v>5.6201498999999986</v>
      </c>
      <c r="F55">
        <v>8.9501600000000003</v>
      </c>
    </row>
    <row r="56" spans="1:6">
      <c r="A56" t="s">
        <v>655</v>
      </c>
      <c r="B56" t="s">
        <v>654</v>
      </c>
      <c r="C56">
        <v>7</v>
      </c>
      <c r="D56">
        <v>32.945100199999999</v>
      </c>
      <c r="E56">
        <v>4.7064428857142859</v>
      </c>
      <c r="F56">
        <v>5.6738</v>
      </c>
    </row>
    <row r="57" spans="1:6">
      <c r="A57" t="s">
        <v>659</v>
      </c>
      <c r="B57" t="s">
        <v>658</v>
      </c>
      <c r="C57">
        <v>7</v>
      </c>
      <c r="D57">
        <v>31.502230000000001</v>
      </c>
      <c r="E57">
        <v>4.5003185714285712</v>
      </c>
      <c r="F57">
        <v>6.4648700000000003</v>
      </c>
    </row>
    <row r="58" spans="1:6">
      <c r="A58" t="s">
        <v>663</v>
      </c>
      <c r="B58" t="s">
        <v>662</v>
      </c>
      <c r="C58">
        <v>7</v>
      </c>
      <c r="D58">
        <v>29.7620507</v>
      </c>
      <c r="E58">
        <v>4.2517215285714283</v>
      </c>
      <c r="F58">
        <v>6.3476703999999993</v>
      </c>
    </row>
    <row r="59" spans="1:6">
      <c r="A59" t="s">
        <v>667</v>
      </c>
      <c r="B59" t="s">
        <v>666</v>
      </c>
      <c r="C59">
        <v>7</v>
      </c>
      <c r="D59">
        <v>28.71508</v>
      </c>
      <c r="E59">
        <v>4.1021542857142856</v>
      </c>
      <c r="F59">
        <v>4.6918202000000004</v>
      </c>
    </row>
    <row r="60" spans="1:6">
      <c r="A60" t="s">
        <v>671</v>
      </c>
      <c r="B60" t="s">
        <v>670</v>
      </c>
      <c r="C60">
        <v>7</v>
      </c>
      <c r="D60">
        <v>28.400259500000001</v>
      </c>
      <c r="E60">
        <v>4.0571799285714292</v>
      </c>
      <c r="F60">
        <v>4.6651499999999997</v>
      </c>
    </row>
    <row r="61" spans="1:6">
      <c r="A61" t="s">
        <v>673</v>
      </c>
      <c r="B61" t="s">
        <v>672</v>
      </c>
      <c r="C61">
        <v>7</v>
      </c>
      <c r="D61">
        <v>26.843589399999999</v>
      </c>
      <c r="E61">
        <v>3.8347984857142858</v>
      </c>
      <c r="F61">
        <v>5.7522997</v>
      </c>
    </row>
    <row r="62" spans="1:6">
      <c r="A62" t="s">
        <v>675</v>
      </c>
      <c r="B62" t="s">
        <v>674</v>
      </c>
      <c r="C62">
        <v>7</v>
      </c>
      <c r="D62">
        <v>23.940270000000002</v>
      </c>
      <c r="E62">
        <v>3.420038571428571</v>
      </c>
      <c r="F62">
        <v>4.7408799999999998</v>
      </c>
    </row>
    <row r="63" spans="1:6">
      <c r="A63" t="s">
        <v>679</v>
      </c>
      <c r="B63" t="s">
        <v>678</v>
      </c>
      <c r="C63">
        <v>6</v>
      </c>
      <c r="D63">
        <v>37.365690499999999</v>
      </c>
      <c r="E63">
        <v>6.2276150833333332</v>
      </c>
      <c r="F63">
        <v>9.8951705000000008</v>
      </c>
    </row>
    <row r="64" spans="1:6">
      <c r="A64" t="s">
        <v>683</v>
      </c>
      <c r="B64" t="s">
        <v>682</v>
      </c>
      <c r="C64">
        <v>6</v>
      </c>
      <c r="D64">
        <v>35.578550100000001</v>
      </c>
      <c r="E64">
        <v>5.9297583500000002</v>
      </c>
      <c r="F64">
        <v>15.15906</v>
      </c>
    </row>
    <row r="65" spans="1:6">
      <c r="A65" t="s">
        <v>687</v>
      </c>
      <c r="B65" t="s">
        <v>686</v>
      </c>
      <c r="C65">
        <v>6</v>
      </c>
      <c r="D65">
        <v>35.348370299999999</v>
      </c>
      <c r="E65">
        <v>5.8913950499999999</v>
      </c>
      <c r="F65">
        <v>9.24634</v>
      </c>
    </row>
    <row r="66" spans="1:6">
      <c r="A66" t="s">
        <v>689</v>
      </c>
      <c r="B66" t="s">
        <v>688</v>
      </c>
      <c r="C66">
        <v>6</v>
      </c>
      <c r="D66">
        <v>33.262430700000003</v>
      </c>
      <c r="E66">
        <v>5.5437384500000002</v>
      </c>
      <c r="F66">
        <v>8.1417105999999997</v>
      </c>
    </row>
    <row r="67" spans="1:6">
      <c r="A67" t="s">
        <v>693</v>
      </c>
      <c r="B67" t="s">
        <v>692</v>
      </c>
      <c r="C67">
        <v>6</v>
      </c>
      <c r="D67">
        <v>33.028740399999997</v>
      </c>
      <c r="E67">
        <v>5.5047900666666667</v>
      </c>
      <c r="F67">
        <v>7.691580000000001</v>
      </c>
    </row>
    <row r="68" spans="1:6">
      <c r="A68" t="s">
        <v>697</v>
      </c>
      <c r="B68" t="s">
        <v>696</v>
      </c>
      <c r="C68">
        <v>6</v>
      </c>
      <c r="D68">
        <v>30.206080499999999</v>
      </c>
      <c r="E68">
        <v>5.0343467499999992</v>
      </c>
      <c r="F68">
        <v>7.0668705000000003</v>
      </c>
    </row>
    <row r="69" spans="1:6">
      <c r="A69" t="s">
        <v>699</v>
      </c>
      <c r="B69" t="s">
        <v>698</v>
      </c>
      <c r="C69">
        <v>6</v>
      </c>
      <c r="D69">
        <v>27.103369600000001</v>
      </c>
      <c r="E69">
        <v>4.5172282666666668</v>
      </c>
      <c r="F69">
        <v>7.909040000000001</v>
      </c>
    </row>
    <row r="70" spans="1:6">
      <c r="A70" t="s">
        <v>703</v>
      </c>
      <c r="B70" t="s">
        <v>702</v>
      </c>
      <c r="C70">
        <v>6</v>
      </c>
      <c r="D70">
        <v>25.289489700000001</v>
      </c>
      <c r="E70">
        <v>4.2149149500000007</v>
      </c>
      <c r="F70">
        <v>6.3374899999999998</v>
      </c>
    </row>
    <row r="71" spans="1:6">
      <c r="A71" t="s">
        <v>705</v>
      </c>
      <c r="B71" t="s">
        <v>704</v>
      </c>
      <c r="C71">
        <v>6</v>
      </c>
      <c r="D71">
        <v>24.149969299999999</v>
      </c>
      <c r="E71">
        <v>4.0249948833333331</v>
      </c>
      <c r="F71">
        <v>4.5258596999999998</v>
      </c>
    </row>
    <row r="72" spans="1:6">
      <c r="A72" t="s">
        <v>709</v>
      </c>
      <c r="B72" t="s">
        <v>708</v>
      </c>
      <c r="C72">
        <v>6</v>
      </c>
      <c r="D72">
        <v>23.99813</v>
      </c>
      <c r="E72">
        <v>3.9996883333333342</v>
      </c>
      <c r="F72">
        <v>6.5982399999999997</v>
      </c>
    </row>
    <row r="73" spans="1:6">
      <c r="A73" t="s">
        <v>713</v>
      </c>
      <c r="B73" t="s">
        <v>712</v>
      </c>
      <c r="C73">
        <v>6</v>
      </c>
      <c r="D73">
        <v>23.639190200000002</v>
      </c>
      <c r="E73">
        <v>3.9398650333333332</v>
      </c>
      <c r="F73">
        <v>5.4485603999999999</v>
      </c>
    </row>
    <row r="74" spans="1:6">
      <c r="A74" t="s">
        <v>717</v>
      </c>
      <c r="B74" t="s">
        <v>716</v>
      </c>
      <c r="C74">
        <v>6</v>
      </c>
      <c r="D74">
        <v>23.1329593</v>
      </c>
      <c r="E74">
        <v>3.8554932166666669</v>
      </c>
      <c r="F74">
        <v>4.8045499999999999</v>
      </c>
    </row>
    <row r="75" spans="1:6">
      <c r="A75" t="s">
        <v>721</v>
      </c>
      <c r="B75" t="s">
        <v>720</v>
      </c>
      <c r="C75">
        <v>5</v>
      </c>
      <c r="D75">
        <v>51.30198</v>
      </c>
      <c r="E75">
        <v>10.260396</v>
      </c>
      <c r="F75">
        <v>15.36994</v>
      </c>
    </row>
    <row r="76" spans="1:6">
      <c r="A76" t="s">
        <v>725</v>
      </c>
      <c r="B76" t="s">
        <v>724</v>
      </c>
      <c r="C76">
        <v>5</v>
      </c>
      <c r="D76">
        <v>46.820129999999999</v>
      </c>
      <c r="E76">
        <v>9.3640260000000008</v>
      </c>
      <c r="F76">
        <v>16.719149999999999</v>
      </c>
    </row>
    <row r="77" spans="1:6">
      <c r="A77" t="s">
        <v>729</v>
      </c>
      <c r="B77" t="s">
        <v>728</v>
      </c>
      <c r="C77">
        <v>5</v>
      </c>
      <c r="D77">
        <v>46.7182101</v>
      </c>
      <c r="E77">
        <v>9.3436420200000008</v>
      </c>
      <c r="F77">
        <v>14.15066</v>
      </c>
    </row>
    <row r="78" spans="1:6">
      <c r="A78" t="s">
        <v>733</v>
      </c>
      <c r="B78" t="s">
        <v>732</v>
      </c>
      <c r="C78">
        <v>5</v>
      </c>
      <c r="D78">
        <v>45.416490000000003</v>
      </c>
      <c r="E78">
        <v>9.0832979999999992</v>
      </c>
      <c r="F78">
        <v>14.76544</v>
      </c>
    </row>
    <row r="79" spans="1:6">
      <c r="A79" t="s">
        <v>737</v>
      </c>
      <c r="B79" t="s">
        <v>736</v>
      </c>
      <c r="C79">
        <v>5</v>
      </c>
      <c r="D79">
        <v>36.592278999999998</v>
      </c>
      <c r="E79">
        <v>7.3184557999999997</v>
      </c>
      <c r="F79">
        <v>10.215259</v>
      </c>
    </row>
    <row r="80" spans="1:6">
      <c r="A80" t="s">
        <v>741</v>
      </c>
      <c r="B80" t="s">
        <v>740</v>
      </c>
      <c r="C80">
        <v>5</v>
      </c>
      <c r="D80">
        <v>31.850690950000001</v>
      </c>
      <c r="E80">
        <v>6.3701381899999996</v>
      </c>
      <c r="F80">
        <v>9.8068100000000005</v>
      </c>
    </row>
    <row r="81" spans="1:6">
      <c r="A81" t="s">
        <v>745</v>
      </c>
      <c r="B81" t="s">
        <v>744</v>
      </c>
      <c r="C81">
        <v>5</v>
      </c>
      <c r="D81">
        <v>26.317439799999999</v>
      </c>
      <c r="E81">
        <v>5.26348796</v>
      </c>
      <c r="F81">
        <v>7.1052500000000007</v>
      </c>
    </row>
    <row r="82" spans="1:6">
      <c r="A82" t="s">
        <v>749</v>
      </c>
      <c r="B82" t="s">
        <v>748</v>
      </c>
      <c r="C82">
        <v>5</v>
      </c>
      <c r="D82">
        <v>26.253070000000001</v>
      </c>
      <c r="E82">
        <v>5.2506139999999997</v>
      </c>
      <c r="F82">
        <v>6.8386600000000008</v>
      </c>
    </row>
    <row r="83" spans="1:6">
      <c r="A83" t="s">
        <v>753</v>
      </c>
      <c r="B83" t="s">
        <v>752</v>
      </c>
      <c r="C83">
        <v>5</v>
      </c>
      <c r="D83">
        <v>26.253049399999998</v>
      </c>
      <c r="E83">
        <v>5.2506098799999998</v>
      </c>
      <c r="F83">
        <v>8.6219699999999992</v>
      </c>
    </row>
    <row r="84" spans="1:6">
      <c r="A84" t="s">
        <v>758</v>
      </c>
      <c r="B84" t="s">
        <v>757</v>
      </c>
      <c r="C84">
        <v>5</v>
      </c>
      <c r="D84">
        <v>26.128030299999999</v>
      </c>
      <c r="E84">
        <v>5.2256060599999996</v>
      </c>
      <c r="F84">
        <v>6.9428400000000003</v>
      </c>
    </row>
    <row r="85" spans="1:6">
      <c r="A85" t="s">
        <v>762</v>
      </c>
      <c r="B85" t="s">
        <v>761</v>
      </c>
      <c r="C85">
        <v>5</v>
      </c>
      <c r="D85">
        <v>25.869930100000001</v>
      </c>
      <c r="E85">
        <v>5.1739860200000001</v>
      </c>
      <c r="F85">
        <v>6.3575803999999998</v>
      </c>
    </row>
    <row r="86" spans="1:6">
      <c r="A86" t="s">
        <v>766</v>
      </c>
      <c r="B86" t="s">
        <v>765</v>
      </c>
      <c r="C86">
        <v>5</v>
      </c>
      <c r="D86">
        <v>25.807920200000002</v>
      </c>
      <c r="E86">
        <v>5.1615840400000002</v>
      </c>
      <c r="F86">
        <v>7.4959499999999997</v>
      </c>
    </row>
    <row r="87" spans="1:6">
      <c r="A87" t="s">
        <v>768</v>
      </c>
      <c r="B87" t="s">
        <v>767</v>
      </c>
      <c r="C87">
        <v>5</v>
      </c>
      <c r="D87">
        <v>24.957210499999999</v>
      </c>
      <c r="E87">
        <v>4.9914421000000004</v>
      </c>
      <c r="F87">
        <v>8.9059399999999993</v>
      </c>
    </row>
    <row r="88" spans="1:6">
      <c r="A88" t="s">
        <v>772</v>
      </c>
      <c r="B88" t="s">
        <v>771</v>
      </c>
      <c r="C88">
        <v>5</v>
      </c>
      <c r="D88">
        <v>24.619749800000001</v>
      </c>
      <c r="E88">
        <v>4.9239499599999998</v>
      </c>
      <c r="F88">
        <v>8.5210400000000011</v>
      </c>
    </row>
    <row r="89" spans="1:6">
      <c r="A89" t="s">
        <v>776</v>
      </c>
      <c r="B89" t="s">
        <v>775</v>
      </c>
      <c r="C89">
        <v>5</v>
      </c>
      <c r="D89">
        <v>23.871230199999999</v>
      </c>
      <c r="E89">
        <v>4.7742460400000004</v>
      </c>
      <c r="F89">
        <v>5.8542700000000014</v>
      </c>
    </row>
    <row r="90" spans="1:6">
      <c r="A90" t="s">
        <v>778</v>
      </c>
      <c r="B90" t="s">
        <v>777</v>
      </c>
      <c r="C90">
        <v>5</v>
      </c>
      <c r="D90">
        <v>22.6961999</v>
      </c>
      <c r="E90">
        <v>4.5392399799999996</v>
      </c>
      <c r="F90">
        <v>8.1114099999999993</v>
      </c>
    </row>
    <row r="91" spans="1:6">
      <c r="A91" t="s">
        <v>782</v>
      </c>
      <c r="B91" t="s">
        <v>781</v>
      </c>
      <c r="C91">
        <v>5</v>
      </c>
      <c r="D91">
        <v>22.548450500000001</v>
      </c>
      <c r="E91">
        <v>4.5096901000000003</v>
      </c>
      <c r="F91">
        <v>5.3347199999999999</v>
      </c>
    </row>
    <row r="92" spans="1:6">
      <c r="A92" t="s">
        <v>787</v>
      </c>
      <c r="B92" t="s">
        <v>786</v>
      </c>
      <c r="C92">
        <v>5</v>
      </c>
      <c r="D92">
        <v>22.347029800000001</v>
      </c>
      <c r="E92">
        <v>4.4694059599999996</v>
      </c>
      <c r="F92">
        <v>6.7414500000000004</v>
      </c>
    </row>
    <row r="93" spans="1:6">
      <c r="A93" t="s">
        <v>791</v>
      </c>
      <c r="B93" t="s">
        <v>790</v>
      </c>
      <c r="C93">
        <v>5</v>
      </c>
      <c r="D93">
        <v>22.274819999999998</v>
      </c>
      <c r="E93">
        <v>4.4549640000000004</v>
      </c>
      <c r="F93">
        <v>10.664479999999999</v>
      </c>
    </row>
    <row r="94" spans="1:6">
      <c r="A94" t="s">
        <v>796</v>
      </c>
      <c r="B94" t="s">
        <v>795</v>
      </c>
      <c r="C94">
        <v>5</v>
      </c>
      <c r="D94">
        <v>21.99558</v>
      </c>
      <c r="E94">
        <v>4.3991159999999994</v>
      </c>
      <c r="F94">
        <v>5.7141299999999999</v>
      </c>
    </row>
    <row r="95" spans="1:6">
      <c r="A95" t="s">
        <v>800</v>
      </c>
      <c r="B95" t="s">
        <v>799</v>
      </c>
      <c r="C95">
        <v>5</v>
      </c>
      <c r="D95">
        <v>21.35707</v>
      </c>
      <c r="E95">
        <v>4.271414</v>
      </c>
      <c r="F95">
        <v>5.6487999999999996</v>
      </c>
    </row>
    <row r="96" spans="1:6">
      <c r="A96" t="s">
        <v>802</v>
      </c>
      <c r="B96" t="s">
        <v>801</v>
      </c>
      <c r="C96">
        <v>5</v>
      </c>
      <c r="D96">
        <v>21.290339899999999</v>
      </c>
      <c r="E96">
        <v>4.2580679799999999</v>
      </c>
      <c r="F96">
        <v>5.4125298000000006</v>
      </c>
    </row>
    <row r="97" spans="1:6">
      <c r="A97" t="s">
        <v>806</v>
      </c>
      <c r="B97" t="s">
        <v>805</v>
      </c>
      <c r="C97">
        <v>5</v>
      </c>
      <c r="D97">
        <v>20.862539600000002</v>
      </c>
      <c r="E97">
        <v>4.1725079200000001</v>
      </c>
      <c r="F97">
        <v>10.50311</v>
      </c>
    </row>
    <row r="98" spans="1:6">
      <c r="A98" t="s">
        <v>810</v>
      </c>
      <c r="B98" t="s">
        <v>809</v>
      </c>
      <c r="C98">
        <v>5</v>
      </c>
      <c r="D98">
        <v>20.416170600000001</v>
      </c>
      <c r="E98">
        <v>4.0832341199999993</v>
      </c>
      <c r="F98">
        <v>4.3769304</v>
      </c>
    </row>
    <row r="99" spans="1:6">
      <c r="A99" t="s">
        <v>814</v>
      </c>
      <c r="B99" t="s">
        <v>813</v>
      </c>
      <c r="C99">
        <v>5</v>
      </c>
      <c r="D99">
        <v>18.061020200000002</v>
      </c>
      <c r="E99">
        <v>3.6122040399999999</v>
      </c>
      <c r="F99">
        <v>4.7080799999999998</v>
      </c>
    </row>
    <row r="100" spans="1:6">
      <c r="A100" t="s">
        <v>816</v>
      </c>
      <c r="B100" t="s">
        <v>815</v>
      </c>
      <c r="C100">
        <v>5</v>
      </c>
      <c r="D100">
        <v>18.023910000000001</v>
      </c>
      <c r="E100">
        <v>3.6047819999999988</v>
      </c>
      <c r="F100">
        <v>4.7705498000000004</v>
      </c>
    </row>
    <row r="101" spans="1:6">
      <c r="A101" t="s">
        <v>820</v>
      </c>
      <c r="B101" t="s">
        <v>819</v>
      </c>
      <c r="C101">
        <v>5</v>
      </c>
      <c r="D101">
        <v>16.4540902</v>
      </c>
      <c r="E101">
        <v>3.29081804</v>
      </c>
      <c r="F101">
        <v>3.8367499999999999</v>
      </c>
    </row>
    <row r="102" spans="1:6">
      <c r="A102" t="s">
        <v>825</v>
      </c>
      <c r="B102" t="s">
        <v>824</v>
      </c>
      <c r="C102">
        <v>5</v>
      </c>
      <c r="D102">
        <v>12.84042</v>
      </c>
      <c r="E102">
        <v>2.5680839999999998</v>
      </c>
      <c r="F102">
        <v>3.2464599999999999</v>
      </c>
    </row>
    <row r="103" spans="1:6">
      <c r="A103" t="s">
        <v>830</v>
      </c>
      <c r="B103" t="s">
        <v>829</v>
      </c>
      <c r="C103">
        <v>4</v>
      </c>
      <c r="D103">
        <v>62.427690000000013</v>
      </c>
      <c r="E103">
        <v>15.6069225</v>
      </c>
      <c r="F103">
        <v>29.342140000000001</v>
      </c>
    </row>
    <row r="104" spans="1:6">
      <c r="A104" t="s">
        <v>832</v>
      </c>
      <c r="B104" t="s">
        <v>831</v>
      </c>
      <c r="C104">
        <v>4</v>
      </c>
      <c r="D104">
        <v>48.757568999999997</v>
      </c>
      <c r="E104">
        <v>12.189392249999999</v>
      </c>
      <c r="F104">
        <v>19.740379000000001</v>
      </c>
    </row>
    <row r="105" spans="1:6">
      <c r="A105" t="s">
        <v>836</v>
      </c>
      <c r="B105" t="s">
        <v>835</v>
      </c>
      <c r="C105">
        <v>4</v>
      </c>
      <c r="D105">
        <v>29.366959999999999</v>
      </c>
      <c r="E105">
        <v>7.3417399999999997</v>
      </c>
      <c r="F105">
        <v>7.6186100000000003</v>
      </c>
    </row>
    <row r="106" spans="1:6">
      <c r="A106" t="s">
        <v>840</v>
      </c>
      <c r="B106" t="s">
        <v>839</v>
      </c>
      <c r="C106">
        <v>4</v>
      </c>
      <c r="D106">
        <v>28.083919900000009</v>
      </c>
      <c r="E106">
        <v>7.0209799750000013</v>
      </c>
      <c r="F106">
        <v>15.64974</v>
      </c>
    </row>
    <row r="107" spans="1:6">
      <c r="A107" t="s">
        <v>844</v>
      </c>
      <c r="B107" t="s">
        <v>843</v>
      </c>
      <c r="C107">
        <v>4</v>
      </c>
      <c r="D107">
        <v>27.900289600000001</v>
      </c>
      <c r="E107">
        <v>6.9750724000000002</v>
      </c>
      <c r="F107">
        <v>9.6511095999999998</v>
      </c>
    </row>
    <row r="108" spans="1:6">
      <c r="A108" t="s">
        <v>849</v>
      </c>
      <c r="B108" t="s">
        <v>848</v>
      </c>
      <c r="C108">
        <v>4</v>
      </c>
      <c r="D108">
        <v>26.425899999999999</v>
      </c>
      <c r="E108">
        <v>6.6064750000000014</v>
      </c>
      <c r="F108">
        <v>9.8848599999999998</v>
      </c>
    </row>
    <row r="109" spans="1:6">
      <c r="A109" t="s">
        <v>854</v>
      </c>
      <c r="B109" t="s">
        <v>853</v>
      </c>
      <c r="C109">
        <v>4</v>
      </c>
      <c r="D109">
        <v>26.293780399999999</v>
      </c>
      <c r="E109">
        <v>6.5734450999999998</v>
      </c>
      <c r="F109">
        <v>9.2951000000000015</v>
      </c>
    </row>
    <row r="110" spans="1:6">
      <c r="A110" t="s">
        <v>858</v>
      </c>
      <c r="B110" t="s">
        <v>857</v>
      </c>
      <c r="C110">
        <v>4</v>
      </c>
      <c r="D110">
        <v>22.304020000000001</v>
      </c>
      <c r="E110">
        <v>5.5760050000000003</v>
      </c>
      <c r="F110">
        <v>7.4290800000000008</v>
      </c>
    </row>
    <row r="111" spans="1:6">
      <c r="A111" t="s">
        <v>862</v>
      </c>
      <c r="B111" t="s">
        <v>861</v>
      </c>
      <c r="C111">
        <v>4</v>
      </c>
      <c r="D111">
        <v>21.615319</v>
      </c>
      <c r="E111">
        <v>5.4038297499999999</v>
      </c>
      <c r="F111">
        <v>8.7496589999999994</v>
      </c>
    </row>
    <row r="112" spans="1:6">
      <c r="A112" t="s">
        <v>866</v>
      </c>
      <c r="B112" t="s">
        <v>865</v>
      </c>
      <c r="C112">
        <v>4</v>
      </c>
      <c r="D112">
        <v>20.966799699999999</v>
      </c>
      <c r="E112">
        <v>5.2416999249999998</v>
      </c>
      <c r="F112">
        <v>7.2816099999999997</v>
      </c>
    </row>
    <row r="113" spans="1:6">
      <c r="A113" t="s">
        <v>870</v>
      </c>
      <c r="B113" t="s">
        <v>869</v>
      </c>
      <c r="C113">
        <v>4</v>
      </c>
      <c r="D113">
        <v>20.090420000000002</v>
      </c>
      <c r="E113">
        <v>5.0226050000000004</v>
      </c>
      <c r="F113">
        <v>7.2221700000000002</v>
      </c>
    </row>
    <row r="114" spans="1:6">
      <c r="A114" t="s">
        <v>872</v>
      </c>
      <c r="B114" t="s">
        <v>871</v>
      </c>
      <c r="C114">
        <v>4</v>
      </c>
      <c r="D114">
        <v>19.64669</v>
      </c>
      <c r="E114">
        <v>4.9116724999999999</v>
      </c>
      <c r="F114">
        <v>6.0463100000000001</v>
      </c>
    </row>
    <row r="115" spans="1:6">
      <c r="A115" t="s">
        <v>876</v>
      </c>
      <c r="B115" t="s">
        <v>875</v>
      </c>
      <c r="C115">
        <v>4</v>
      </c>
      <c r="D115">
        <v>19.537740100000001</v>
      </c>
      <c r="E115">
        <v>4.8844350250000002</v>
      </c>
      <c r="F115">
        <v>8.7289099999999991</v>
      </c>
    </row>
    <row r="116" spans="1:6">
      <c r="A116" t="s">
        <v>880</v>
      </c>
      <c r="B116" t="s">
        <v>879</v>
      </c>
      <c r="C116">
        <v>4</v>
      </c>
      <c r="D116">
        <v>19.2327394</v>
      </c>
      <c r="E116">
        <v>4.80818485</v>
      </c>
      <c r="F116">
        <v>5.4776499999999997</v>
      </c>
    </row>
    <row r="117" spans="1:6">
      <c r="A117" t="s">
        <v>884</v>
      </c>
      <c r="B117" t="s">
        <v>883</v>
      </c>
      <c r="C117">
        <v>4</v>
      </c>
      <c r="D117">
        <v>19.0473696</v>
      </c>
      <c r="E117">
        <v>4.7618423999999999</v>
      </c>
      <c r="F117">
        <v>7.6829099999999997</v>
      </c>
    </row>
    <row r="118" spans="1:6">
      <c r="A118" t="s">
        <v>888</v>
      </c>
      <c r="B118" t="s">
        <v>887</v>
      </c>
      <c r="C118">
        <v>4</v>
      </c>
      <c r="D118">
        <v>18.189699600000001</v>
      </c>
      <c r="E118">
        <v>4.5474248999999993</v>
      </c>
      <c r="F118">
        <v>5.0763695999999996</v>
      </c>
    </row>
    <row r="119" spans="1:6">
      <c r="A119" t="s">
        <v>892</v>
      </c>
      <c r="B119" t="s">
        <v>891</v>
      </c>
      <c r="C119">
        <v>4</v>
      </c>
      <c r="D119">
        <v>18.006750100000001</v>
      </c>
      <c r="E119">
        <v>4.5016875249999986</v>
      </c>
      <c r="F119">
        <v>5.6545199999999998</v>
      </c>
    </row>
    <row r="120" spans="1:6">
      <c r="A120" t="s">
        <v>896</v>
      </c>
      <c r="B120" t="s">
        <v>895</v>
      </c>
      <c r="C120">
        <v>4</v>
      </c>
      <c r="D120">
        <v>17.627969499999999</v>
      </c>
      <c r="E120">
        <v>4.4069923750000006</v>
      </c>
      <c r="F120">
        <v>5.6283697000000004</v>
      </c>
    </row>
    <row r="121" spans="1:6">
      <c r="A121" t="s">
        <v>898</v>
      </c>
      <c r="B121" t="s">
        <v>897</v>
      </c>
      <c r="C121">
        <v>4</v>
      </c>
      <c r="D121">
        <v>17.324179999999998</v>
      </c>
      <c r="E121">
        <v>4.3310449999999996</v>
      </c>
      <c r="F121">
        <v>5.5652799999999996</v>
      </c>
    </row>
    <row r="122" spans="1:6">
      <c r="A122" t="s">
        <v>900</v>
      </c>
      <c r="B122" t="s">
        <v>899</v>
      </c>
      <c r="C122">
        <v>4</v>
      </c>
      <c r="D122">
        <v>17.23556</v>
      </c>
      <c r="E122">
        <v>4.3088899999999999</v>
      </c>
      <c r="F122">
        <v>4.8718400000000006</v>
      </c>
    </row>
    <row r="123" spans="1:6">
      <c r="A123" t="s">
        <v>904</v>
      </c>
      <c r="B123" t="s">
        <v>903</v>
      </c>
      <c r="C123">
        <v>4</v>
      </c>
      <c r="D123">
        <v>17.155650099999999</v>
      </c>
      <c r="E123">
        <v>4.2889125249999998</v>
      </c>
      <c r="F123">
        <v>4.5352202000000004</v>
      </c>
    </row>
    <row r="124" spans="1:6">
      <c r="A124" t="s">
        <v>908</v>
      </c>
      <c r="B124" t="s">
        <v>907</v>
      </c>
      <c r="C124">
        <v>4</v>
      </c>
      <c r="D124">
        <v>16.621600099999998</v>
      </c>
      <c r="E124">
        <v>4.1554000249999996</v>
      </c>
      <c r="F124">
        <v>7.0587999999999997</v>
      </c>
    </row>
    <row r="125" spans="1:6">
      <c r="A125" t="s">
        <v>913</v>
      </c>
      <c r="B125" t="s">
        <v>912</v>
      </c>
      <c r="C125">
        <v>4</v>
      </c>
      <c r="D125">
        <v>16.2055498</v>
      </c>
      <c r="E125">
        <v>4.05138745</v>
      </c>
      <c r="F125">
        <v>5.1227997999999992</v>
      </c>
    </row>
    <row r="126" spans="1:6">
      <c r="A126" t="s">
        <v>915</v>
      </c>
      <c r="B126" t="s">
        <v>914</v>
      </c>
      <c r="C126">
        <v>4</v>
      </c>
      <c r="D126">
        <v>16.079670199999999</v>
      </c>
      <c r="E126">
        <v>4.0199175500000006</v>
      </c>
      <c r="F126">
        <v>4.6956199999999999</v>
      </c>
    </row>
    <row r="127" spans="1:6">
      <c r="A127" t="s">
        <v>917</v>
      </c>
      <c r="B127" t="s">
        <v>916</v>
      </c>
      <c r="C127">
        <v>4</v>
      </c>
      <c r="D127">
        <v>15.5206996</v>
      </c>
      <c r="E127">
        <v>3.8801749000000001</v>
      </c>
      <c r="F127">
        <v>5.6206997000000003</v>
      </c>
    </row>
    <row r="128" spans="1:6">
      <c r="A128" t="s">
        <v>919</v>
      </c>
      <c r="B128" t="s">
        <v>918</v>
      </c>
      <c r="C128">
        <v>4</v>
      </c>
      <c r="D128">
        <v>15.338840299999999</v>
      </c>
      <c r="E128">
        <v>3.8347100749999998</v>
      </c>
      <c r="F128">
        <v>4.9952503000000004</v>
      </c>
    </row>
    <row r="129" spans="1:6">
      <c r="A129" t="s">
        <v>921</v>
      </c>
      <c r="B129" t="s">
        <v>920</v>
      </c>
      <c r="C129">
        <v>4</v>
      </c>
      <c r="D129">
        <v>14.37387</v>
      </c>
      <c r="E129">
        <v>3.5934675</v>
      </c>
      <c r="F129">
        <v>4.3428300000000002</v>
      </c>
    </row>
    <row r="130" spans="1:6">
      <c r="A130" t="s">
        <v>925</v>
      </c>
      <c r="B130" t="s">
        <v>924</v>
      </c>
      <c r="C130">
        <v>4</v>
      </c>
      <c r="D130">
        <v>13.957100000000001</v>
      </c>
      <c r="E130">
        <v>3.4892750000000001</v>
      </c>
      <c r="F130">
        <v>4.8794900000000014</v>
      </c>
    </row>
    <row r="131" spans="1:6">
      <c r="A131" t="s">
        <v>929</v>
      </c>
      <c r="B131" t="s">
        <v>928</v>
      </c>
      <c r="C131">
        <v>4</v>
      </c>
      <c r="D131">
        <v>13.938420000000001</v>
      </c>
      <c r="E131">
        <v>3.4846050000000002</v>
      </c>
      <c r="F131">
        <v>3.8271199999999999</v>
      </c>
    </row>
    <row r="132" spans="1:6">
      <c r="A132" t="s">
        <v>933</v>
      </c>
      <c r="B132" t="s">
        <v>932</v>
      </c>
      <c r="C132">
        <v>4</v>
      </c>
      <c r="D132">
        <v>13.661330299999999</v>
      </c>
      <c r="E132">
        <v>3.4153325749999999</v>
      </c>
      <c r="F132">
        <v>3.886480300000001</v>
      </c>
    </row>
    <row r="133" spans="1:6">
      <c r="A133" t="s">
        <v>937</v>
      </c>
      <c r="B133" t="s">
        <v>936</v>
      </c>
      <c r="C133">
        <v>4</v>
      </c>
      <c r="D133">
        <v>13.2261504</v>
      </c>
      <c r="E133">
        <v>3.3065376</v>
      </c>
      <c r="F133">
        <v>5.0208903999999999</v>
      </c>
    </row>
    <row r="134" spans="1:6">
      <c r="A134" t="s">
        <v>939</v>
      </c>
      <c r="B134" t="s">
        <v>938</v>
      </c>
      <c r="C134">
        <v>4</v>
      </c>
      <c r="D134">
        <v>12.6313899</v>
      </c>
      <c r="E134">
        <v>3.1578474750000001</v>
      </c>
      <c r="F134">
        <v>4.5951700000000004</v>
      </c>
    </row>
    <row r="135" spans="1:6">
      <c r="A135" t="s">
        <v>941</v>
      </c>
      <c r="B135" t="s">
        <v>940</v>
      </c>
      <c r="C135">
        <v>4</v>
      </c>
      <c r="D135">
        <v>12.342639999999999</v>
      </c>
      <c r="E135">
        <v>3.0856599999999998</v>
      </c>
      <c r="F135">
        <v>4.8093899999999996</v>
      </c>
    </row>
    <row r="136" spans="1:6">
      <c r="A136" t="s">
        <v>945</v>
      </c>
      <c r="B136" t="s">
        <v>944</v>
      </c>
      <c r="C136">
        <v>4</v>
      </c>
      <c r="D136">
        <v>11.871</v>
      </c>
      <c r="E136">
        <v>2.9677500000000001</v>
      </c>
      <c r="F136">
        <v>3.7570700000000001</v>
      </c>
    </row>
    <row r="137" spans="1:6">
      <c r="A137" t="s">
        <v>949</v>
      </c>
      <c r="B137" t="s">
        <v>948</v>
      </c>
      <c r="C137">
        <v>3</v>
      </c>
      <c r="D137">
        <v>29.704529999999998</v>
      </c>
      <c r="E137">
        <v>9.90151</v>
      </c>
      <c r="F137">
        <v>18.474930000000001</v>
      </c>
    </row>
    <row r="138" spans="1:6">
      <c r="A138" t="s">
        <v>953</v>
      </c>
      <c r="B138" t="s">
        <v>952</v>
      </c>
      <c r="C138">
        <v>3</v>
      </c>
      <c r="D138">
        <v>23.829610599999999</v>
      </c>
      <c r="E138">
        <v>7.9432035333333344</v>
      </c>
      <c r="F138">
        <v>8.1112206000000011</v>
      </c>
    </row>
    <row r="139" spans="1:6">
      <c r="A139" t="s">
        <v>958</v>
      </c>
      <c r="B139" t="s">
        <v>957</v>
      </c>
      <c r="C139">
        <v>3</v>
      </c>
      <c r="D139">
        <v>22.1716598</v>
      </c>
      <c r="E139">
        <v>7.390553266666668</v>
      </c>
      <c r="F139">
        <v>10.71637</v>
      </c>
    </row>
    <row r="140" spans="1:6">
      <c r="A140" t="s">
        <v>962</v>
      </c>
      <c r="B140" t="s">
        <v>961</v>
      </c>
      <c r="C140">
        <v>3</v>
      </c>
      <c r="D140">
        <v>21.591939100000001</v>
      </c>
      <c r="E140">
        <v>7.1973130333333328</v>
      </c>
      <c r="F140">
        <v>8.2073599999999995</v>
      </c>
    </row>
    <row r="141" spans="1:6">
      <c r="A141" t="s">
        <v>967</v>
      </c>
      <c r="B141" t="s">
        <v>966</v>
      </c>
      <c r="C141">
        <v>3</v>
      </c>
      <c r="D141">
        <v>21.591030199999999</v>
      </c>
      <c r="E141">
        <v>7.1970100666666674</v>
      </c>
      <c r="F141">
        <v>12.952830000000001</v>
      </c>
    </row>
    <row r="142" spans="1:6">
      <c r="A142" t="s">
        <v>972</v>
      </c>
      <c r="B142" t="s">
        <v>971</v>
      </c>
      <c r="C142">
        <v>3</v>
      </c>
      <c r="D142">
        <v>20.4046898</v>
      </c>
      <c r="E142">
        <v>6.8015632666666672</v>
      </c>
      <c r="F142">
        <v>8.3653899999999997</v>
      </c>
    </row>
    <row r="143" spans="1:6">
      <c r="A143" t="s">
        <v>977</v>
      </c>
      <c r="B143" t="s">
        <v>976</v>
      </c>
      <c r="C143">
        <v>3</v>
      </c>
      <c r="D143">
        <v>20.380950299999999</v>
      </c>
      <c r="E143">
        <v>6.7936500999999998</v>
      </c>
      <c r="F143">
        <v>10.915430000000001</v>
      </c>
    </row>
    <row r="144" spans="1:6">
      <c r="A144" t="s">
        <v>981</v>
      </c>
      <c r="B144" t="s">
        <v>980</v>
      </c>
      <c r="C144">
        <v>3</v>
      </c>
      <c r="D144">
        <v>20.176259999999999</v>
      </c>
      <c r="E144">
        <v>6.7254199999999997</v>
      </c>
      <c r="F144">
        <v>7.5559900000000004</v>
      </c>
    </row>
    <row r="145" spans="1:6">
      <c r="A145" t="s">
        <v>985</v>
      </c>
      <c r="B145" t="s">
        <v>984</v>
      </c>
      <c r="C145">
        <v>3</v>
      </c>
      <c r="D145">
        <v>17.931119599999999</v>
      </c>
      <c r="E145">
        <v>5.9770398666666669</v>
      </c>
      <c r="F145">
        <v>9.8148695999999997</v>
      </c>
    </row>
    <row r="146" spans="1:6">
      <c r="A146" t="s">
        <v>987</v>
      </c>
      <c r="B146" t="s">
        <v>986</v>
      </c>
      <c r="C146">
        <v>3</v>
      </c>
      <c r="D146">
        <v>17.719940000000001</v>
      </c>
      <c r="E146">
        <v>5.906646666666667</v>
      </c>
      <c r="F146">
        <v>6.9325300000000007</v>
      </c>
    </row>
    <row r="147" spans="1:6">
      <c r="A147" t="s">
        <v>991</v>
      </c>
      <c r="B147" t="s">
        <v>990</v>
      </c>
      <c r="C147">
        <v>3</v>
      </c>
      <c r="D147">
        <v>17.578209999999999</v>
      </c>
      <c r="E147">
        <v>5.8594033333333329</v>
      </c>
      <c r="F147">
        <v>10.243969999999999</v>
      </c>
    </row>
    <row r="148" spans="1:6">
      <c r="A148" t="s">
        <v>996</v>
      </c>
      <c r="B148" t="s">
        <v>995</v>
      </c>
      <c r="C148">
        <v>3</v>
      </c>
      <c r="D148">
        <v>17.19482</v>
      </c>
      <c r="E148">
        <v>5.7316066666666661</v>
      </c>
      <c r="F148">
        <v>9.1044999999999998</v>
      </c>
    </row>
    <row r="149" spans="1:6">
      <c r="A149" t="s">
        <v>998</v>
      </c>
      <c r="B149" t="s">
        <v>997</v>
      </c>
      <c r="C149">
        <v>3</v>
      </c>
      <c r="D149">
        <v>16.709949999999999</v>
      </c>
      <c r="E149">
        <v>5.569983333333334</v>
      </c>
      <c r="F149">
        <v>7.1007899999999999</v>
      </c>
    </row>
    <row r="150" spans="1:6">
      <c r="A150" t="s">
        <v>1002</v>
      </c>
      <c r="B150" t="s">
        <v>1001</v>
      </c>
      <c r="C150">
        <v>3</v>
      </c>
      <c r="D150">
        <v>16.3150598</v>
      </c>
      <c r="E150">
        <v>5.4383532666666667</v>
      </c>
      <c r="F150">
        <v>7.6636800000000003</v>
      </c>
    </row>
    <row r="151" spans="1:6">
      <c r="A151" t="s">
        <v>1007</v>
      </c>
      <c r="B151" t="s">
        <v>1006</v>
      </c>
      <c r="C151">
        <v>3</v>
      </c>
      <c r="D151">
        <v>16.033550300000002</v>
      </c>
      <c r="E151">
        <v>5.3445167666666658</v>
      </c>
      <c r="F151">
        <v>5.5081703000000006</v>
      </c>
    </row>
    <row r="152" spans="1:6">
      <c r="A152" t="s">
        <v>1009</v>
      </c>
      <c r="B152" t="s">
        <v>1008</v>
      </c>
      <c r="C152">
        <v>3</v>
      </c>
      <c r="D152">
        <v>15.8909299</v>
      </c>
      <c r="E152">
        <v>5.2969766333333332</v>
      </c>
      <c r="F152">
        <v>7.9341404000000004</v>
      </c>
    </row>
    <row r="153" spans="1:6">
      <c r="A153" t="s">
        <v>1013</v>
      </c>
      <c r="B153" t="s">
        <v>1012</v>
      </c>
      <c r="C153">
        <v>3</v>
      </c>
      <c r="D153">
        <v>15.73016</v>
      </c>
      <c r="E153">
        <v>5.243386666666666</v>
      </c>
      <c r="F153">
        <v>6.5762400000000003</v>
      </c>
    </row>
    <row r="154" spans="1:6">
      <c r="A154" t="s">
        <v>1017</v>
      </c>
      <c r="B154" t="s">
        <v>1016</v>
      </c>
      <c r="C154">
        <v>3</v>
      </c>
      <c r="D154">
        <v>15.4886</v>
      </c>
      <c r="E154">
        <v>5.162866666666666</v>
      </c>
      <c r="F154">
        <v>8.1087600000000002</v>
      </c>
    </row>
    <row r="155" spans="1:6">
      <c r="A155" t="s">
        <v>1021</v>
      </c>
      <c r="B155" t="s">
        <v>1020</v>
      </c>
      <c r="C155">
        <v>3</v>
      </c>
      <c r="D155">
        <v>15.379150299999999</v>
      </c>
      <c r="E155">
        <v>5.1263834333333334</v>
      </c>
      <c r="F155">
        <v>6.7950799999999996</v>
      </c>
    </row>
    <row r="156" spans="1:6">
      <c r="A156" t="s">
        <v>1025</v>
      </c>
      <c r="B156" t="s">
        <v>1024</v>
      </c>
      <c r="C156">
        <v>3</v>
      </c>
      <c r="D156">
        <v>15.352259800000001</v>
      </c>
      <c r="E156">
        <v>5.1174199333333341</v>
      </c>
      <c r="F156">
        <v>6.8633899999999999</v>
      </c>
    </row>
    <row r="157" spans="1:6">
      <c r="A157" t="s">
        <v>1027</v>
      </c>
      <c r="B157" t="s">
        <v>1026</v>
      </c>
      <c r="C157">
        <v>3</v>
      </c>
      <c r="D157">
        <v>15.1916704</v>
      </c>
      <c r="E157">
        <v>5.0638901333333326</v>
      </c>
      <c r="F157">
        <v>5.3144301999999994</v>
      </c>
    </row>
    <row r="158" spans="1:6">
      <c r="A158" t="s">
        <v>1032</v>
      </c>
      <c r="B158" t="s">
        <v>1031</v>
      </c>
      <c r="C158">
        <v>3</v>
      </c>
      <c r="D158">
        <v>15.17033</v>
      </c>
      <c r="E158">
        <v>5.056776666666666</v>
      </c>
      <c r="F158">
        <v>7.0238499999999986</v>
      </c>
    </row>
    <row r="159" spans="1:6">
      <c r="A159" t="s">
        <v>1036</v>
      </c>
      <c r="B159" t="s">
        <v>1035</v>
      </c>
      <c r="C159">
        <v>3</v>
      </c>
      <c r="D159">
        <v>15.166520200000001</v>
      </c>
      <c r="E159">
        <v>5.0555067333333339</v>
      </c>
      <c r="F159">
        <v>6.6711604999999992</v>
      </c>
    </row>
    <row r="160" spans="1:6">
      <c r="A160" t="s">
        <v>1040</v>
      </c>
      <c r="B160" t="s">
        <v>1039</v>
      </c>
      <c r="C160">
        <v>3</v>
      </c>
      <c r="D160">
        <v>14.800110200000001</v>
      </c>
      <c r="E160">
        <v>4.9333700666666669</v>
      </c>
      <c r="F160">
        <v>9.4436199999999992</v>
      </c>
    </row>
    <row r="161" spans="1:6">
      <c r="A161" t="s">
        <v>1042</v>
      </c>
      <c r="B161" t="s">
        <v>1041</v>
      </c>
      <c r="C161">
        <v>3</v>
      </c>
      <c r="D161">
        <v>14.698320300000001</v>
      </c>
      <c r="E161">
        <v>4.8994400999999996</v>
      </c>
      <c r="F161">
        <v>6.1344799999999999</v>
      </c>
    </row>
    <row r="162" spans="1:6">
      <c r="A162" t="s">
        <v>1046</v>
      </c>
      <c r="B162" t="s">
        <v>1045</v>
      </c>
      <c r="C162">
        <v>3</v>
      </c>
      <c r="D162">
        <v>14.239900199999999</v>
      </c>
      <c r="E162">
        <v>4.7466334000000003</v>
      </c>
      <c r="F162">
        <v>4.9203901999999999</v>
      </c>
    </row>
    <row r="163" spans="1:6">
      <c r="A163" t="s">
        <v>1050</v>
      </c>
      <c r="B163" t="s">
        <v>1049</v>
      </c>
      <c r="C163">
        <v>3</v>
      </c>
      <c r="D163">
        <v>14.0548903</v>
      </c>
      <c r="E163">
        <v>4.6849634333333334</v>
      </c>
      <c r="F163">
        <v>5.9056703000000006</v>
      </c>
    </row>
    <row r="164" spans="1:6">
      <c r="A164" t="s">
        <v>1054</v>
      </c>
      <c r="B164" t="s">
        <v>1053</v>
      </c>
      <c r="C164">
        <v>3</v>
      </c>
      <c r="D164">
        <v>13.9574198</v>
      </c>
      <c r="E164">
        <v>4.6524732666666671</v>
      </c>
      <c r="F164">
        <v>8.9668200000000002</v>
      </c>
    </row>
    <row r="165" spans="1:6">
      <c r="A165" t="s">
        <v>1059</v>
      </c>
      <c r="B165" t="s">
        <v>1058</v>
      </c>
      <c r="C165">
        <v>3</v>
      </c>
      <c r="D165">
        <v>13.9482398</v>
      </c>
      <c r="E165">
        <v>4.6494132666666674</v>
      </c>
      <c r="F165">
        <v>5.6011800000000003</v>
      </c>
    </row>
    <row r="166" spans="1:6">
      <c r="A166" t="s">
        <v>1063</v>
      </c>
      <c r="B166" t="s">
        <v>1062</v>
      </c>
      <c r="C166">
        <v>3</v>
      </c>
      <c r="D166">
        <v>13.85834</v>
      </c>
      <c r="E166">
        <v>4.6194466666666667</v>
      </c>
      <c r="F166">
        <v>5.4506696999999997</v>
      </c>
    </row>
    <row r="167" spans="1:6">
      <c r="A167" t="s">
        <v>1067</v>
      </c>
      <c r="B167" t="s">
        <v>1066</v>
      </c>
      <c r="C167">
        <v>3</v>
      </c>
      <c r="D167">
        <v>13.847619999999999</v>
      </c>
      <c r="E167">
        <v>4.6158733333333331</v>
      </c>
      <c r="F167">
        <v>9.0263200000000001</v>
      </c>
    </row>
    <row r="168" spans="1:6">
      <c r="A168" t="s">
        <v>1071</v>
      </c>
      <c r="B168" t="s">
        <v>1070</v>
      </c>
      <c r="C168">
        <v>3</v>
      </c>
      <c r="D168">
        <v>13.8166399</v>
      </c>
      <c r="E168">
        <v>4.6055466333333328</v>
      </c>
      <c r="F168">
        <v>8.2520800000000012</v>
      </c>
    </row>
    <row r="169" spans="1:6">
      <c r="A169" t="s">
        <v>1073</v>
      </c>
      <c r="B169" t="s">
        <v>1072</v>
      </c>
      <c r="C169">
        <v>3</v>
      </c>
      <c r="D169">
        <v>13.740930000000001</v>
      </c>
      <c r="E169">
        <v>4.5803100000000008</v>
      </c>
      <c r="F169">
        <v>6.6018400000000002</v>
      </c>
    </row>
    <row r="170" spans="1:6">
      <c r="A170" t="s">
        <v>1078</v>
      </c>
      <c r="B170" t="s">
        <v>1077</v>
      </c>
      <c r="C170">
        <v>3</v>
      </c>
      <c r="D170">
        <v>13.695180000000001</v>
      </c>
      <c r="E170">
        <v>4.5650600000000008</v>
      </c>
      <c r="F170">
        <v>4.9196</v>
      </c>
    </row>
    <row r="171" spans="1:6">
      <c r="A171" t="s">
        <v>1082</v>
      </c>
      <c r="B171" t="s">
        <v>1081</v>
      </c>
      <c r="C171">
        <v>3</v>
      </c>
      <c r="D171">
        <v>13.68432</v>
      </c>
      <c r="E171">
        <v>4.5614400000000002</v>
      </c>
      <c r="F171">
        <v>5.1771200000000004</v>
      </c>
    </row>
    <row r="172" spans="1:6">
      <c r="A172" t="s">
        <v>1086</v>
      </c>
      <c r="B172" t="s">
        <v>1085</v>
      </c>
      <c r="C172">
        <v>3</v>
      </c>
      <c r="D172">
        <v>13.5598802</v>
      </c>
      <c r="E172">
        <v>4.5199600666666662</v>
      </c>
      <c r="F172">
        <v>5.6015600000000001</v>
      </c>
    </row>
    <row r="173" spans="1:6">
      <c r="A173" t="s">
        <v>1090</v>
      </c>
      <c r="B173" t="s">
        <v>1089</v>
      </c>
      <c r="C173">
        <v>3</v>
      </c>
      <c r="D173">
        <v>13.555470100000001</v>
      </c>
      <c r="E173">
        <v>4.5184900333333333</v>
      </c>
      <c r="F173">
        <v>4.6550202999999986</v>
      </c>
    </row>
    <row r="174" spans="1:6">
      <c r="A174" t="s">
        <v>1093</v>
      </c>
      <c r="B174" t="s">
        <v>1092</v>
      </c>
      <c r="C174">
        <v>3</v>
      </c>
      <c r="D174">
        <v>13.419480200000001</v>
      </c>
      <c r="E174">
        <v>4.4731600666666669</v>
      </c>
      <c r="F174">
        <v>4.5798401999999996</v>
      </c>
    </row>
    <row r="175" spans="1:6">
      <c r="A175" t="s">
        <v>1095</v>
      </c>
      <c r="B175" t="s">
        <v>1094</v>
      </c>
      <c r="C175">
        <v>3</v>
      </c>
      <c r="D175">
        <v>13.40157</v>
      </c>
      <c r="E175">
        <v>4.4671900000000004</v>
      </c>
      <c r="F175">
        <v>4.9055900000000001</v>
      </c>
    </row>
    <row r="176" spans="1:6">
      <c r="A176" t="s">
        <v>1097</v>
      </c>
      <c r="B176" t="s">
        <v>1096</v>
      </c>
      <c r="C176">
        <v>3</v>
      </c>
      <c r="D176">
        <v>13.2424398</v>
      </c>
      <c r="E176">
        <v>4.4141465999999996</v>
      </c>
      <c r="F176">
        <v>5.2242297999999998</v>
      </c>
    </row>
    <row r="177" spans="1:6">
      <c r="A177" t="s">
        <v>1101</v>
      </c>
      <c r="B177" t="s">
        <v>1100</v>
      </c>
      <c r="C177">
        <v>3</v>
      </c>
      <c r="D177">
        <v>12.75956</v>
      </c>
      <c r="E177">
        <v>4.2531866666666671</v>
      </c>
      <c r="F177">
        <v>6.9288199999999991</v>
      </c>
    </row>
    <row r="178" spans="1:6">
      <c r="A178" t="s">
        <v>1105</v>
      </c>
      <c r="B178" t="s">
        <v>1104</v>
      </c>
      <c r="C178">
        <v>3</v>
      </c>
      <c r="D178">
        <v>12.6841898</v>
      </c>
      <c r="E178">
        <v>4.2280632666666671</v>
      </c>
      <c r="F178">
        <v>4.7464199999999996</v>
      </c>
    </row>
    <row r="179" spans="1:6">
      <c r="A179" t="s">
        <v>1109</v>
      </c>
      <c r="B179" t="s">
        <v>1108</v>
      </c>
      <c r="C179">
        <v>3</v>
      </c>
      <c r="D179">
        <v>12.406060399999999</v>
      </c>
      <c r="E179">
        <v>4.1353534666666656</v>
      </c>
      <c r="F179">
        <v>5.8725100000000001</v>
      </c>
    </row>
    <row r="180" spans="1:6">
      <c r="A180" t="s">
        <v>1113</v>
      </c>
      <c r="B180" t="s">
        <v>1112</v>
      </c>
      <c r="C180">
        <v>3</v>
      </c>
      <c r="D180">
        <v>12.3967104</v>
      </c>
      <c r="E180">
        <v>4.1322367999999994</v>
      </c>
      <c r="F180">
        <v>4.4291901999999999</v>
      </c>
    </row>
    <row r="181" spans="1:6">
      <c r="A181" t="s">
        <v>1117</v>
      </c>
      <c r="B181" t="s">
        <v>1116</v>
      </c>
      <c r="C181">
        <v>3</v>
      </c>
      <c r="D181">
        <v>12.33643</v>
      </c>
      <c r="E181">
        <v>4.112143333333333</v>
      </c>
      <c r="F181">
        <v>4.3900100000000002</v>
      </c>
    </row>
    <row r="182" spans="1:6">
      <c r="A182" t="s">
        <v>1122</v>
      </c>
      <c r="B182" t="s">
        <v>1121</v>
      </c>
      <c r="C182">
        <v>3</v>
      </c>
      <c r="D182">
        <v>12.303740299999999</v>
      </c>
      <c r="E182">
        <v>4.1012467666666668</v>
      </c>
      <c r="F182">
        <v>5.0271403000000001</v>
      </c>
    </row>
    <row r="183" spans="1:6">
      <c r="A183" t="s">
        <v>1124</v>
      </c>
      <c r="B183" t="s">
        <v>1123</v>
      </c>
      <c r="C183">
        <v>3</v>
      </c>
      <c r="D183">
        <v>12.25587</v>
      </c>
      <c r="E183">
        <v>4.0852899999999996</v>
      </c>
      <c r="F183">
        <v>6.0986199999999986</v>
      </c>
    </row>
    <row r="184" spans="1:6">
      <c r="A184" t="s">
        <v>1128</v>
      </c>
      <c r="B184" t="s">
        <v>1127</v>
      </c>
      <c r="C184">
        <v>3</v>
      </c>
      <c r="D184">
        <v>12.1599898</v>
      </c>
      <c r="E184">
        <v>4.053329933333333</v>
      </c>
      <c r="F184">
        <v>4.1859797999999993</v>
      </c>
    </row>
    <row r="185" spans="1:6">
      <c r="A185" t="s">
        <v>1130</v>
      </c>
      <c r="B185" t="s">
        <v>1129</v>
      </c>
      <c r="C185">
        <v>3</v>
      </c>
      <c r="D185">
        <v>12.09606</v>
      </c>
      <c r="E185">
        <v>4.0320200000000002</v>
      </c>
      <c r="F185">
        <v>4.2759600000000004</v>
      </c>
    </row>
    <row r="186" spans="1:6">
      <c r="A186" t="s">
        <v>1134</v>
      </c>
      <c r="B186" t="s">
        <v>1133</v>
      </c>
      <c r="C186">
        <v>3</v>
      </c>
      <c r="D186">
        <v>11.9456401</v>
      </c>
      <c r="E186">
        <v>3.9818800333333328</v>
      </c>
      <c r="F186">
        <v>7.8080399999999992</v>
      </c>
    </row>
    <row r="187" spans="1:6">
      <c r="A187" t="s">
        <v>1138</v>
      </c>
      <c r="B187" t="s">
        <v>1137</v>
      </c>
      <c r="C187">
        <v>3</v>
      </c>
      <c r="D187">
        <v>11.9346602</v>
      </c>
      <c r="E187">
        <v>3.9782200666666672</v>
      </c>
      <c r="F187">
        <v>5.4694600000000007</v>
      </c>
    </row>
    <row r="188" spans="1:6">
      <c r="A188" t="s">
        <v>1142</v>
      </c>
      <c r="B188" t="s">
        <v>1141</v>
      </c>
      <c r="C188">
        <v>3</v>
      </c>
      <c r="D188">
        <v>11.712490000000001</v>
      </c>
      <c r="E188">
        <v>3.904163333333333</v>
      </c>
      <c r="F188">
        <v>4.6887397999999996</v>
      </c>
    </row>
    <row r="189" spans="1:6">
      <c r="A189" t="s">
        <v>1146</v>
      </c>
      <c r="B189" t="s">
        <v>1145</v>
      </c>
      <c r="C189">
        <v>3</v>
      </c>
      <c r="D189">
        <v>11.6559101</v>
      </c>
      <c r="E189">
        <v>3.8853033666666672</v>
      </c>
      <c r="F189">
        <v>5.4162299999999997</v>
      </c>
    </row>
    <row r="190" spans="1:6">
      <c r="A190" t="s">
        <v>1150</v>
      </c>
      <c r="B190" t="s">
        <v>1149</v>
      </c>
      <c r="C190">
        <v>3</v>
      </c>
      <c r="D190">
        <v>11.58318</v>
      </c>
      <c r="E190">
        <v>3.8610600000000002</v>
      </c>
      <c r="F190">
        <v>5.3167099999999996</v>
      </c>
    </row>
    <row r="191" spans="1:6">
      <c r="A191" t="s">
        <v>1154</v>
      </c>
      <c r="B191" t="s">
        <v>1153</v>
      </c>
      <c r="C191">
        <v>3</v>
      </c>
      <c r="D191">
        <v>11.560309699999999</v>
      </c>
      <c r="E191">
        <v>3.8534365666666668</v>
      </c>
      <c r="F191">
        <v>4.2986396999999998</v>
      </c>
    </row>
    <row r="192" spans="1:6">
      <c r="A192" t="s">
        <v>1157</v>
      </c>
      <c r="B192" t="s">
        <v>1156</v>
      </c>
      <c r="C192">
        <v>3</v>
      </c>
      <c r="D192">
        <v>11.4787</v>
      </c>
      <c r="E192">
        <v>3.826233333333334</v>
      </c>
      <c r="F192">
        <v>5.5940599999999998</v>
      </c>
    </row>
    <row r="193" spans="1:6">
      <c r="A193" t="s">
        <v>1161</v>
      </c>
      <c r="B193" t="s">
        <v>1160</v>
      </c>
      <c r="C193">
        <v>3</v>
      </c>
      <c r="D193">
        <v>11.391600499999999</v>
      </c>
      <c r="E193">
        <v>3.7972001666666659</v>
      </c>
      <c r="F193">
        <v>4.1953303000000002</v>
      </c>
    </row>
    <row r="194" spans="1:6">
      <c r="A194" t="s">
        <v>1165</v>
      </c>
      <c r="B194" t="s">
        <v>1164</v>
      </c>
      <c r="C194">
        <v>3</v>
      </c>
      <c r="D194">
        <v>11.385759699999999</v>
      </c>
      <c r="E194">
        <v>3.7952532333333342</v>
      </c>
      <c r="F194">
        <v>5.0581300000000002</v>
      </c>
    </row>
    <row r="195" spans="1:6">
      <c r="A195" t="s">
        <v>1169</v>
      </c>
      <c r="B195" t="s">
        <v>1168</v>
      </c>
      <c r="C195">
        <v>3</v>
      </c>
      <c r="D195">
        <v>10.98061</v>
      </c>
      <c r="E195">
        <v>3.660203333333333</v>
      </c>
      <c r="F195">
        <v>6.31379</v>
      </c>
    </row>
    <row r="196" spans="1:6">
      <c r="A196" t="s">
        <v>1171</v>
      </c>
      <c r="B196" t="s">
        <v>1170</v>
      </c>
      <c r="C196">
        <v>3</v>
      </c>
      <c r="D196">
        <v>10.306350399999999</v>
      </c>
      <c r="E196">
        <v>3.435450133333334</v>
      </c>
      <c r="F196">
        <v>4.8175704000000001</v>
      </c>
    </row>
    <row r="197" spans="1:6">
      <c r="A197" t="s">
        <v>1175</v>
      </c>
      <c r="B197" t="s">
        <v>1174</v>
      </c>
      <c r="C197">
        <v>3</v>
      </c>
      <c r="D197">
        <v>10.22889</v>
      </c>
      <c r="E197">
        <v>3.4096299999999991</v>
      </c>
      <c r="F197">
        <v>4.9361100000000002</v>
      </c>
    </row>
    <row r="198" spans="1:6">
      <c r="A198" t="s">
        <v>1179</v>
      </c>
      <c r="B198" t="s">
        <v>1178</v>
      </c>
      <c r="C198">
        <v>3</v>
      </c>
      <c r="D198">
        <v>10.2285597</v>
      </c>
      <c r="E198">
        <v>3.4095198999999998</v>
      </c>
      <c r="F198">
        <v>4.0789299999999997</v>
      </c>
    </row>
    <row r="199" spans="1:6">
      <c r="A199" t="s">
        <v>1183</v>
      </c>
      <c r="B199" t="s">
        <v>1182</v>
      </c>
      <c r="C199">
        <v>3</v>
      </c>
      <c r="D199">
        <v>9.9799000000000007</v>
      </c>
      <c r="E199">
        <v>3.326633333333334</v>
      </c>
      <c r="F199">
        <v>3.61937</v>
      </c>
    </row>
    <row r="200" spans="1:6">
      <c r="A200" t="s">
        <v>1187</v>
      </c>
      <c r="B200" t="s">
        <v>1186</v>
      </c>
      <c r="C200">
        <v>3</v>
      </c>
      <c r="D200">
        <v>9.8984999000000009</v>
      </c>
      <c r="E200">
        <v>3.2994999666666671</v>
      </c>
      <c r="F200">
        <v>5.5759000000000007</v>
      </c>
    </row>
    <row r="201" spans="1:6">
      <c r="A201" t="s">
        <v>1191</v>
      </c>
      <c r="B201" t="s">
        <v>1190</v>
      </c>
      <c r="C201">
        <v>3</v>
      </c>
      <c r="D201">
        <v>9.8119999999999994</v>
      </c>
      <c r="E201">
        <v>3.2706666666666671</v>
      </c>
      <c r="F201">
        <v>3.42822</v>
      </c>
    </row>
    <row r="202" spans="1:6">
      <c r="A202" t="s">
        <v>1196</v>
      </c>
      <c r="B202" t="s">
        <v>1195</v>
      </c>
      <c r="C202">
        <v>3</v>
      </c>
      <c r="D202">
        <v>9.5103600000000004</v>
      </c>
      <c r="E202">
        <v>3.1701199999999998</v>
      </c>
      <c r="F202">
        <v>3.9152499999999999</v>
      </c>
    </row>
    <row r="203" spans="1:6">
      <c r="A203" t="s">
        <v>1200</v>
      </c>
      <c r="B203" t="s">
        <v>1199</v>
      </c>
      <c r="C203">
        <v>3</v>
      </c>
      <c r="D203">
        <v>9.3369402000000008</v>
      </c>
      <c r="E203">
        <v>3.1123134000000001</v>
      </c>
      <c r="F203">
        <v>3.4926200000000001</v>
      </c>
    </row>
    <row r="204" spans="1:6">
      <c r="A204" t="s">
        <v>1204</v>
      </c>
      <c r="B204" t="s">
        <v>1203</v>
      </c>
      <c r="C204">
        <v>3</v>
      </c>
      <c r="D204">
        <v>9.113499899999999</v>
      </c>
      <c r="E204">
        <v>3.0378333</v>
      </c>
      <c r="F204">
        <v>4.1250200000000001</v>
      </c>
    </row>
    <row r="205" spans="1:6">
      <c r="A205" t="s">
        <v>1208</v>
      </c>
      <c r="B205" t="s">
        <v>1207</v>
      </c>
      <c r="C205">
        <v>3</v>
      </c>
      <c r="D205">
        <v>8.8368399000000011</v>
      </c>
      <c r="E205">
        <v>2.9456133000000011</v>
      </c>
      <c r="F205">
        <v>3.3835199999999999</v>
      </c>
    </row>
    <row r="206" spans="1:6">
      <c r="A206" t="s">
        <v>1210</v>
      </c>
      <c r="B206" t="s">
        <v>1209</v>
      </c>
      <c r="C206">
        <v>3</v>
      </c>
      <c r="D206">
        <v>8.6932799999999997</v>
      </c>
      <c r="E206">
        <v>2.8977599999999999</v>
      </c>
      <c r="F206">
        <v>3.9253300000000002</v>
      </c>
    </row>
    <row r="207" spans="1:6">
      <c r="A207" t="s">
        <v>1214</v>
      </c>
      <c r="B207" t="s">
        <v>1213</v>
      </c>
      <c r="C207">
        <v>3</v>
      </c>
      <c r="D207">
        <v>8.1723700000000008</v>
      </c>
      <c r="E207">
        <v>2.7241233333333339</v>
      </c>
      <c r="F207">
        <v>3.40265</v>
      </c>
    </row>
    <row r="208" spans="1:6">
      <c r="A208" t="s">
        <v>1218</v>
      </c>
      <c r="B208" t="s">
        <v>1217</v>
      </c>
      <c r="C208">
        <v>3</v>
      </c>
      <c r="D208">
        <v>8.125490000000001</v>
      </c>
      <c r="E208">
        <v>2.708496666666667</v>
      </c>
      <c r="F208">
        <v>2.7484700000000002</v>
      </c>
    </row>
    <row r="209" spans="1:6">
      <c r="A209" t="s">
        <v>1220</v>
      </c>
      <c r="B209" t="s">
        <v>1219</v>
      </c>
      <c r="C209">
        <v>3</v>
      </c>
      <c r="D209">
        <v>8.0189298999999998</v>
      </c>
      <c r="E209">
        <v>2.6729766333333331</v>
      </c>
      <c r="F209">
        <v>4.3614199999999999</v>
      </c>
    </row>
    <row r="210" spans="1:6">
      <c r="A210" t="s">
        <v>1222</v>
      </c>
      <c r="B210" t="s">
        <v>1221</v>
      </c>
      <c r="C210">
        <v>3</v>
      </c>
      <c r="D210">
        <v>7.1864300000000014</v>
      </c>
      <c r="E210">
        <v>2.3954766666666671</v>
      </c>
      <c r="F210">
        <v>3.5410900000000001</v>
      </c>
    </row>
    <row r="211" spans="1:6">
      <c r="A211" t="s">
        <v>1226</v>
      </c>
      <c r="B211" t="s">
        <v>1225</v>
      </c>
      <c r="C211">
        <v>3</v>
      </c>
      <c r="D211">
        <v>6.6676301999999996</v>
      </c>
      <c r="E211">
        <v>2.2225434000000002</v>
      </c>
      <c r="F211">
        <v>3.1470202</v>
      </c>
    </row>
    <row r="212" spans="1:6">
      <c r="A212" t="s">
        <v>1228</v>
      </c>
      <c r="B212" t="s">
        <v>1227</v>
      </c>
      <c r="C212">
        <v>3</v>
      </c>
      <c r="D212">
        <v>5.69919025</v>
      </c>
      <c r="E212">
        <v>1.899730083333333</v>
      </c>
      <c r="F212">
        <v>3.1691402000000002</v>
      </c>
    </row>
    <row r="213" spans="1:6">
      <c r="A213" t="s">
        <v>1233</v>
      </c>
      <c r="B213" t="s">
        <v>1232</v>
      </c>
      <c r="C213">
        <v>3</v>
      </c>
      <c r="D213">
        <v>4.5516999</v>
      </c>
      <c r="E213">
        <v>1.5172333</v>
      </c>
      <c r="F213">
        <v>1.83352</v>
      </c>
    </row>
    <row r="214" spans="1:6">
      <c r="A214" t="s">
        <v>1237</v>
      </c>
      <c r="B214" t="s">
        <v>1236</v>
      </c>
      <c r="C214">
        <v>2</v>
      </c>
      <c r="D214">
        <v>23.362410000000001</v>
      </c>
      <c r="E214">
        <v>11.681205</v>
      </c>
      <c r="F214">
        <v>16.87443</v>
      </c>
    </row>
    <row r="215" spans="1:6">
      <c r="A215" t="s">
        <v>1241</v>
      </c>
      <c r="B215" t="s">
        <v>1240</v>
      </c>
      <c r="C215">
        <v>2</v>
      </c>
      <c r="D215">
        <v>19.0257304</v>
      </c>
      <c r="E215">
        <v>9.5128652000000002</v>
      </c>
      <c r="F215">
        <v>12.71111</v>
      </c>
    </row>
    <row r="216" spans="1:6">
      <c r="A216" t="s">
        <v>1245</v>
      </c>
      <c r="B216" t="s">
        <v>1244</v>
      </c>
      <c r="C216">
        <v>2</v>
      </c>
      <c r="D216">
        <v>18.586690000000001</v>
      </c>
      <c r="E216">
        <v>9.2933450000000004</v>
      </c>
      <c r="F216">
        <v>13.914350000000001</v>
      </c>
    </row>
    <row r="217" spans="1:6">
      <c r="A217" t="s">
        <v>1249</v>
      </c>
      <c r="B217" t="s">
        <v>1248</v>
      </c>
      <c r="C217">
        <v>2</v>
      </c>
      <c r="D217">
        <v>17.956790000000002</v>
      </c>
      <c r="E217">
        <v>8.9783950000000008</v>
      </c>
      <c r="F217">
        <v>16.19369</v>
      </c>
    </row>
    <row r="218" spans="1:6">
      <c r="A218" t="s">
        <v>1253</v>
      </c>
      <c r="B218" t="s">
        <v>1252</v>
      </c>
      <c r="C218">
        <v>2</v>
      </c>
      <c r="D218">
        <v>15.81883</v>
      </c>
      <c r="E218">
        <v>7.9094150000000001</v>
      </c>
      <c r="F218">
        <v>8.2201699999999995</v>
      </c>
    </row>
    <row r="219" spans="1:6">
      <c r="A219" t="s">
        <v>1255</v>
      </c>
      <c r="B219" t="s">
        <v>1254</v>
      </c>
      <c r="C219">
        <v>2</v>
      </c>
      <c r="D219">
        <v>15.281959199999999</v>
      </c>
      <c r="E219">
        <v>7.6409796000000014</v>
      </c>
      <c r="F219">
        <v>9.0433194999999991</v>
      </c>
    </row>
    <row r="220" spans="1:6">
      <c r="A220" t="s">
        <v>1259</v>
      </c>
      <c r="B220" t="s">
        <v>1258</v>
      </c>
      <c r="C220">
        <v>2</v>
      </c>
      <c r="D220">
        <v>15.046430300000001</v>
      </c>
      <c r="E220">
        <v>7.5232151500000013</v>
      </c>
      <c r="F220">
        <v>9.2843800000000005</v>
      </c>
    </row>
    <row r="221" spans="1:6">
      <c r="A221" t="s">
        <v>1263</v>
      </c>
      <c r="B221" t="s">
        <v>1262</v>
      </c>
      <c r="C221">
        <v>2</v>
      </c>
      <c r="D221">
        <v>14.7090605</v>
      </c>
      <c r="E221">
        <v>7.3545302499999989</v>
      </c>
      <c r="F221">
        <v>8.1481499999999993</v>
      </c>
    </row>
    <row r="222" spans="1:6">
      <c r="A222" t="s">
        <v>1268</v>
      </c>
      <c r="B222" t="s">
        <v>1267</v>
      </c>
      <c r="C222">
        <v>2</v>
      </c>
      <c r="D222">
        <v>14.604660000000001</v>
      </c>
      <c r="E222">
        <v>7.3023300000000004</v>
      </c>
      <c r="F222">
        <v>7.8400999999999996</v>
      </c>
    </row>
    <row r="223" spans="1:6">
      <c r="A223" t="s">
        <v>1273</v>
      </c>
      <c r="B223" t="s">
        <v>1272</v>
      </c>
      <c r="C223">
        <v>2</v>
      </c>
      <c r="D223">
        <v>13.6110492</v>
      </c>
      <c r="E223">
        <v>6.8055246</v>
      </c>
      <c r="F223">
        <v>9.2473893999999994</v>
      </c>
    </row>
    <row r="224" spans="1:6">
      <c r="A224" t="s">
        <v>1277</v>
      </c>
      <c r="B224" t="s">
        <v>1276</v>
      </c>
      <c r="C224">
        <v>2</v>
      </c>
      <c r="D224">
        <v>13.41154</v>
      </c>
      <c r="E224">
        <v>6.7057699999999993</v>
      </c>
      <c r="F224">
        <v>8.6686200000000007</v>
      </c>
    </row>
    <row r="225" spans="1:6">
      <c r="A225" t="s">
        <v>1282</v>
      </c>
      <c r="B225" t="s">
        <v>1281</v>
      </c>
      <c r="C225">
        <v>2</v>
      </c>
      <c r="D225">
        <v>13.1403996</v>
      </c>
      <c r="E225">
        <v>6.5701998000000001</v>
      </c>
      <c r="F225">
        <v>7.5068495999999998</v>
      </c>
    </row>
    <row r="226" spans="1:6">
      <c r="A226" t="s">
        <v>1287</v>
      </c>
      <c r="B226" t="s">
        <v>1286</v>
      </c>
      <c r="C226">
        <v>2</v>
      </c>
      <c r="D226">
        <v>12.97922</v>
      </c>
      <c r="E226">
        <v>6.4896100000000008</v>
      </c>
      <c r="F226">
        <v>6.6253000000000011</v>
      </c>
    </row>
    <row r="227" spans="1:6">
      <c r="A227" t="s">
        <v>1291</v>
      </c>
      <c r="B227" t="s">
        <v>1290</v>
      </c>
      <c r="C227">
        <v>2</v>
      </c>
      <c r="D227">
        <v>12.8594603</v>
      </c>
      <c r="E227">
        <v>6.4297301500000001</v>
      </c>
      <c r="F227">
        <v>7.2561100000000014</v>
      </c>
    </row>
    <row r="228" spans="1:6">
      <c r="A228" t="s">
        <v>1295</v>
      </c>
      <c r="B228" t="s">
        <v>1294</v>
      </c>
      <c r="C228">
        <v>2</v>
      </c>
      <c r="D228">
        <v>12.76587</v>
      </c>
      <c r="E228">
        <v>6.3829350000000007</v>
      </c>
      <c r="F228">
        <v>8.8597599999999996</v>
      </c>
    </row>
    <row r="229" spans="1:6">
      <c r="A229" t="s">
        <v>1297</v>
      </c>
      <c r="B229" t="s">
        <v>1296</v>
      </c>
      <c r="C229">
        <v>2</v>
      </c>
      <c r="D229">
        <v>12.6320496</v>
      </c>
      <c r="E229">
        <v>6.3160248000000001</v>
      </c>
      <c r="F229">
        <v>9.8800495000000002</v>
      </c>
    </row>
    <row r="230" spans="1:6">
      <c r="A230" t="s">
        <v>1301</v>
      </c>
      <c r="B230" t="s">
        <v>1300</v>
      </c>
      <c r="C230">
        <v>2</v>
      </c>
      <c r="D230">
        <v>12.6001797</v>
      </c>
      <c r="E230">
        <v>6.30008985</v>
      </c>
      <c r="F230">
        <v>8.2390299999999996</v>
      </c>
    </row>
    <row r="231" spans="1:6">
      <c r="A231" t="s">
        <v>1303</v>
      </c>
      <c r="B231" t="s">
        <v>1302</v>
      </c>
      <c r="C231">
        <v>2</v>
      </c>
      <c r="D231">
        <v>12.5806</v>
      </c>
      <c r="E231">
        <v>6.2903000000000002</v>
      </c>
      <c r="F231">
        <v>6.6058000000000003</v>
      </c>
    </row>
    <row r="232" spans="1:6">
      <c r="A232" t="s">
        <v>1308</v>
      </c>
      <c r="B232" t="s">
        <v>1307</v>
      </c>
      <c r="C232">
        <v>2</v>
      </c>
      <c r="D232">
        <v>12.5265796</v>
      </c>
      <c r="E232">
        <v>6.263289799999999</v>
      </c>
      <c r="F232">
        <v>6.4777896000000004</v>
      </c>
    </row>
    <row r="233" spans="1:6">
      <c r="A233" t="s">
        <v>1310</v>
      </c>
      <c r="B233" t="s">
        <v>1309</v>
      </c>
      <c r="C233">
        <v>2</v>
      </c>
      <c r="D233">
        <v>12.452030199999999</v>
      </c>
      <c r="E233">
        <v>6.2260150999999997</v>
      </c>
      <c r="F233">
        <v>7.371220000000001</v>
      </c>
    </row>
    <row r="234" spans="1:6">
      <c r="A234" t="s">
        <v>1314</v>
      </c>
      <c r="B234" t="s">
        <v>1313</v>
      </c>
      <c r="C234">
        <v>2</v>
      </c>
      <c r="D234">
        <v>12.043480000000001</v>
      </c>
      <c r="E234">
        <v>6.0217399999999994</v>
      </c>
      <c r="F234">
        <v>10.160439999999999</v>
      </c>
    </row>
    <row r="235" spans="1:6">
      <c r="A235" t="s">
        <v>1316</v>
      </c>
      <c r="B235" t="s">
        <v>1315</v>
      </c>
      <c r="C235">
        <v>2</v>
      </c>
      <c r="D235">
        <v>11.821089600000001</v>
      </c>
      <c r="E235">
        <v>5.9105447999999994</v>
      </c>
      <c r="F235">
        <v>5.9640396000000004</v>
      </c>
    </row>
    <row r="236" spans="1:6">
      <c r="A236" t="s">
        <v>1320</v>
      </c>
      <c r="B236" t="s">
        <v>1319</v>
      </c>
      <c r="C236">
        <v>2</v>
      </c>
      <c r="D236">
        <v>11.75193</v>
      </c>
      <c r="E236">
        <v>5.8759649999999999</v>
      </c>
      <c r="F236">
        <v>6.9002599999999994</v>
      </c>
    </row>
    <row r="237" spans="1:6">
      <c r="A237" t="s">
        <v>1324</v>
      </c>
      <c r="B237" t="s">
        <v>1323</v>
      </c>
      <c r="C237">
        <v>2</v>
      </c>
      <c r="D237">
        <v>11.64784</v>
      </c>
      <c r="E237">
        <v>5.8239200000000002</v>
      </c>
      <c r="F237">
        <v>7.1249000000000002</v>
      </c>
    </row>
    <row r="238" spans="1:6">
      <c r="A238" t="s">
        <v>1328</v>
      </c>
      <c r="B238" t="s">
        <v>1327</v>
      </c>
      <c r="C238">
        <v>2</v>
      </c>
      <c r="D238">
        <v>11.2861704</v>
      </c>
      <c r="E238">
        <v>5.6430851999999998</v>
      </c>
      <c r="F238">
        <v>7.2540103999999994</v>
      </c>
    </row>
    <row r="239" spans="1:6">
      <c r="A239" t="s">
        <v>1333</v>
      </c>
      <c r="B239" t="s">
        <v>1332</v>
      </c>
      <c r="C239">
        <v>2</v>
      </c>
      <c r="D239">
        <v>11.249060500000001</v>
      </c>
      <c r="E239">
        <v>5.6245302500000003</v>
      </c>
      <c r="F239">
        <v>7.6037005000000004</v>
      </c>
    </row>
    <row r="240" spans="1:6">
      <c r="A240" t="s">
        <v>1337</v>
      </c>
      <c r="B240" t="s">
        <v>1336</v>
      </c>
      <c r="C240">
        <v>2</v>
      </c>
      <c r="D240">
        <v>11.191549999999999</v>
      </c>
      <c r="E240">
        <v>5.5957749999999997</v>
      </c>
      <c r="F240">
        <v>10.256220000000001</v>
      </c>
    </row>
    <row r="241" spans="1:6">
      <c r="A241" t="s">
        <v>1339</v>
      </c>
      <c r="B241" t="s">
        <v>1338</v>
      </c>
      <c r="C241">
        <v>2</v>
      </c>
      <c r="D241">
        <v>11.0586801</v>
      </c>
      <c r="E241">
        <v>5.5293400500000001</v>
      </c>
      <c r="F241">
        <v>8.2240000000000002</v>
      </c>
    </row>
    <row r="242" spans="1:6">
      <c r="A242" t="s">
        <v>1341</v>
      </c>
      <c r="B242" t="s">
        <v>1340</v>
      </c>
      <c r="C242">
        <v>2</v>
      </c>
      <c r="D242">
        <v>10.6208995</v>
      </c>
      <c r="E242">
        <v>5.3104497500000001</v>
      </c>
      <c r="F242">
        <v>6.1115197999999999</v>
      </c>
    </row>
    <row r="243" spans="1:6">
      <c r="A243" t="s">
        <v>1345</v>
      </c>
      <c r="B243" t="s">
        <v>1344</v>
      </c>
      <c r="C243">
        <v>2</v>
      </c>
      <c r="D243">
        <v>10.263109699999999</v>
      </c>
      <c r="E243">
        <v>5.1315548500000006</v>
      </c>
      <c r="F243">
        <v>5.8015400000000001</v>
      </c>
    </row>
    <row r="244" spans="1:6">
      <c r="A244" t="s">
        <v>1349</v>
      </c>
      <c r="B244" t="s">
        <v>1348</v>
      </c>
      <c r="C244">
        <v>2</v>
      </c>
      <c r="D244">
        <v>10.22499</v>
      </c>
      <c r="E244">
        <v>5.112495</v>
      </c>
      <c r="F244">
        <v>6.1097999999999999</v>
      </c>
    </row>
    <row r="245" spans="1:6">
      <c r="A245" t="s">
        <v>1353</v>
      </c>
      <c r="B245" t="s">
        <v>1352</v>
      </c>
      <c r="C245">
        <v>2</v>
      </c>
      <c r="D245">
        <v>10.169219999999999</v>
      </c>
      <c r="E245">
        <v>5.0846100000000014</v>
      </c>
      <c r="F245">
        <v>6.2507299999999999</v>
      </c>
    </row>
    <row r="246" spans="1:6">
      <c r="A246" t="s">
        <v>1357</v>
      </c>
      <c r="B246" t="s">
        <v>1356</v>
      </c>
      <c r="C246">
        <v>2</v>
      </c>
      <c r="D246">
        <v>10.063579600000001</v>
      </c>
      <c r="E246">
        <v>5.0317898000000003</v>
      </c>
      <c r="F246">
        <v>6.6364995999999996</v>
      </c>
    </row>
    <row r="247" spans="1:6">
      <c r="A247" t="s">
        <v>1361</v>
      </c>
      <c r="B247" t="s">
        <v>1360</v>
      </c>
      <c r="C247">
        <v>2</v>
      </c>
      <c r="D247">
        <v>9.8269400000000005</v>
      </c>
      <c r="E247">
        <v>4.9134700000000002</v>
      </c>
      <c r="F247">
        <v>5.2262000000000004</v>
      </c>
    </row>
    <row r="248" spans="1:6">
      <c r="A248" t="s">
        <v>1365</v>
      </c>
      <c r="B248" t="s">
        <v>1364</v>
      </c>
      <c r="C248">
        <v>2</v>
      </c>
      <c r="D248">
        <v>9.7554902999999999</v>
      </c>
      <c r="E248">
        <v>4.87774515</v>
      </c>
      <c r="F248">
        <v>5.14757</v>
      </c>
    </row>
    <row r="249" spans="1:6">
      <c r="A249" t="s">
        <v>1369</v>
      </c>
      <c r="B249" t="s">
        <v>1368</v>
      </c>
      <c r="C249">
        <v>2</v>
      </c>
      <c r="D249">
        <v>9.7485302999999988</v>
      </c>
      <c r="E249">
        <v>4.8742651499999994</v>
      </c>
      <c r="F249">
        <v>6.5655099999999997</v>
      </c>
    </row>
    <row r="250" spans="1:6">
      <c r="A250" t="s">
        <v>1373</v>
      </c>
      <c r="B250" t="s">
        <v>1372</v>
      </c>
      <c r="C250">
        <v>2</v>
      </c>
      <c r="D250">
        <v>9.6974999999999998</v>
      </c>
      <c r="E250">
        <v>4.8487499999999999</v>
      </c>
      <c r="F250">
        <v>6.5501900000000006</v>
      </c>
    </row>
    <row r="251" spans="1:6">
      <c r="A251" t="s">
        <v>1375</v>
      </c>
      <c r="B251" t="s">
        <v>1374</v>
      </c>
      <c r="C251">
        <v>2</v>
      </c>
      <c r="D251">
        <v>9.667860000000001</v>
      </c>
      <c r="E251">
        <v>4.8339300000000014</v>
      </c>
      <c r="F251">
        <v>5.8704899999999993</v>
      </c>
    </row>
    <row r="252" spans="1:6">
      <c r="A252" t="s">
        <v>1379</v>
      </c>
      <c r="B252" t="s">
        <v>1378</v>
      </c>
      <c r="C252">
        <v>2</v>
      </c>
      <c r="D252">
        <v>9.6386098000000011</v>
      </c>
      <c r="E252">
        <v>4.8193049000000006</v>
      </c>
      <c r="F252">
        <v>4.8958000000000004</v>
      </c>
    </row>
    <row r="253" spans="1:6">
      <c r="A253" t="s">
        <v>1383</v>
      </c>
      <c r="B253" t="s">
        <v>1382</v>
      </c>
      <c r="C253">
        <v>2</v>
      </c>
      <c r="D253">
        <v>9.5881699999999999</v>
      </c>
      <c r="E253">
        <v>4.7940849999999999</v>
      </c>
      <c r="F253">
        <v>5.4875999999999996</v>
      </c>
    </row>
    <row r="254" spans="1:6">
      <c r="A254" t="s">
        <v>1387</v>
      </c>
      <c r="B254" t="s">
        <v>1386</v>
      </c>
      <c r="C254">
        <v>2</v>
      </c>
      <c r="D254">
        <v>9.2126202999999993</v>
      </c>
      <c r="E254">
        <v>4.6063101499999997</v>
      </c>
      <c r="F254">
        <v>5.1394299999999999</v>
      </c>
    </row>
    <row r="255" spans="1:6">
      <c r="A255" t="s">
        <v>1391</v>
      </c>
      <c r="B255" t="s">
        <v>1390</v>
      </c>
      <c r="C255">
        <v>2</v>
      </c>
      <c r="D255">
        <v>9.0711202999999987</v>
      </c>
      <c r="E255">
        <v>4.5355601499999993</v>
      </c>
      <c r="F255">
        <v>4.7602802999999998</v>
      </c>
    </row>
    <row r="256" spans="1:6">
      <c r="A256" t="s">
        <v>1393</v>
      </c>
      <c r="B256" t="s">
        <v>1392</v>
      </c>
      <c r="C256">
        <v>2</v>
      </c>
      <c r="D256">
        <v>9.0667200000000001</v>
      </c>
      <c r="E256">
        <v>4.5333600000000001</v>
      </c>
      <c r="F256">
        <v>5.3423400000000001</v>
      </c>
    </row>
    <row r="257" spans="1:6">
      <c r="A257" t="s">
        <v>1397</v>
      </c>
      <c r="B257" t="s">
        <v>1396</v>
      </c>
      <c r="C257">
        <v>2</v>
      </c>
      <c r="D257">
        <v>9.0397093000000019</v>
      </c>
      <c r="E257">
        <v>4.519854650000001</v>
      </c>
      <c r="F257">
        <v>4.9162596000000001</v>
      </c>
    </row>
    <row r="258" spans="1:6">
      <c r="A258" t="s">
        <v>1401</v>
      </c>
      <c r="B258" t="s">
        <v>1400</v>
      </c>
      <c r="C258">
        <v>2</v>
      </c>
      <c r="D258">
        <v>9.0314101999999998</v>
      </c>
      <c r="E258">
        <v>4.5157050999999999</v>
      </c>
      <c r="F258">
        <v>5.2920699999999998</v>
      </c>
    </row>
    <row r="259" spans="1:6">
      <c r="A259" t="s">
        <v>1404</v>
      </c>
      <c r="B259" t="s">
        <v>1403</v>
      </c>
      <c r="C259">
        <v>2</v>
      </c>
      <c r="D259">
        <v>9.0212900000000005</v>
      </c>
      <c r="E259">
        <v>4.5106450000000002</v>
      </c>
      <c r="F259">
        <v>6.6175700000000006</v>
      </c>
    </row>
    <row r="260" spans="1:6">
      <c r="A260" t="s">
        <v>1408</v>
      </c>
      <c r="B260" t="s">
        <v>1407</v>
      </c>
      <c r="C260">
        <v>2</v>
      </c>
      <c r="D260">
        <v>8.957390000000002</v>
      </c>
      <c r="E260">
        <v>4.478695000000001</v>
      </c>
      <c r="F260">
        <v>4.8712600000000004</v>
      </c>
    </row>
    <row r="261" spans="1:6">
      <c r="A261" t="s">
        <v>1412</v>
      </c>
      <c r="B261" t="s">
        <v>1411</v>
      </c>
      <c r="C261">
        <v>2</v>
      </c>
      <c r="D261">
        <v>8.8574204999999981</v>
      </c>
      <c r="E261">
        <v>4.4287102499999991</v>
      </c>
      <c r="F261">
        <v>4.7866701999999997</v>
      </c>
    </row>
    <row r="262" spans="1:6">
      <c r="A262" t="s">
        <v>1416</v>
      </c>
      <c r="B262" t="s">
        <v>1415</v>
      </c>
      <c r="C262">
        <v>2</v>
      </c>
      <c r="D262">
        <v>8.5175699999999992</v>
      </c>
      <c r="E262">
        <v>4.2587849999999996</v>
      </c>
      <c r="F262">
        <v>4.72342</v>
      </c>
    </row>
    <row r="263" spans="1:6">
      <c r="A263" t="s">
        <v>1420</v>
      </c>
      <c r="B263" t="s">
        <v>1419</v>
      </c>
      <c r="C263">
        <v>2</v>
      </c>
      <c r="D263">
        <v>8.4983602999999999</v>
      </c>
      <c r="E263">
        <v>4.2491801499999999</v>
      </c>
      <c r="F263">
        <v>4.2610402999999986</v>
      </c>
    </row>
    <row r="264" spans="1:6">
      <c r="A264" t="s">
        <v>1424</v>
      </c>
      <c r="B264" t="s">
        <v>1423</v>
      </c>
      <c r="C264">
        <v>2</v>
      </c>
      <c r="D264">
        <v>8.4747101999999987</v>
      </c>
      <c r="E264">
        <v>4.2373550999999994</v>
      </c>
      <c r="F264">
        <v>4.6858101999999997</v>
      </c>
    </row>
    <row r="265" spans="1:6">
      <c r="A265" t="s">
        <v>1428</v>
      </c>
      <c r="B265" t="s">
        <v>1427</v>
      </c>
      <c r="C265">
        <v>2</v>
      </c>
      <c r="D265">
        <v>8.4552099999999992</v>
      </c>
      <c r="E265">
        <v>4.2276049999999996</v>
      </c>
      <c r="F265">
        <v>4.7157099999999996</v>
      </c>
    </row>
    <row r="266" spans="1:6">
      <c r="A266" t="s">
        <v>1430</v>
      </c>
      <c r="B266" t="s">
        <v>1429</v>
      </c>
      <c r="C266">
        <v>2</v>
      </c>
      <c r="D266">
        <v>8.4523395000000008</v>
      </c>
      <c r="E266">
        <v>4.2261697500000004</v>
      </c>
      <c r="F266">
        <v>5.3793895999999997</v>
      </c>
    </row>
    <row r="267" spans="1:6">
      <c r="A267" t="s">
        <v>1434</v>
      </c>
      <c r="B267" t="s">
        <v>1433</v>
      </c>
      <c r="C267">
        <v>2</v>
      </c>
      <c r="D267">
        <v>8.3637997000000013</v>
      </c>
      <c r="E267">
        <v>4.1818998500000006</v>
      </c>
      <c r="F267">
        <v>4.5328997000000006</v>
      </c>
    </row>
    <row r="268" spans="1:6">
      <c r="A268" t="s">
        <v>1438</v>
      </c>
      <c r="B268" t="s">
        <v>1437</v>
      </c>
      <c r="C268">
        <v>2</v>
      </c>
      <c r="D268">
        <v>8.3297401999999998</v>
      </c>
      <c r="E268">
        <v>4.1648700999999999</v>
      </c>
      <c r="F268">
        <v>4.3589402000000002</v>
      </c>
    </row>
    <row r="269" spans="1:6">
      <c r="A269" t="s">
        <v>1443</v>
      </c>
      <c r="B269" t="s">
        <v>1442</v>
      </c>
      <c r="C269">
        <v>2</v>
      </c>
      <c r="D269">
        <v>8.292720000000001</v>
      </c>
      <c r="E269">
        <v>4.1463599999999996</v>
      </c>
      <c r="F269">
        <v>4.2213100000000008</v>
      </c>
    </row>
    <row r="270" spans="1:6">
      <c r="A270" t="s">
        <v>1447</v>
      </c>
      <c r="B270" t="s">
        <v>1446</v>
      </c>
      <c r="C270">
        <v>2</v>
      </c>
      <c r="D270">
        <v>8.1472601999999998</v>
      </c>
      <c r="E270">
        <v>4.0736300999999999</v>
      </c>
      <c r="F270">
        <v>4.5029501999999999</v>
      </c>
    </row>
    <row r="271" spans="1:6">
      <c r="A271" t="s">
        <v>1451</v>
      </c>
      <c r="B271" t="s">
        <v>1450</v>
      </c>
      <c r="C271">
        <v>2</v>
      </c>
      <c r="D271">
        <v>8.0427099999999996</v>
      </c>
      <c r="E271">
        <v>4.0213549999999998</v>
      </c>
      <c r="F271">
        <v>4.42354</v>
      </c>
    </row>
    <row r="272" spans="1:6">
      <c r="A272" t="s">
        <v>1455</v>
      </c>
      <c r="B272" t="s">
        <v>1454</v>
      </c>
      <c r="C272">
        <v>2</v>
      </c>
      <c r="D272">
        <v>8.0194998000000002</v>
      </c>
      <c r="E272">
        <v>4.0097499000000001</v>
      </c>
      <c r="F272">
        <v>4.3060698000000004</v>
      </c>
    </row>
    <row r="273" spans="1:6">
      <c r="A273" t="s">
        <v>1459</v>
      </c>
      <c r="B273" t="s">
        <v>1458</v>
      </c>
      <c r="C273">
        <v>2</v>
      </c>
      <c r="D273">
        <v>7.9130199999999986</v>
      </c>
      <c r="E273">
        <v>3.9565100000000002</v>
      </c>
      <c r="F273">
        <v>4.1443199999999996</v>
      </c>
    </row>
    <row r="274" spans="1:6">
      <c r="A274" t="s">
        <v>1463</v>
      </c>
      <c r="B274" t="s">
        <v>1462</v>
      </c>
      <c r="C274">
        <v>2</v>
      </c>
      <c r="D274">
        <v>7.8932399999999996</v>
      </c>
      <c r="E274">
        <v>3.9466199999999998</v>
      </c>
      <c r="F274">
        <v>4.2242899999999999</v>
      </c>
    </row>
    <row r="275" spans="1:6">
      <c r="A275" t="s">
        <v>1465</v>
      </c>
      <c r="B275" t="s">
        <v>1464</v>
      </c>
      <c r="C275">
        <v>2</v>
      </c>
      <c r="D275">
        <v>7.8191902000000004</v>
      </c>
      <c r="E275">
        <v>3.9095951000000002</v>
      </c>
      <c r="F275">
        <v>4.30931</v>
      </c>
    </row>
    <row r="276" spans="1:6">
      <c r="A276" t="s">
        <v>1469</v>
      </c>
      <c r="B276" t="s">
        <v>1468</v>
      </c>
      <c r="C276">
        <v>2</v>
      </c>
      <c r="D276">
        <v>7.7766699999999993</v>
      </c>
      <c r="E276">
        <v>3.8883350000000001</v>
      </c>
      <c r="F276">
        <v>4.4476899999999997</v>
      </c>
    </row>
    <row r="277" spans="1:6">
      <c r="A277" t="s">
        <v>1474</v>
      </c>
      <c r="B277" t="s">
        <v>1473</v>
      </c>
      <c r="C277">
        <v>2</v>
      </c>
      <c r="D277">
        <v>7.7311000000000014</v>
      </c>
      <c r="E277">
        <v>3.8655499999999998</v>
      </c>
      <c r="F277">
        <v>5.6737000000000002</v>
      </c>
    </row>
    <row r="278" spans="1:6">
      <c r="A278" t="s">
        <v>1479</v>
      </c>
      <c r="B278" t="s">
        <v>1478</v>
      </c>
      <c r="C278">
        <v>2</v>
      </c>
      <c r="D278">
        <v>7.7305800000000007</v>
      </c>
      <c r="E278">
        <v>3.8652899999999999</v>
      </c>
      <c r="F278">
        <v>4.4119600000000014</v>
      </c>
    </row>
    <row r="279" spans="1:6">
      <c r="A279" t="s">
        <v>1483</v>
      </c>
      <c r="B279" t="s">
        <v>1482</v>
      </c>
      <c r="C279">
        <v>2</v>
      </c>
      <c r="D279">
        <v>7.6996699</v>
      </c>
      <c r="E279">
        <v>3.84983495</v>
      </c>
      <c r="F279">
        <v>4.7316700000000003</v>
      </c>
    </row>
    <row r="280" spans="1:6">
      <c r="A280" t="s">
        <v>1488</v>
      </c>
      <c r="B280" t="s">
        <v>1487</v>
      </c>
      <c r="C280">
        <v>2</v>
      </c>
      <c r="D280">
        <v>7.6973900000000004</v>
      </c>
      <c r="E280">
        <v>3.8486950000000002</v>
      </c>
      <c r="F280">
        <v>4.5945200000000002</v>
      </c>
    </row>
    <row r="281" spans="1:6">
      <c r="A281" t="s">
        <v>1492</v>
      </c>
      <c r="B281" t="s">
        <v>1491</v>
      </c>
      <c r="C281">
        <v>2</v>
      </c>
      <c r="D281">
        <v>7.6463000000000001</v>
      </c>
      <c r="E281">
        <v>3.82315</v>
      </c>
      <c r="F281">
        <v>4.5348199999999999</v>
      </c>
    </row>
    <row r="282" spans="1:6">
      <c r="A282" t="s">
        <v>1496</v>
      </c>
      <c r="B282" t="s">
        <v>1495</v>
      </c>
      <c r="C282">
        <v>2</v>
      </c>
      <c r="D282">
        <v>7.4003299999999994</v>
      </c>
      <c r="E282">
        <v>3.7001650000000001</v>
      </c>
      <c r="F282">
        <v>3.8025699999999998</v>
      </c>
    </row>
    <row r="283" spans="1:6">
      <c r="A283" t="s">
        <v>1498</v>
      </c>
      <c r="B283" t="s">
        <v>1497</v>
      </c>
      <c r="C283">
        <v>2</v>
      </c>
      <c r="D283">
        <v>7.3888800000000003</v>
      </c>
      <c r="E283">
        <v>3.6944400000000002</v>
      </c>
      <c r="F283">
        <v>3.9575300000000002</v>
      </c>
    </row>
    <row r="284" spans="1:6">
      <c r="A284" t="s">
        <v>1503</v>
      </c>
      <c r="B284" t="s">
        <v>1502</v>
      </c>
      <c r="C284">
        <v>2</v>
      </c>
      <c r="D284">
        <v>7.376429700000001</v>
      </c>
      <c r="E284">
        <v>3.68821485</v>
      </c>
      <c r="F284">
        <v>4.3348196999999997</v>
      </c>
    </row>
    <row r="285" spans="1:6">
      <c r="A285" t="s">
        <v>1507</v>
      </c>
      <c r="B285" t="s">
        <v>1506</v>
      </c>
      <c r="C285">
        <v>2</v>
      </c>
      <c r="D285">
        <v>7.3498600499999993</v>
      </c>
      <c r="E285">
        <v>3.6749300250000001</v>
      </c>
      <c r="F285">
        <v>6.3098199999999993</v>
      </c>
    </row>
    <row r="286" spans="1:6">
      <c r="A286" t="s">
        <v>1511</v>
      </c>
      <c r="B286" t="s">
        <v>1510</v>
      </c>
      <c r="C286">
        <v>2</v>
      </c>
      <c r="D286">
        <v>7.3442699999999999</v>
      </c>
      <c r="E286">
        <v>3.6721349999999999</v>
      </c>
      <c r="F286">
        <v>4.8121200000000002</v>
      </c>
    </row>
    <row r="287" spans="1:6">
      <c r="A287" t="s">
        <v>1515</v>
      </c>
      <c r="B287" t="s">
        <v>1514</v>
      </c>
      <c r="C287">
        <v>2</v>
      </c>
      <c r="D287">
        <v>7.2459795999999992</v>
      </c>
      <c r="E287">
        <v>3.6229898</v>
      </c>
      <c r="F287">
        <v>4.7397397000000003</v>
      </c>
    </row>
    <row r="288" spans="1:6">
      <c r="A288" t="s">
        <v>1519</v>
      </c>
      <c r="B288" t="s">
        <v>1518</v>
      </c>
      <c r="C288">
        <v>2</v>
      </c>
      <c r="D288">
        <v>7.2383998000000007</v>
      </c>
      <c r="E288">
        <v>3.6191998999999999</v>
      </c>
      <c r="F288">
        <v>4.1870598000000001</v>
      </c>
    </row>
    <row r="289" spans="1:6">
      <c r="A289" t="s">
        <v>1523</v>
      </c>
      <c r="B289" t="s">
        <v>1522</v>
      </c>
      <c r="C289">
        <v>2</v>
      </c>
      <c r="D289">
        <v>7.1296302000000003</v>
      </c>
      <c r="E289">
        <v>3.5648151000000001</v>
      </c>
      <c r="F289">
        <v>3.64289</v>
      </c>
    </row>
    <row r="290" spans="1:6">
      <c r="A290" t="s">
        <v>1526</v>
      </c>
      <c r="B290" t="s">
        <v>1525</v>
      </c>
      <c r="C290">
        <v>2</v>
      </c>
      <c r="D290">
        <v>7.0347498999999996</v>
      </c>
      <c r="E290">
        <v>3.5173749499999998</v>
      </c>
      <c r="F290">
        <v>3.9837199999999999</v>
      </c>
    </row>
    <row r="291" spans="1:6">
      <c r="A291" t="s">
        <v>1530</v>
      </c>
      <c r="B291" t="s">
        <v>1529</v>
      </c>
      <c r="C291">
        <v>2</v>
      </c>
      <c r="D291">
        <v>7.0059499999999986</v>
      </c>
      <c r="E291">
        <v>3.5029750000000002</v>
      </c>
      <c r="F291">
        <v>3.8683000000000001</v>
      </c>
    </row>
    <row r="292" spans="1:6">
      <c r="A292" t="s">
        <v>1534</v>
      </c>
      <c r="B292" t="s">
        <v>1533</v>
      </c>
      <c r="C292">
        <v>2</v>
      </c>
      <c r="D292">
        <v>6.9632500999999998</v>
      </c>
      <c r="E292">
        <v>3.4816250499999999</v>
      </c>
      <c r="F292">
        <v>4.798</v>
      </c>
    </row>
    <row r="293" spans="1:6">
      <c r="A293" t="s">
        <v>1538</v>
      </c>
      <c r="B293" t="s">
        <v>1537</v>
      </c>
      <c r="C293">
        <v>2</v>
      </c>
      <c r="D293">
        <v>6.8579400000000001</v>
      </c>
      <c r="E293">
        <v>3.4289700000000001</v>
      </c>
      <c r="F293">
        <v>3.5097399999999999</v>
      </c>
    </row>
    <row r="294" spans="1:6">
      <c r="A294" t="s">
        <v>1542</v>
      </c>
      <c r="B294" t="s">
        <v>1541</v>
      </c>
      <c r="C294">
        <v>2</v>
      </c>
      <c r="D294">
        <v>6.7666199000000011</v>
      </c>
      <c r="E294">
        <v>3.383309950000001</v>
      </c>
      <c r="F294">
        <v>3.6541399999999999</v>
      </c>
    </row>
    <row r="295" spans="1:6">
      <c r="A295" t="s">
        <v>1546</v>
      </c>
      <c r="B295" t="s">
        <v>1545</v>
      </c>
      <c r="C295">
        <v>2</v>
      </c>
      <c r="D295">
        <v>6.5690399999999993</v>
      </c>
      <c r="E295">
        <v>3.2845200000000001</v>
      </c>
      <c r="F295">
        <v>3.8218800000000002</v>
      </c>
    </row>
    <row r="296" spans="1:6">
      <c r="A296" t="s">
        <v>1550</v>
      </c>
      <c r="B296" t="s">
        <v>1549</v>
      </c>
      <c r="C296">
        <v>2</v>
      </c>
      <c r="D296">
        <v>6.5210096999999996</v>
      </c>
      <c r="E296">
        <v>3.2605048499999998</v>
      </c>
      <c r="F296">
        <v>3.3789596999999998</v>
      </c>
    </row>
    <row r="297" spans="1:6">
      <c r="A297" t="s">
        <v>1554</v>
      </c>
      <c r="B297" t="s">
        <v>1553</v>
      </c>
      <c r="C297">
        <v>2</v>
      </c>
      <c r="D297">
        <v>6.4884399999999998</v>
      </c>
      <c r="E297">
        <v>3.2442199999999999</v>
      </c>
      <c r="F297">
        <v>3.4363800000000002</v>
      </c>
    </row>
    <row r="298" spans="1:6">
      <c r="A298" t="s">
        <v>1558</v>
      </c>
      <c r="B298" t="s">
        <v>1557</v>
      </c>
      <c r="C298">
        <v>2</v>
      </c>
      <c r="D298">
        <v>6.4766803999999993</v>
      </c>
      <c r="E298">
        <v>3.2383402000000001</v>
      </c>
      <c r="F298">
        <v>4.3579504</v>
      </c>
    </row>
    <row r="299" spans="1:6">
      <c r="A299" t="s">
        <v>1563</v>
      </c>
      <c r="B299" t="s">
        <v>1562</v>
      </c>
      <c r="C299">
        <v>2</v>
      </c>
      <c r="D299">
        <v>6.2805396</v>
      </c>
      <c r="E299">
        <v>3.1402698</v>
      </c>
      <c r="F299">
        <v>4.2565095999999993</v>
      </c>
    </row>
    <row r="300" spans="1:6">
      <c r="A300" t="s">
        <v>1567</v>
      </c>
      <c r="B300" t="s">
        <v>1566</v>
      </c>
      <c r="C300">
        <v>2</v>
      </c>
      <c r="D300">
        <v>6.2485901000000004</v>
      </c>
      <c r="E300">
        <v>3.1242950500000002</v>
      </c>
      <c r="F300">
        <v>3.5888200000000001</v>
      </c>
    </row>
    <row r="301" spans="1:6">
      <c r="A301" t="s">
        <v>1571</v>
      </c>
      <c r="B301" t="s">
        <v>1570</v>
      </c>
      <c r="C301">
        <v>2</v>
      </c>
      <c r="D301">
        <v>6.0807299999999991</v>
      </c>
      <c r="E301">
        <v>3.040365</v>
      </c>
      <c r="F301">
        <v>3.73197</v>
      </c>
    </row>
    <row r="302" spans="1:6">
      <c r="A302" t="s">
        <v>1575</v>
      </c>
      <c r="B302" t="s">
        <v>1574</v>
      </c>
      <c r="C302">
        <v>2</v>
      </c>
      <c r="D302">
        <v>6.0787097000000001</v>
      </c>
      <c r="E302">
        <v>3.0393548500000001</v>
      </c>
      <c r="F302">
        <v>3.5564597999999998</v>
      </c>
    </row>
    <row r="303" spans="1:6">
      <c r="A303" t="s">
        <v>1579</v>
      </c>
      <c r="B303" t="s">
        <v>1578</v>
      </c>
      <c r="C303">
        <v>2</v>
      </c>
      <c r="D303">
        <v>6.0601399999999996</v>
      </c>
      <c r="E303">
        <v>3.0300699999999998</v>
      </c>
      <c r="F303">
        <v>3.78932</v>
      </c>
    </row>
    <row r="304" spans="1:6">
      <c r="A304" t="s">
        <v>1581</v>
      </c>
      <c r="B304" t="s">
        <v>1580</v>
      </c>
      <c r="C304">
        <v>2</v>
      </c>
      <c r="D304">
        <v>5.8563700000000001</v>
      </c>
      <c r="E304">
        <v>2.928185</v>
      </c>
      <c r="F304">
        <v>3.7708499999999998</v>
      </c>
    </row>
    <row r="305" spans="1:6">
      <c r="A305" t="s">
        <v>1585</v>
      </c>
      <c r="B305" t="s">
        <v>1584</v>
      </c>
      <c r="C305">
        <v>2</v>
      </c>
      <c r="D305">
        <v>5.6462500000000002</v>
      </c>
      <c r="E305">
        <v>2.8231250000000001</v>
      </c>
      <c r="F305">
        <v>4.0669200000000014</v>
      </c>
    </row>
    <row r="306" spans="1:6">
      <c r="A306" t="s">
        <v>1589</v>
      </c>
      <c r="B306" t="s">
        <v>1588</v>
      </c>
      <c r="C306">
        <v>2</v>
      </c>
      <c r="D306">
        <v>5.64405</v>
      </c>
      <c r="E306">
        <v>2.822025</v>
      </c>
      <c r="F306">
        <v>3.0428799999999998</v>
      </c>
    </row>
    <row r="307" spans="1:6">
      <c r="A307" t="s">
        <v>1593</v>
      </c>
      <c r="B307" t="s">
        <v>1592</v>
      </c>
      <c r="C307">
        <v>2</v>
      </c>
      <c r="D307">
        <v>5.6415701</v>
      </c>
      <c r="E307">
        <v>2.82078505</v>
      </c>
      <c r="F307">
        <v>2.9451301000000001</v>
      </c>
    </row>
    <row r="308" spans="1:6">
      <c r="A308" t="s">
        <v>1597</v>
      </c>
      <c r="B308" t="s">
        <v>1596</v>
      </c>
      <c r="C308">
        <v>2</v>
      </c>
      <c r="D308">
        <v>5.6389900000000006</v>
      </c>
      <c r="E308">
        <v>2.8194949999999999</v>
      </c>
      <c r="F308">
        <v>3.1667800000000002</v>
      </c>
    </row>
    <row r="309" spans="1:6">
      <c r="A309" t="s">
        <v>1601</v>
      </c>
      <c r="B309" t="s">
        <v>1600</v>
      </c>
      <c r="C309">
        <v>2</v>
      </c>
      <c r="D309">
        <v>5.62453</v>
      </c>
      <c r="E309">
        <v>2.812265</v>
      </c>
      <c r="F309">
        <v>2.9550100000000001</v>
      </c>
    </row>
    <row r="310" spans="1:6">
      <c r="A310" t="s">
        <v>1603</v>
      </c>
      <c r="B310" t="s">
        <v>1602</v>
      </c>
      <c r="C310">
        <v>2</v>
      </c>
      <c r="D310">
        <v>5.5767799500000006</v>
      </c>
      <c r="E310">
        <v>2.7883899749999999</v>
      </c>
      <c r="F310">
        <v>4.2139000000000006</v>
      </c>
    </row>
    <row r="311" spans="1:6">
      <c r="A311" t="s">
        <v>1607</v>
      </c>
      <c r="B311" t="s">
        <v>1606</v>
      </c>
      <c r="C311">
        <v>2</v>
      </c>
      <c r="D311">
        <v>5.3414701999999998</v>
      </c>
      <c r="E311">
        <v>2.6707350999999999</v>
      </c>
      <c r="F311">
        <v>3.7978201999999999</v>
      </c>
    </row>
    <row r="312" spans="1:6">
      <c r="A312" t="s">
        <v>1611</v>
      </c>
      <c r="B312" t="s">
        <v>1610</v>
      </c>
      <c r="C312">
        <v>2</v>
      </c>
      <c r="D312">
        <v>5.3011499999999998</v>
      </c>
      <c r="E312">
        <v>2.6505749999999999</v>
      </c>
      <c r="F312">
        <v>3.2262400000000002</v>
      </c>
    </row>
    <row r="313" spans="1:6">
      <c r="A313" t="s">
        <v>1615</v>
      </c>
      <c r="B313" t="s">
        <v>1614</v>
      </c>
      <c r="C313">
        <v>2</v>
      </c>
      <c r="D313">
        <v>5.2197900000000006</v>
      </c>
      <c r="E313">
        <v>2.6098949999999999</v>
      </c>
      <c r="F313">
        <v>2.61497</v>
      </c>
    </row>
    <row r="314" spans="1:6">
      <c r="A314" t="s">
        <v>1619</v>
      </c>
      <c r="B314" t="s">
        <v>1618</v>
      </c>
      <c r="C314">
        <v>2</v>
      </c>
      <c r="D314">
        <v>5.0617599999999996</v>
      </c>
      <c r="E314">
        <v>2.5308799999999998</v>
      </c>
      <c r="F314">
        <v>3.8546999999999998</v>
      </c>
    </row>
    <row r="315" spans="1:6">
      <c r="A315" t="s">
        <v>1623</v>
      </c>
      <c r="B315" t="s">
        <v>1622</v>
      </c>
      <c r="C315">
        <v>2</v>
      </c>
      <c r="D315">
        <v>4.9395800000000003</v>
      </c>
      <c r="E315">
        <v>2.4697900000000002</v>
      </c>
      <c r="F315">
        <v>2.6470398999999998</v>
      </c>
    </row>
    <row r="316" spans="1:6">
      <c r="A316" t="s">
        <v>1625</v>
      </c>
      <c r="B316" t="s">
        <v>1624</v>
      </c>
      <c r="C316">
        <v>2</v>
      </c>
      <c r="D316">
        <v>4.57761</v>
      </c>
      <c r="E316">
        <v>2.288805</v>
      </c>
      <c r="F316">
        <v>2.4878900000000002</v>
      </c>
    </row>
    <row r="317" spans="1:6">
      <c r="A317" t="s">
        <v>1629</v>
      </c>
      <c r="B317" t="s">
        <v>1628</v>
      </c>
      <c r="C317">
        <v>2</v>
      </c>
      <c r="D317">
        <v>4.4584902</v>
      </c>
      <c r="E317">
        <v>2.2292451</v>
      </c>
      <c r="F317">
        <v>3.5997401999999998</v>
      </c>
    </row>
    <row r="318" spans="1:6">
      <c r="A318" t="s">
        <v>1633</v>
      </c>
      <c r="B318" t="s">
        <v>1632</v>
      </c>
      <c r="C318">
        <v>2</v>
      </c>
      <c r="D318">
        <v>4.2577999999999996</v>
      </c>
      <c r="E318">
        <v>2.1288999999999998</v>
      </c>
      <c r="F318">
        <v>2.4295900000000001</v>
      </c>
    </row>
    <row r="319" spans="1:6">
      <c r="A319" t="s">
        <v>1637</v>
      </c>
      <c r="B319" t="s">
        <v>1636</v>
      </c>
      <c r="C319">
        <v>2</v>
      </c>
      <c r="D319">
        <v>3.9432299999999998</v>
      </c>
      <c r="E319">
        <v>1.9716149999999999</v>
      </c>
      <c r="F319">
        <v>2.98176</v>
      </c>
    </row>
    <row r="320" spans="1:6">
      <c r="A320" t="s">
        <v>1639</v>
      </c>
      <c r="B320" t="s">
        <v>1638</v>
      </c>
      <c r="C320">
        <v>2</v>
      </c>
      <c r="D320">
        <v>2.4452099999999999</v>
      </c>
      <c r="E320">
        <v>1.2226049999999999</v>
      </c>
      <c r="F320">
        <v>1.6810700000000001</v>
      </c>
    </row>
    <row r="321" spans="1:6">
      <c r="A321" t="s">
        <v>1643</v>
      </c>
      <c r="B321" t="s">
        <v>1642</v>
      </c>
      <c r="C321">
        <v>1</v>
      </c>
      <c r="D321">
        <v>16.966619999999999</v>
      </c>
      <c r="E321">
        <v>16.966619999999999</v>
      </c>
      <c r="F321">
        <v>16.966619999999999</v>
      </c>
    </row>
    <row r="322" spans="1:6">
      <c r="A322" t="s">
        <v>1645</v>
      </c>
      <c r="B322" t="s">
        <v>1644</v>
      </c>
      <c r="C322">
        <v>1</v>
      </c>
      <c r="D322">
        <v>16.776699000000001</v>
      </c>
      <c r="E322">
        <v>16.776699000000001</v>
      </c>
      <c r="F322">
        <v>16.776699000000001</v>
      </c>
    </row>
    <row r="323" spans="1:6">
      <c r="A323" t="s">
        <v>1647</v>
      </c>
      <c r="B323" t="s">
        <v>1646</v>
      </c>
      <c r="C323">
        <v>1</v>
      </c>
      <c r="D323">
        <v>14.88062</v>
      </c>
      <c r="E323">
        <v>14.88062</v>
      </c>
      <c r="F323">
        <v>14.88062</v>
      </c>
    </row>
    <row r="324" spans="1:6">
      <c r="A324" t="s">
        <v>1651</v>
      </c>
      <c r="B324" t="s">
        <v>1650</v>
      </c>
      <c r="C324">
        <v>1</v>
      </c>
      <c r="D324">
        <v>13.68989</v>
      </c>
      <c r="E324">
        <v>13.68989</v>
      </c>
      <c r="F324">
        <v>13.68989</v>
      </c>
    </row>
    <row r="325" spans="1:6">
      <c r="A325" t="s">
        <v>1655</v>
      </c>
      <c r="B325" t="s">
        <v>1654</v>
      </c>
      <c r="C325">
        <v>1</v>
      </c>
      <c r="D325">
        <v>13.678290000000001</v>
      </c>
      <c r="E325">
        <v>13.678290000000001</v>
      </c>
      <c r="F325">
        <v>13.678290000000001</v>
      </c>
    </row>
    <row r="326" spans="1:6">
      <c r="A326" t="s">
        <v>1658</v>
      </c>
      <c r="B326" t="s">
        <v>1657</v>
      </c>
      <c r="C326">
        <v>1</v>
      </c>
      <c r="D326">
        <v>13.67108</v>
      </c>
      <c r="E326">
        <v>13.67108</v>
      </c>
      <c r="F326">
        <v>13.67108</v>
      </c>
    </row>
    <row r="327" spans="1:6">
      <c r="A327" t="s">
        <v>1662</v>
      </c>
      <c r="B327" t="s">
        <v>1661</v>
      </c>
      <c r="C327">
        <v>1</v>
      </c>
      <c r="D327">
        <v>12.930949999999999</v>
      </c>
      <c r="E327">
        <v>12.930949999999999</v>
      </c>
      <c r="F327">
        <v>12.930949999999999</v>
      </c>
    </row>
    <row r="328" spans="1:6">
      <c r="A328" t="s">
        <v>1666</v>
      </c>
      <c r="B328" t="s">
        <v>1665</v>
      </c>
      <c r="C328">
        <v>1</v>
      </c>
      <c r="D328">
        <v>12.17046</v>
      </c>
      <c r="E328">
        <v>12.17046</v>
      </c>
      <c r="F328">
        <v>12.17046</v>
      </c>
    </row>
    <row r="329" spans="1:6">
      <c r="A329" t="s">
        <v>1670</v>
      </c>
      <c r="B329" t="s">
        <v>1669</v>
      </c>
      <c r="C329">
        <v>1</v>
      </c>
      <c r="D329">
        <v>11.106849499999999</v>
      </c>
      <c r="E329">
        <v>11.106849499999999</v>
      </c>
      <c r="F329">
        <v>11.106849499999999</v>
      </c>
    </row>
    <row r="330" spans="1:6">
      <c r="A330" t="s">
        <v>1674</v>
      </c>
      <c r="B330" t="s">
        <v>1673</v>
      </c>
      <c r="C330">
        <v>1</v>
      </c>
      <c r="D330">
        <v>10.0250594</v>
      </c>
      <c r="E330">
        <v>10.0250594</v>
      </c>
      <c r="F330">
        <v>10.0250594</v>
      </c>
    </row>
    <row r="331" spans="1:6">
      <c r="A331" t="s">
        <v>1676</v>
      </c>
      <c r="B331" t="s">
        <v>1675</v>
      </c>
      <c r="C331">
        <v>1</v>
      </c>
      <c r="D331">
        <v>9.7647700000000004</v>
      </c>
      <c r="E331">
        <v>9.7647700000000004</v>
      </c>
      <c r="F331">
        <v>9.7647700000000004</v>
      </c>
    </row>
    <row r="332" spans="1:6">
      <c r="A332" t="s">
        <v>1680</v>
      </c>
      <c r="B332" t="s">
        <v>1679</v>
      </c>
      <c r="C332">
        <v>1</v>
      </c>
      <c r="D332">
        <v>9.0968099999999996</v>
      </c>
      <c r="E332">
        <v>9.0968099999999996</v>
      </c>
      <c r="F332">
        <v>9.0968099999999996</v>
      </c>
    </row>
    <row r="333" spans="1:6">
      <c r="A333" t="s">
        <v>1682</v>
      </c>
      <c r="B333" t="s">
        <v>1681</v>
      </c>
      <c r="C333">
        <v>1</v>
      </c>
      <c r="D333">
        <v>9.0500800000000012</v>
      </c>
      <c r="E333">
        <v>9.0500800000000012</v>
      </c>
      <c r="F333">
        <v>9.0500800000000012</v>
      </c>
    </row>
    <row r="334" spans="1:6">
      <c r="A334" t="s">
        <v>1686</v>
      </c>
      <c r="B334" t="s">
        <v>1685</v>
      </c>
      <c r="C334">
        <v>1</v>
      </c>
      <c r="D334">
        <v>8.7865694999999988</v>
      </c>
      <c r="E334">
        <v>8.7865694999999988</v>
      </c>
      <c r="F334">
        <v>8.7865694999999988</v>
      </c>
    </row>
    <row r="335" spans="1:6">
      <c r="A335" t="s">
        <v>1690</v>
      </c>
      <c r="B335" t="s">
        <v>1689</v>
      </c>
      <c r="C335">
        <v>1</v>
      </c>
      <c r="D335">
        <v>8.6433399999999985</v>
      </c>
      <c r="E335">
        <v>8.6433399999999985</v>
      </c>
      <c r="F335">
        <v>8.6433399999999985</v>
      </c>
    </row>
    <row r="336" spans="1:6">
      <c r="A336" t="s">
        <v>1694</v>
      </c>
      <c r="B336" t="s">
        <v>1693</v>
      </c>
      <c r="C336">
        <v>1</v>
      </c>
      <c r="D336">
        <v>8.2572700000000001</v>
      </c>
      <c r="E336">
        <v>8.2572700000000001</v>
      </c>
      <c r="F336">
        <v>8.2572700000000001</v>
      </c>
    </row>
    <row r="337" spans="1:6">
      <c r="A337" t="s">
        <v>1698</v>
      </c>
      <c r="B337" t="s">
        <v>1697</v>
      </c>
      <c r="C337">
        <v>1</v>
      </c>
      <c r="D337">
        <v>8.1018489999999996</v>
      </c>
      <c r="E337">
        <v>8.1018489999999996</v>
      </c>
      <c r="F337">
        <v>8.1018489999999996</v>
      </c>
    </row>
    <row r="338" spans="1:6">
      <c r="A338" t="s">
        <v>1702</v>
      </c>
      <c r="B338" t="s">
        <v>1701</v>
      </c>
      <c r="C338">
        <v>1</v>
      </c>
      <c r="D338">
        <v>8.037840000000001</v>
      </c>
      <c r="E338">
        <v>8.037840000000001</v>
      </c>
      <c r="F338">
        <v>8.037840000000001</v>
      </c>
    </row>
    <row r="339" spans="1:6">
      <c r="A339" t="s">
        <v>1704</v>
      </c>
      <c r="B339" t="s">
        <v>1703</v>
      </c>
      <c r="C339">
        <v>1</v>
      </c>
      <c r="D339">
        <v>7.9484799999999991</v>
      </c>
      <c r="E339">
        <v>7.9484799999999991</v>
      </c>
      <c r="F339">
        <v>7.9484799999999991</v>
      </c>
    </row>
    <row r="340" spans="1:6">
      <c r="A340" t="s">
        <v>1706</v>
      </c>
      <c r="B340" t="s">
        <v>1705</v>
      </c>
      <c r="C340">
        <v>1</v>
      </c>
      <c r="D340">
        <v>7.9035304000000002</v>
      </c>
      <c r="E340">
        <v>7.9035304000000002</v>
      </c>
      <c r="F340">
        <v>7.9035304000000002</v>
      </c>
    </row>
    <row r="341" spans="1:6">
      <c r="A341" t="s">
        <v>1710</v>
      </c>
      <c r="B341" t="s">
        <v>1709</v>
      </c>
      <c r="C341">
        <v>1</v>
      </c>
      <c r="D341">
        <v>7.7273300000000003</v>
      </c>
      <c r="E341">
        <v>7.7273300000000003</v>
      </c>
      <c r="F341">
        <v>7.7273300000000003</v>
      </c>
    </row>
    <row r="342" spans="1:6">
      <c r="A342" t="s">
        <v>1712</v>
      </c>
      <c r="B342" t="s">
        <v>1711</v>
      </c>
      <c r="C342">
        <v>1</v>
      </c>
      <c r="D342">
        <v>7.6418499999999998</v>
      </c>
      <c r="E342">
        <v>7.6418499999999998</v>
      </c>
      <c r="F342">
        <v>7.6418499999999998</v>
      </c>
    </row>
    <row r="343" spans="1:6">
      <c r="A343" t="s">
        <v>1716</v>
      </c>
      <c r="B343" t="s">
        <v>1715</v>
      </c>
      <c r="C343">
        <v>1</v>
      </c>
      <c r="D343">
        <v>7.46807</v>
      </c>
      <c r="E343">
        <v>7.46807</v>
      </c>
      <c r="F343">
        <v>7.46807</v>
      </c>
    </row>
    <row r="344" spans="1:6">
      <c r="A344" t="s">
        <v>1720</v>
      </c>
      <c r="B344" t="s">
        <v>1719</v>
      </c>
      <c r="C344">
        <v>1</v>
      </c>
      <c r="D344">
        <v>7.407420000000001</v>
      </c>
      <c r="E344">
        <v>7.407420000000001</v>
      </c>
      <c r="F344">
        <v>7.407420000000001</v>
      </c>
    </row>
    <row r="345" spans="1:6">
      <c r="A345" t="s">
        <v>1724</v>
      </c>
      <c r="B345" t="s">
        <v>1723</v>
      </c>
      <c r="C345">
        <v>1</v>
      </c>
      <c r="D345">
        <v>7.3368100000000007</v>
      </c>
      <c r="E345">
        <v>7.3368100000000007</v>
      </c>
      <c r="F345">
        <v>7.3368100000000007</v>
      </c>
    </row>
    <row r="346" spans="1:6">
      <c r="A346" t="s">
        <v>1728</v>
      </c>
      <c r="B346" t="s">
        <v>1727</v>
      </c>
      <c r="C346">
        <v>1</v>
      </c>
      <c r="D346">
        <v>7.3361300000000007</v>
      </c>
      <c r="E346">
        <v>7.3361300000000007</v>
      </c>
      <c r="F346">
        <v>7.3361300000000007</v>
      </c>
    </row>
    <row r="347" spans="1:6">
      <c r="A347" t="s">
        <v>1732</v>
      </c>
      <c r="B347" t="s">
        <v>1731</v>
      </c>
      <c r="C347">
        <v>1</v>
      </c>
      <c r="D347">
        <v>7.2109900000000007</v>
      </c>
      <c r="E347">
        <v>7.2109900000000007</v>
      </c>
      <c r="F347">
        <v>7.2109900000000007</v>
      </c>
    </row>
    <row r="348" spans="1:6">
      <c r="A348" t="s">
        <v>1736</v>
      </c>
      <c r="B348" t="s">
        <v>1735</v>
      </c>
      <c r="C348">
        <v>1</v>
      </c>
      <c r="D348">
        <v>7.1513800000000014</v>
      </c>
      <c r="E348">
        <v>7.1513800000000014</v>
      </c>
      <c r="F348">
        <v>7.1513800000000014</v>
      </c>
    </row>
    <row r="349" spans="1:6">
      <c r="A349" t="s">
        <v>1740</v>
      </c>
      <c r="B349" t="s">
        <v>1739</v>
      </c>
      <c r="C349">
        <v>1</v>
      </c>
      <c r="D349">
        <v>7.1290395999999996</v>
      </c>
      <c r="E349">
        <v>7.1290395999999996</v>
      </c>
      <c r="F349">
        <v>7.1290395999999996</v>
      </c>
    </row>
    <row r="350" spans="1:6">
      <c r="A350" t="s">
        <v>1742</v>
      </c>
      <c r="B350" t="s">
        <v>1741</v>
      </c>
      <c r="C350">
        <v>1</v>
      </c>
      <c r="D350">
        <v>7.1001499999999993</v>
      </c>
      <c r="E350">
        <v>7.1001499999999993</v>
      </c>
      <c r="F350">
        <v>7.1001499999999993</v>
      </c>
    </row>
    <row r="351" spans="1:6">
      <c r="A351" t="s">
        <v>1746</v>
      </c>
      <c r="B351" t="s">
        <v>1745</v>
      </c>
      <c r="C351">
        <v>1</v>
      </c>
      <c r="D351">
        <v>7.0997500000000002</v>
      </c>
      <c r="E351">
        <v>7.0997500000000002</v>
      </c>
      <c r="F351">
        <v>7.0997500000000002</v>
      </c>
    </row>
    <row r="352" spans="1:6">
      <c r="A352" t="s">
        <v>1750</v>
      </c>
      <c r="B352" t="s">
        <v>1749</v>
      </c>
      <c r="C352">
        <v>1</v>
      </c>
      <c r="D352">
        <v>6.9886900000000001</v>
      </c>
      <c r="E352">
        <v>6.9886900000000001</v>
      </c>
      <c r="F352">
        <v>6.9886900000000001</v>
      </c>
    </row>
    <row r="353" spans="1:6">
      <c r="A353" t="s">
        <v>1754</v>
      </c>
      <c r="B353" t="s">
        <v>1753</v>
      </c>
      <c r="C353">
        <v>1</v>
      </c>
      <c r="D353">
        <v>6.9357300000000004</v>
      </c>
      <c r="E353">
        <v>6.9357300000000004</v>
      </c>
      <c r="F353">
        <v>6.9357300000000004</v>
      </c>
    </row>
    <row r="354" spans="1:6">
      <c r="A354" t="s">
        <v>1758</v>
      </c>
      <c r="B354" t="s">
        <v>1757</v>
      </c>
      <c r="C354">
        <v>1</v>
      </c>
      <c r="D354">
        <v>6.8611099999999992</v>
      </c>
      <c r="E354">
        <v>6.8611099999999992</v>
      </c>
      <c r="F354">
        <v>6.8611099999999992</v>
      </c>
    </row>
    <row r="355" spans="1:6">
      <c r="A355" t="s">
        <v>1762</v>
      </c>
      <c r="B355" t="s">
        <v>1761</v>
      </c>
      <c r="C355">
        <v>1</v>
      </c>
      <c r="D355">
        <v>6.6469399999999998</v>
      </c>
      <c r="E355">
        <v>6.6469399999999998</v>
      </c>
      <c r="F355">
        <v>6.6469399999999998</v>
      </c>
    </row>
    <row r="356" spans="1:6">
      <c r="A356" t="s">
        <v>1766</v>
      </c>
      <c r="B356" t="s">
        <v>1765</v>
      </c>
      <c r="C356">
        <v>1</v>
      </c>
      <c r="D356">
        <v>6.5005295000000007</v>
      </c>
      <c r="E356">
        <v>6.5005295000000007</v>
      </c>
      <c r="F356">
        <v>6.5005295000000007</v>
      </c>
    </row>
    <row r="357" spans="1:6">
      <c r="A357" t="s">
        <v>1770</v>
      </c>
      <c r="B357" t="s">
        <v>1769</v>
      </c>
      <c r="C357">
        <v>1</v>
      </c>
      <c r="D357">
        <v>6.4960696000000002</v>
      </c>
      <c r="E357">
        <v>6.4960696000000002</v>
      </c>
      <c r="F357">
        <v>6.4960696000000002</v>
      </c>
    </row>
    <row r="358" spans="1:6">
      <c r="A358" t="s">
        <v>1774</v>
      </c>
      <c r="B358" t="s">
        <v>1773</v>
      </c>
      <c r="C358">
        <v>1</v>
      </c>
      <c r="D358">
        <v>6.4811400000000008</v>
      </c>
      <c r="E358">
        <v>6.4811400000000008</v>
      </c>
      <c r="F358">
        <v>6.4811400000000008</v>
      </c>
    </row>
    <row r="359" spans="1:6">
      <c r="A359" t="s">
        <v>1778</v>
      </c>
      <c r="B359" t="s">
        <v>1777</v>
      </c>
      <c r="C359">
        <v>1</v>
      </c>
      <c r="D359">
        <v>6.4673599999999993</v>
      </c>
      <c r="E359">
        <v>6.4673599999999993</v>
      </c>
      <c r="F359">
        <v>6.4673599999999993</v>
      </c>
    </row>
    <row r="360" spans="1:6">
      <c r="A360" t="s">
        <v>1782</v>
      </c>
      <c r="B360" t="s">
        <v>1781</v>
      </c>
      <c r="C360">
        <v>1</v>
      </c>
      <c r="D360">
        <v>6.4619004999999996</v>
      </c>
      <c r="E360">
        <v>6.4619004999999996</v>
      </c>
      <c r="F360">
        <v>6.4619004999999996</v>
      </c>
    </row>
    <row r="361" spans="1:6">
      <c r="A361" t="s">
        <v>1784</v>
      </c>
      <c r="B361" t="s">
        <v>1783</v>
      </c>
      <c r="C361">
        <v>1</v>
      </c>
      <c r="D361">
        <v>6.4375499999999999</v>
      </c>
      <c r="E361">
        <v>6.4375499999999999</v>
      </c>
      <c r="F361">
        <v>6.4375499999999999</v>
      </c>
    </row>
    <row r="362" spans="1:6">
      <c r="A362" t="s">
        <v>1789</v>
      </c>
      <c r="B362" t="s">
        <v>1788</v>
      </c>
      <c r="C362">
        <v>1</v>
      </c>
      <c r="D362">
        <v>6.4046900000000004</v>
      </c>
      <c r="E362">
        <v>6.4046900000000004</v>
      </c>
      <c r="F362">
        <v>6.4046900000000004</v>
      </c>
    </row>
    <row r="363" spans="1:6">
      <c r="A363" t="s">
        <v>1794</v>
      </c>
      <c r="B363" t="s">
        <v>1793</v>
      </c>
      <c r="C363">
        <v>1</v>
      </c>
      <c r="D363">
        <v>6.3999899999999998</v>
      </c>
      <c r="E363">
        <v>6.3999899999999998</v>
      </c>
      <c r="F363">
        <v>6.3999899999999998</v>
      </c>
    </row>
    <row r="364" spans="1:6">
      <c r="A364" t="s">
        <v>1798</v>
      </c>
      <c r="B364" t="s">
        <v>1797</v>
      </c>
      <c r="C364">
        <v>1</v>
      </c>
      <c r="D364">
        <v>6.378639999999999</v>
      </c>
      <c r="E364">
        <v>6.378639999999999</v>
      </c>
      <c r="F364">
        <v>6.378639999999999</v>
      </c>
    </row>
    <row r="365" spans="1:6">
      <c r="A365" t="s">
        <v>1800</v>
      </c>
      <c r="B365" t="s">
        <v>1799</v>
      </c>
      <c r="C365">
        <v>1</v>
      </c>
      <c r="D365">
        <v>6.2387300000000003</v>
      </c>
      <c r="E365">
        <v>6.2387300000000003</v>
      </c>
      <c r="F365">
        <v>6.2387300000000003</v>
      </c>
    </row>
    <row r="366" spans="1:6">
      <c r="A366" t="s">
        <v>1804</v>
      </c>
      <c r="B366" t="s">
        <v>1803</v>
      </c>
      <c r="C366">
        <v>1</v>
      </c>
      <c r="D366">
        <v>6.2020704000000002</v>
      </c>
      <c r="E366">
        <v>6.2020704000000002</v>
      </c>
      <c r="F366">
        <v>6.2020704000000002</v>
      </c>
    </row>
    <row r="367" spans="1:6">
      <c r="A367" t="s">
        <v>1806</v>
      </c>
      <c r="B367" t="s">
        <v>1805</v>
      </c>
      <c r="C367">
        <v>1</v>
      </c>
      <c r="D367">
        <v>6.1863596999999997</v>
      </c>
      <c r="E367">
        <v>6.1863596999999997</v>
      </c>
      <c r="F367">
        <v>6.1863596999999997</v>
      </c>
    </row>
    <row r="368" spans="1:6">
      <c r="A368" t="s">
        <v>1810</v>
      </c>
      <c r="B368" t="s">
        <v>1809</v>
      </c>
      <c r="C368">
        <v>1</v>
      </c>
      <c r="D368">
        <v>6.1830502000000003</v>
      </c>
      <c r="E368">
        <v>6.1830502000000003</v>
      </c>
      <c r="F368">
        <v>6.1830502000000003</v>
      </c>
    </row>
    <row r="369" spans="1:6">
      <c r="A369" t="s">
        <v>1815</v>
      </c>
      <c r="B369" t="s">
        <v>1814</v>
      </c>
      <c r="C369">
        <v>1</v>
      </c>
      <c r="D369">
        <v>6.1337400000000004</v>
      </c>
      <c r="E369">
        <v>6.1337400000000004</v>
      </c>
      <c r="F369">
        <v>6.1337400000000004</v>
      </c>
    </row>
    <row r="370" spans="1:6">
      <c r="A370" t="s">
        <v>1819</v>
      </c>
      <c r="B370" t="s">
        <v>1818</v>
      </c>
      <c r="C370">
        <v>1</v>
      </c>
      <c r="D370">
        <v>5.9915497999999996</v>
      </c>
      <c r="E370">
        <v>5.9915497999999996</v>
      </c>
      <c r="F370">
        <v>5.9915497999999996</v>
      </c>
    </row>
    <row r="371" spans="1:6">
      <c r="A371" t="s">
        <v>1823</v>
      </c>
      <c r="B371" t="s">
        <v>1822</v>
      </c>
      <c r="C371">
        <v>1</v>
      </c>
      <c r="D371">
        <v>5.9601698000000001</v>
      </c>
      <c r="E371">
        <v>5.9601698000000001</v>
      </c>
      <c r="F371">
        <v>5.9601698000000001</v>
      </c>
    </row>
    <row r="372" spans="1:6">
      <c r="A372" t="s">
        <v>1825</v>
      </c>
      <c r="B372" t="s">
        <v>1824</v>
      </c>
      <c r="C372">
        <v>1</v>
      </c>
      <c r="D372">
        <v>5.9574999999999996</v>
      </c>
      <c r="E372">
        <v>5.9574999999999996</v>
      </c>
      <c r="F372">
        <v>5.9574999999999996</v>
      </c>
    </row>
    <row r="373" spans="1:6">
      <c r="A373" t="s">
        <v>1829</v>
      </c>
      <c r="B373" t="s">
        <v>1828</v>
      </c>
      <c r="C373">
        <v>1</v>
      </c>
      <c r="D373">
        <v>5.9530903000000004</v>
      </c>
      <c r="E373">
        <v>5.9530903000000004</v>
      </c>
      <c r="F373">
        <v>5.9530903000000004</v>
      </c>
    </row>
    <row r="374" spans="1:6">
      <c r="A374" t="s">
        <v>1832</v>
      </c>
      <c r="B374" t="s">
        <v>1831</v>
      </c>
      <c r="C374">
        <v>1</v>
      </c>
      <c r="D374">
        <v>5.9330102</v>
      </c>
      <c r="E374">
        <v>5.9330102</v>
      </c>
      <c r="F374">
        <v>5.9330102</v>
      </c>
    </row>
    <row r="375" spans="1:6">
      <c r="A375" t="s">
        <v>1834</v>
      </c>
      <c r="B375" t="s">
        <v>1833</v>
      </c>
      <c r="C375">
        <v>1</v>
      </c>
      <c r="D375">
        <v>5.8500200000000007</v>
      </c>
      <c r="E375">
        <v>5.8500200000000007</v>
      </c>
      <c r="F375">
        <v>5.8500200000000007</v>
      </c>
    </row>
    <row r="376" spans="1:6">
      <c r="A376" t="s">
        <v>1838</v>
      </c>
      <c r="B376" t="s">
        <v>1837</v>
      </c>
      <c r="C376">
        <v>1</v>
      </c>
      <c r="D376">
        <v>5.8324299999999996</v>
      </c>
      <c r="E376">
        <v>5.8324299999999996</v>
      </c>
      <c r="F376">
        <v>5.8324299999999996</v>
      </c>
    </row>
    <row r="377" spans="1:6">
      <c r="A377" t="s">
        <v>1842</v>
      </c>
      <c r="B377" t="s">
        <v>1841</v>
      </c>
      <c r="C377">
        <v>1</v>
      </c>
      <c r="D377">
        <v>5.8209799999999996</v>
      </c>
      <c r="E377">
        <v>5.8209799999999996</v>
      </c>
      <c r="F377">
        <v>5.8209799999999996</v>
      </c>
    </row>
    <row r="378" spans="1:6">
      <c r="A378" t="s">
        <v>1846</v>
      </c>
      <c r="B378" t="s">
        <v>1845</v>
      </c>
      <c r="C378">
        <v>1</v>
      </c>
      <c r="D378">
        <v>5.7905100000000003</v>
      </c>
      <c r="E378">
        <v>5.7905100000000003</v>
      </c>
      <c r="F378">
        <v>5.7905100000000003</v>
      </c>
    </row>
    <row r="379" spans="1:6">
      <c r="A379" t="s">
        <v>1850</v>
      </c>
      <c r="B379" t="s">
        <v>1849</v>
      </c>
      <c r="C379">
        <v>1</v>
      </c>
      <c r="D379">
        <v>5.7574899999999998</v>
      </c>
      <c r="E379">
        <v>5.7574899999999998</v>
      </c>
      <c r="F379">
        <v>5.7574899999999998</v>
      </c>
    </row>
    <row r="380" spans="1:6">
      <c r="A380" t="s">
        <v>1854</v>
      </c>
      <c r="B380" t="s">
        <v>1853</v>
      </c>
      <c r="C380">
        <v>1</v>
      </c>
      <c r="D380">
        <v>5.7249295999999994</v>
      </c>
      <c r="E380">
        <v>5.7249295999999994</v>
      </c>
      <c r="F380">
        <v>5.7249295999999994</v>
      </c>
    </row>
    <row r="381" spans="1:6">
      <c r="A381" t="s">
        <v>1858</v>
      </c>
      <c r="B381" t="s">
        <v>1857</v>
      </c>
      <c r="C381">
        <v>1</v>
      </c>
      <c r="D381">
        <v>5.7129300000000001</v>
      </c>
      <c r="E381">
        <v>5.7129300000000001</v>
      </c>
      <c r="F381">
        <v>5.7129300000000001</v>
      </c>
    </row>
    <row r="382" spans="1:6">
      <c r="A382" t="s">
        <v>1862</v>
      </c>
      <c r="B382" t="s">
        <v>1861</v>
      </c>
      <c r="C382">
        <v>1</v>
      </c>
      <c r="D382">
        <v>5.6890200000000002</v>
      </c>
      <c r="E382">
        <v>5.6890200000000002</v>
      </c>
      <c r="F382">
        <v>5.6890200000000002</v>
      </c>
    </row>
    <row r="383" spans="1:6">
      <c r="A383" t="s">
        <v>1864</v>
      </c>
      <c r="B383" t="s">
        <v>1863</v>
      </c>
      <c r="C383">
        <v>1</v>
      </c>
      <c r="D383">
        <v>5.6498600000000003</v>
      </c>
      <c r="E383">
        <v>5.6498600000000003</v>
      </c>
      <c r="F383">
        <v>5.6498600000000003</v>
      </c>
    </row>
    <row r="384" spans="1:6">
      <c r="A384" t="s">
        <v>1868</v>
      </c>
      <c r="B384" t="s">
        <v>1867</v>
      </c>
      <c r="C384">
        <v>1</v>
      </c>
      <c r="D384">
        <v>5.6239400000000002</v>
      </c>
      <c r="E384">
        <v>5.6239400000000002</v>
      </c>
      <c r="F384">
        <v>5.6239400000000002</v>
      </c>
    </row>
    <row r="385" spans="1:6">
      <c r="A385" t="s">
        <v>1872</v>
      </c>
      <c r="B385" t="s">
        <v>1871</v>
      </c>
      <c r="C385">
        <v>1</v>
      </c>
      <c r="D385">
        <v>5.5510804</v>
      </c>
      <c r="E385">
        <v>5.5510804</v>
      </c>
      <c r="F385">
        <v>5.5510804</v>
      </c>
    </row>
    <row r="386" spans="1:6">
      <c r="A386" t="s">
        <v>1876</v>
      </c>
      <c r="B386" t="s">
        <v>1875</v>
      </c>
      <c r="C386">
        <v>1</v>
      </c>
      <c r="D386">
        <v>5.5322398000000002</v>
      </c>
      <c r="E386">
        <v>5.5322398000000002</v>
      </c>
      <c r="F386">
        <v>5.5322398000000002</v>
      </c>
    </row>
    <row r="387" spans="1:6">
      <c r="A387" t="s">
        <v>1880</v>
      </c>
      <c r="B387" t="s">
        <v>1879</v>
      </c>
      <c r="C387">
        <v>1</v>
      </c>
      <c r="D387">
        <v>5.5058195999999997</v>
      </c>
      <c r="E387">
        <v>5.5058195999999997</v>
      </c>
      <c r="F387">
        <v>5.5058195999999997</v>
      </c>
    </row>
    <row r="388" spans="1:6">
      <c r="A388" t="s">
        <v>1882</v>
      </c>
      <c r="B388" t="s">
        <v>1881</v>
      </c>
      <c r="C388">
        <v>1</v>
      </c>
      <c r="D388">
        <v>5.4860100000000003</v>
      </c>
      <c r="E388">
        <v>5.4860100000000003</v>
      </c>
      <c r="F388">
        <v>5.4860100000000003</v>
      </c>
    </row>
    <row r="389" spans="1:6">
      <c r="A389" t="s">
        <v>1886</v>
      </c>
      <c r="B389" t="s">
        <v>1885</v>
      </c>
      <c r="C389">
        <v>1</v>
      </c>
      <c r="D389">
        <v>5.4712399999999999</v>
      </c>
      <c r="E389">
        <v>5.4712399999999999</v>
      </c>
      <c r="F389">
        <v>5.4712399999999999</v>
      </c>
    </row>
    <row r="390" spans="1:6">
      <c r="A390" t="s">
        <v>1891</v>
      </c>
      <c r="B390" t="s">
        <v>1890</v>
      </c>
      <c r="C390">
        <v>1</v>
      </c>
      <c r="D390">
        <v>5.4138400000000004</v>
      </c>
      <c r="E390">
        <v>5.4138400000000004</v>
      </c>
      <c r="F390">
        <v>5.4138400000000004</v>
      </c>
    </row>
    <row r="391" spans="1:6">
      <c r="A391" t="s">
        <v>1893</v>
      </c>
      <c r="B391" t="s">
        <v>1892</v>
      </c>
      <c r="C391">
        <v>1</v>
      </c>
      <c r="D391">
        <v>5.4074999999999998</v>
      </c>
      <c r="E391">
        <v>5.4074999999999998</v>
      </c>
      <c r="F391">
        <v>5.4074999999999998</v>
      </c>
    </row>
    <row r="392" spans="1:6">
      <c r="A392" t="s">
        <v>1895</v>
      </c>
      <c r="B392" t="s">
        <v>1894</v>
      </c>
      <c r="C392">
        <v>1</v>
      </c>
      <c r="D392">
        <v>5.3960800000000004</v>
      </c>
      <c r="E392">
        <v>5.3960800000000004</v>
      </c>
      <c r="F392">
        <v>5.3960800000000004</v>
      </c>
    </row>
    <row r="393" spans="1:6">
      <c r="A393" t="s">
        <v>1897</v>
      </c>
      <c r="B393" t="s">
        <v>1896</v>
      </c>
      <c r="C393">
        <v>1</v>
      </c>
      <c r="D393">
        <v>5.3769897999999996</v>
      </c>
      <c r="E393">
        <v>5.3769897999999996</v>
      </c>
      <c r="F393">
        <v>5.3769897999999996</v>
      </c>
    </row>
    <row r="394" spans="1:6">
      <c r="A394" t="s">
        <v>1901</v>
      </c>
      <c r="B394" t="s">
        <v>1900</v>
      </c>
      <c r="C394">
        <v>1</v>
      </c>
      <c r="D394">
        <v>5.1857199999999999</v>
      </c>
      <c r="E394">
        <v>5.1857199999999999</v>
      </c>
      <c r="F394">
        <v>5.1857199999999999</v>
      </c>
    </row>
    <row r="395" spans="1:6">
      <c r="A395" t="s">
        <v>1905</v>
      </c>
      <c r="B395" t="s">
        <v>1904</v>
      </c>
      <c r="C395">
        <v>1</v>
      </c>
      <c r="D395">
        <v>5.1695500000000001</v>
      </c>
      <c r="E395">
        <v>5.1695500000000001</v>
      </c>
      <c r="F395">
        <v>5.1695500000000001</v>
      </c>
    </row>
    <row r="396" spans="1:6">
      <c r="A396" t="s">
        <v>1909</v>
      </c>
      <c r="B396" t="s">
        <v>1908</v>
      </c>
      <c r="C396">
        <v>1</v>
      </c>
      <c r="D396">
        <v>5.1420700000000004</v>
      </c>
      <c r="E396">
        <v>5.1420700000000004</v>
      </c>
      <c r="F396">
        <v>5.1420700000000004</v>
      </c>
    </row>
    <row r="397" spans="1:6">
      <c r="A397" t="s">
        <v>1913</v>
      </c>
      <c r="B397" t="s">
        <v>1912</v>
      </c>
      <c r="C397">
        <v>1</v>
      </c>
      <c r="D397">
        <v>5.1349999999999998</v>
      </c>
      <c r="E397">
        <v>5.1349999999999998</v>
      </c>
      <c r="F397">
        <v>5.1349999999999998</v>
      </c>
    </row>
    <row r="398" spans="1:6">
      <c r="A398" t="s">
        <v>1917</v>
      </c>
      <c r="B398" t="s">
        <v>1916</v>
      </c>
      <c r="C398">
        <v>1</v>
      </c>
      <c r="D398">
        <v>5.1273799999999996</v>
      </c>
      <c r="E398">
        <v>5.1273799999999996</v>
      </c>
      <c r="F398">
        <v>5.1273799999999996</v>
      </c>
    </row>
    <row r="399" spans="1:6">
      <c r="A399" t="s">
        <v>1919</v>
      </c>
      <c r="B399" t="s">
        <v>1918</v>
      </c>
      <c r="C399">
        <v>1</v>
      </c>
      <c r="D399">
        <v>5.0883003000000002</v>
      </c>
      <c r="E399">
        <v>5.0883003000000002</v>
      </c>
      <c r="F399">
        <v>5.0883003000000002</v>
      </c>
    </row>
    <row r="400" spans="1:6">
      <c r="A400" t="s">
        <v>1924</v>
      </c>
      <c r="B400" t="s">
        <v>1923</v>
      </c>
      <c r="C400">
        <v>1</v>
      </c>
      <c r="D400">
        <v>5.0846900000000002</v>
      </c>
      <c r="E400">
        <v>5.0846900000000002</v>
      </c>
      <c r="F400">
        <v>5.0846900000000002</v>
      </c>
    </row>
    <row r="401" spans="1:6">
      <c r="A401" t="s">
        <v>1928</v>
      </c>
      <c r="B401" t="s">
        <v>1927</v>
      </c>
      <c r="C401">
        <v>1</v>
      </c>
      <c r="D401">
        <v>5.0811599999999997</v>
      </c>
      <c r="E401">
        <v>5.0811599999999997</v>
      </c>
      <c r="F401">
        <v>5.0811599999999997</v>
      </c>
    </row>
    <row r="402" spans="1:6">
      <c r="A402" t="s">
        <v>1932</v>
      </c>
      <c r="B402" t="s">
        <v>1931</v>
      </c>
      <c r="C402">
        <v>1</v>
      </c>
      <c r="D402">
        <v>5.0388596999999997</v>
      </c>
      <c r="E402">
        <v>5.0388596999999997</v>
      </c>
      <c r="F402">
        <v>5.0388596999999997</v>
      </c>
    </row>
    <row r="403" spans="1:6">
      <c r="A403" t="s">
        <v>1936</v>
      </c>
      <c r="B403" t="s">
        <v>1935</v>
      </c>
      <c r="C403">
        <v>1</v>
      </c>
      <c r="D403">
        <v>5.0303303000000001</v>
      </c>
      <c r="E403">
        <v>5.0303303000000001</v>
      </c>
      <c r="F403">
        <v>5.0303303000000001</v>
      </c>
    </row>
    <row r="404" spans="1:6">
      <c r="A404" t="s">
        <v>1941</v>
      </c>
      <c r="B404" t="s">
        <v>1940</v>
      </c>
      <c r="C404">
        <v>1</v>
      </c>
      <c r="D404">
        <v>5.0264600000000002</v>
      </c>
      <c r="E404">
        <v>5.0264600000000002</v>
      </c>
      <c r="F404">
        <v>5.0264600000000002</v>
      </c>
    </row>
    <row r="405" spans="1:6">
      <c r="A405" t="s">
        <v>1944</v>
      </c>
      <c r="B405" t="s">
        <v>1943</v>
      </c>
      <c r="C405">
        <v>1</v>
      </c>
      <c r="D405">
        <v>4.9882203000000001</v>
      </c>
      <c r="E405">
        <v>4.9882203000000001</v>
      </c>
      <c r="F405">
        <v>4.9882203000000001</v>
      </c>
    </row>
    <row r="406" spans="1:6">
      <c r="A406" t="s">
        <v>1948</v>
      </c>
      <c r="B406" t="s">
        <v>1947</v>
      </c>
      <c r="C406">
        <v>1</v>
      </c>
      <c r="D406">
        <v>4.9677800000000003</v>
      </c>
      <c r="E406">
        <v>4.9677800000000003</v>
      </c>
      <c r="F406">
        <v>4.9677800000000003</v>
      </c>
    </row>
    <row r="407" spans="1:6">
      <c r="A407" t="s">
        <v>1953</v>
      </c>
      <c r="B407" t="s">
        <v>1952</v>
      </c>
      <c r="C407">
        <v>1</v>
      </c>
      <c r="D407">
        <v>4.9590804000000004</v>
      </c>
      <c r="E407">
        <v>4.9590804000000004</v>
      </c>
      <c r="F407">
        <v>4.9590804000000004</v>
      </c>
    </row>
    <row r="408" spans="1:6">
      <c r="A408" t="s">
        <v>1957</v>
      </c>
      <c r="B408" t="s">
        <v>1956</v>
      </c>
      <c r="C408">
        <v>1</v>
      </c>
      <c r="D408">
        <v>4.9517296000000002</v>
      </c>
      <c r="E408">
        <v>4.9517296000000002</v>
      </c>
      <c r="F408">
        <v>4.9517296000000002</v>
      </c>
    </row>
    <row r="409" spans="1:6">
      <c r="A409" t="s">
        <v>1961</v>
      </c>
      <c r="B409" t="s">
        <v>1960</v>
      </c>
      <c r="C409">
        <v>1</v>
      </c>
      <c r="D409">
        <v>4.9036196999999992</v>
      </c>
      <c r="E409">
        <v>4.9036196999999992</v>
      </c>
      <c r="F409">
        <v>4.9036196999999992</v>
      </c>
    </row>
    <row r="410" spans="1:6">
      <c r="A410" t="s">
        <v>1965</v>
      </c>
      <c r="B410" t="s">
        <v>1964</v>
      </c>
      <c r="C410">
        <v>1</v>
      </c>
      <c r="D410">
        <v>4.8838302000000002</v>
      </c>
      <c r="E410">
        <v>4.8838302000000002</v>
      </c>
      <c r="F410">
        <v>4.8838302000000002</v>
      </c>
    </row>
    <row r="411" spans="1:6">
      <c r="A411" t="s">
        <v>1969</v>
      </c>
      <c r="B411" t="s">
        <v>1968</v>
      </c>
      <c r="C411">
        <v>1</v>
      </c>
      <c r="D411">
        <v>4.8827400000000001</v>
      </c>
      <c r="E411">
        <v>4.8827400000000001</v>
      </c>
      <c r="F411">
        <v>4.8827400000000001</v>
      </c>
    </row>
    <row r="412" spans="1:6">
      <c r="A412" t="s">
        <v>1973</v>
      </c>
      <c r="B412" t="s">
        <v>1972</v>
      </c>
      <c r="C412">
        <v>1</v>
      </c>
      <c r="D412">
        <v>4.8573700000000004</v>
      </c>
      <c r="E412">
        <v>4.8573700000000004</v>
      </c>
      <c r="F412">
        <v>4.8573700000000004</v>
      </c>
    </row>
    <row r="413" spans="1:6">
      <c r="A413" t="s">
        <v>1977</v>
      </c>
      <c r="B413" t="s">
        <v>1976</v>
      </c>
      <c r="C413">
        <v>1</v>
      </c>
      <c r="D413">
        <v>4.8544900000000002</v>
      </c>
      <c r="E413">
        <v>4.8544900000000002</v>
      </c>
      <c r="F413">
        <v>4.8544900000000002</v>
      </c>
    </row>
    <row r="414" spans="1:6">
      <c r="A414" t="s">
        <v>1981</v>
      </c>
      <c r="B414" t="s">
        <v>1980</v>
      </c>
      <c r="C414">
        <v>1</v>
      </c>
      <c r="D414">
        <v>4.8372900000000003</v>
      </c>
      <c r="E414">
        <v>4.8372900000000003</v>
      </c>
      <c r="F414">
        <v>4.8372900000000003</v>
      </c>
    </row>
    <row r="415" spans="1:6">
      <c r="A415" t="s">
        <v>1985</v>
      </c>
      <c r="B415" t="s">
        <v>1984</v>
      </c>
      <c r="C415">
        <v>1</v>
      </c>
      <c r="D415">
        <v>4.8351100000000002</v>
      </c>
      <c r="E415">
        <v>4.8351100000000002</v>
      </c>
      <c r="F415">
        <v>4.8351100000000002</v>
      </c>
    </row>
    <row r="416" spans="1:6">
      <c r="A416" t="s">
        <v>1989</v>
      </c>
      <c r="B416" t="s">
        <v>1988</v>
      </c>
      <c r="C416">
        <v>1</v>
      </c>
      <c r="D416">
        <v>4.8265900000000004</v>
      </c>
      <c r="E416">
        <v>4.8265900000000004</v>
      </c>
      <c r="F416">
        <v>4.8265900000000004</v>
      </c>
    </row>
    <row r="417" spans="1:6">
      <c r="A417" t="s">
        <v>1993</v>
      </c>
      <c r="B417" t="s">
        <v>1992</v>
      </c>
      <c r="C417">
        <v>1</v>
      </c>
      <c r="D417">
        <v>4.8072100000000004</v>
      </c>
      <c r="E417">
        <v>4.8072100000000004</v>
      </c>
      <c r="F417">
        <v>4.8072100000000004</v>
      </c>
    </row>
    <row r="418" spans="1:6">
      <c r="A418" t="s">
        <v>1997</v>
      </c>
      <c r="B418" t="s">
        <v>1996</v>
      </c>
      <c r="C418">
        <v>1</v>
      </c>
      <c r="D418">
        <v>4.8011097999999999</v>
      </c>
      <c r="E418">
        <v>4.8011097999999999</v>
      </c>
      <c r="F418">
        <v>4.8011097999999999</v>
      </c>
    </row>
    <row r="419" spans="1:6">
      <c r="A419" t="s">
        <v>2002</v>
      </c>
      <c r="B419" t="s">
        <v>2001</v>
      </c>
      <c r="C419">
        <v>1</v>
      </c>
      <c r="D419">
        <v>4.7738800000000001</v>
      </c>
      <c r="E419">
        <v>4.7738800000000001</v>
      </c>
      <c r="F419">
        <v>4.7738800000000001</v>
      </c>
    </row>
    <row r="420" spans="1:6">
      <c r="A420" t="s">
        <v>2006</v>
      </c>
      <c r="B420" t="s">
        <v>2005</v>
      </c>
      <c r="C420">
        <v>1</v>
      </c>
      <c r="D420">
        <v>4.7719497000000004</v>
      </c>
      <c r="E420">
        <v>4.7719497000000004</v>
      </c>
      <c r="F420">
        <v>4.7719497000000004</v>
      </c>
    </row>
    <row r="421" spans="1:6">
      <c r="A421" t="s">
        <v>2008</v>
      </c>
      <c r="B421" t="s">
        <v>2007</v>
      </c>
      <c r="C421">
        <v>1</v>
      </c>
      <c r="D421">
        <v>4.7608699999999997</v>
      </c>
      <c r="E421">
        <v>4.7608699999999997</v>
      </c>
      <c r="F421">
        <v>4.7608699999999997</v>
      </c>
    </row>
    <row r="422" spans="1:6">
      <c r="A422" t="s">
        <v>2012</v>
      </c>
      <c r="B422" t="s">
        <v>2011</v>
      </c>
      <c r="C422">
        <v>1</v>
      </c>
      <c r="D422">
        <v>4.7605199999999996</v>
      </c>
      <c r="E422">
        <v>4.7605199999999996</v>
      </c>
      <c r="F422">
        <v>4.7605199999999996</v>
      </c>
    </row>
    <row r="423" spans="1:6">
      <c r="A423" t="s">
        <v>2016</v>
      </c>
      <c r="B423" t="s">
        <v>2015</v>
      </c>
      <c r="C423">
        <v>1</v>
      </c>
      <c r="D423">
        <v>4.74594</v>
      </c>
      <c r="E423">
        <v>4.74594</v>
      </c>
      <c r="F423">
        <v>4.74594</v>
      </c>
    </row>
    <row r="424" spans="1:6">
      <c r="A424" t="s">
        <v>2018</v>
      </c>
      <c r="B424" t="s">
        <v>2017</v>
      </c>
      <c r="C424">
        <v>1</v>
      </c>
      <c r="D424">
        <v>4.7248400000000004</v>
      </c>
      <c r="E424">
        <v>4.7248400000000004</v>
      </c>
      <c r="F424">
        <v>4.7248400000000004</v>
      </c>
    </row>
    <row r="425" spans="1:6">
      <c r="A425" t="s">
        <v>2022</v>
      </c>
      <c r="B425" t="s">
        <v>2021</v>
      </c>
      <c r="C425">
        <v>1</v>
      </c>
      <c r="D425">
        <v>4.7138600000000004</v>
      </c>
      <c r="E425">
        <v>4.7138600000000004</v>
      </c>
      <c r="F425">
        <v>4.7138600000000004</v>
      </c>
    </row>
    <row r="426" spans="1:6">
      <c r="A426" t="s">
        <v>2026</v>
      </c>
      <c r="B426" t="s">
        <v>2025</v>
      </c>
      <c r="C426">
        <v>1</v>
      </c>
      <c r="D426">
        <v>4.6934999999999993</v>
      </c>
      <c r="E426">
        <v>4.6934999999999993</v>
      </c>
      <c r="F426">
        <v>4.6934999999999993</v>
      </c>
    </row>
    <row r="427" spans="1:6">
      <c r="A427" t="s">
        <v>2030</v>
      </c>
      <c r="B427" t="s">
        <v>2029</v>
      </c>
      <c r="C427">
        <v>1</v>
      </c>
      <c r="D427">
        <v>4.6770399999999999</v>
      </c>
      <c r="E427">
        <v>4.6770399999999999</v>
      </c>
      <c r="F427">
        <v>4.6770399999999999</v>
      </c>
    </row>
    <row r="428" spans="1:6">
      <c r="A428" t="s">
        <v>2032</v>
      </c>
      <c r="B428" t="s">
        <v>2031</v>
      </c>
      <c r="C428">
        <v>1</v>
      </c>
      <c r="D428">
        <v>4.6560302</v>
      </c>
      <c r="E428">
        <v>4.6560302</v>
      </c>
      <c r="F428">
        <v>4.6560302</v>
      </c>
    </row>
    <row r="429" spans="1:6">
      <c r="A429" t="s">
        <v>2036</v>
      </c>
      <c r="B429" t="s">
        <v>2035</v>
      </c>
      <c r="C429">
        <v>1</v>
      </c>
      <c r="D429">
        <v>4.6427100000000001</v>
      </c>
      <c r="E429">
        <v>4.6427100000000001</v>
      </c>
      <c r="F429">
        <v>4.6427100000000001</v>
      </c>
    </row>
    <row r="430" spans="1:6">
      <c r="A430" t="s">
        <v>2041</v>
      </c>
      <c r="B430" t="s">
        <v>2040</v>
      </c>
      <c r="C430">
        <v>1</v>
      </c>
      <c r="D430">
        <v>4.6374899999999997</v>
      </c>
      <c r="E430">
        <v>4.6374899999999997</v>
      </c>
      <c r="F430">
        <v>4.6374899999999997</v>
      </c>
    </row>
    <row r="431" spans="1:6">
      <c r="A431" t="s">
        <v>2043</v>
      </c>
      <c r="B431" t="s">
        <v>2042</v>
      </c>
      <c r="C431">
        <v>1</v>
      </c>
      <c r="D431">
        <v>4.6314202</v>
      </c>
      <c r="E431">
        <v>4.6314202</v>
      </c>
      <c r="F431">
        <v>4.6314202</v>
      </c>
    </row>
    <row r="432" spans="1:6">
      <c r="A432" t="s">
        <v>2045</v>
      </c>
      <c r="B432" t="s">
        <v>2044</v>
      </c>
      <c r="C432">
        <v>1</v>
      </c>
      <c r="D432">
        <v>4.62845</v>
      </c>
      <c r="E432">
        <v>4.62845</v>
      </c>
      <c r="F432">
        <v>4.62845</v>
      </c>
    </row>
    <row r="433" spans="1:6">
      <c r="A433" t="s">
        <v>2049</v>
      </c>
      <c r="B433" t="s">
        <v>2048</v>
      </c>
      <c r="C433">
        <v>1</v>
      </c>
      <c r="D433">
        <v>4.6215299999999999</v>
      </c>
      <c r="E433">
        <v>4.6215299999999999</v>
      </c>
      <c r="F433">
        <v>4.6215299999999999</v>
      </c>
    </row>
    <row r="434" spans="1:6">
      <c r="A434" t="s">
        <v>2053</v>
      </c>
      <c r="B434" t="s">
        <v>2052</v>
      </c>
      <c r="C434">
        <v>1</v>
      </c>
      <c r="D434">
        <v>4.6176599999999999</v>
      </c>
      <c r="E434">
        <v>4.6176599999999999</v>
      </c>
      <c r="F434">
        <v>4.6176599999999999</v>
      </c>
    </row>
    <row r="435" spans="1:6">
      <c r="A435" t="s">
        <v>2057</v>
      </c>
      <c r="B435" t="s">
        <v>2056</v>
      </c>
      <c r="C435">
        <v>1</v>
      </c>
      <c r="D435">
        <v>4.6148999999999996</v>
      </c>
      <c r="E435">
        <v>4.6148999999999996</v>
      </c>
      <c r="F435">
        <v>4.6148999999999996</v>
      </c>
    </row>
    <row r="436" spans="1:6">
      <c r="A436" t="s">
        <v>2061</v>
      </c>
      <c r="B436" t="s">
        <v>2060</v>
      </c>
      <c r="C436">
        <v>1</v>
      </c>
      <c r="D436">
        <v>4.6101796999999998</v>
      </c>
      <c r="E436">
        <v>4.6101796999999998</v>
      </c>
      <c r="F436">
        <v>4.6101796999999998</v>
      </c>
    </row>
    <row r="437" spans="1:6">
      <c r="A437" t="s">
        <v>2065</v>
      </c>
      <c r="B437" t="s">
        <v>2064</v>
      </c>
      <c r="C437">
        <v>1</v>
      </c>
      <c r="D437">
        <v>4.60947</v>
      </c>
      <c r="E437">
        <v>4.60947</v>
      </c>
      <c r="F437">
        <v>4.60947</v>
      </c>
    </row>
    <row r="438" spans="1:6">
      <c r="A438" t="s">
        <v>2069</v>
      </c>
      <c r="B438" t="s">
        <v>2068</v>
      </c>
      <c r="C438">
        <v>1</v>
      </c>
      <c r="D438">
        <v>4.6012900000000014</v>
      </c>
      <c r="E438">
        <v>4.6012900000000014</v>
      </c>
      <c r="F438">
        <v>4.6012900000000014</v>
      </c>
    </row>
    <row r="439" spans="1:6">
      <c r="A439" t="s">
        <v>2073</v>
      </c>
      <c r="B439" t="s">
        <v>2072</v>
      </c>
      <c r="C439">
        <v>1</v>
      </c>
      <c r="D439">
        <v>4.6001200000000004</v>
      </c>
      <c r="E439">
        <v>4.6001200000000004</v>
      </c>
      <c r="F439">
        <v>4.6001200000000004</v>
      </c>
    </row>
    <row r="440" spans="1:6">
      <c r="A440" t="s">
        <v>2077</v>
      </c>
      <c r="B440" t="s">
        <v>2076</v>
      </c>
      <c r="C440">
        <v>1</v>
      </c>
      <c r="D440">
        <v>4.5929897999999998</v>
      </c>
      <c r="E440">
        <v>4.5929897999999998</v>
      </c>
      <c r="F440">
        <v>4.5929897999999998</v>
      </c>
    </row>
    <row r="441" spans="1:6">
      <c r="A441" t="s">
        <v>2081</v>
      </c>
      <c r="B441" t="s">
        <v>2080</v>
      </c>
      <c r="C441">
        <v>1</v>
      </c>
      <c r="D441">
        <v>4.5880799999999997</v>
      </c>
      <c r="E441">
        <v>4.5880799999999997</v>
      </c>
      <c r="F441">
        <v>4.5880799999999997</v>
      </c>
    </row>
    <row r="442" spans="1:6">
      <c r="A442" t="s">
        <v>2083</v>
      </c>
      <c r="B442" t="s">
        <v>2082</v>
      </c>
      <c r="C442">
        <v>1</v>
      </c>
      <c r="D442">
        <v>4.5748899999999999</v>
      </c>
      <c r="E442">
        <v>4.5748899999999999</v>
      </c>
      <c r="F442">
        <v>4.5748899999999999</v>
      </c>
    </row>
    <row r="443" spans="1:6">
      <c r="A443" t="s">
        <v>2087</v>
      </c>
      <c r="B443" t="s">
        <v>2086</v>
      </c>
      <c r="C443">
        <v>1</v>
      </c>
      <c r="D443">
        <v>4.5701098</v>
      </c>
      <c r="E443">
        <v>4.5701098</v>
      </c>
      <c r="F443">
        <v>4.5701098</v>
      </c>
    </row>
    <row r="444" spans="1:6">
      <c r="A444" t="s">
        <v>2091</v>
      </c>
      <c r="B444" t="s">
        <v>2090</v>
      </c>
      <c r="C444">
        <v>1</v>
      </c>
      <c r="D444">
        <v>4.5627598000000003</v>
      </c>
      <c r="E444">
        <v>4.5627598000000003</v>
      </c>
      <c r="F444">
        <v>4.5627598000000003</v>
      </c>
    </row>
    <row r="445" spans="1:6">
      <c r="A445" t="s">
        <v>2095</v>
      </c>
      <c r="B445" t="s">
        <v>2094</v>
      </c>
      <c r="C445">
        <v>1</v>
      </c>
      <c r="D445">
        <v>4.5596297999999997</v>
      </c>
      <c r="E445">
        <v>4.5596297999999997</v>
      </c>
      <c r="F445">
        <v>4.5596297999999997</v>
      </c>
    </row>
    <row r="446" spans="1:6">
      <c r="A446" t="s">
        <v>2099</v>
      </c>
      <c r="B446" t="s">
        <v>2098</v>
      </c>
      <c r="C446">
        <v>1</v>
      </c>
      <c r="D446">
        <v>4.5424499999999997</v>
      </c>
      <c r="E446">
        <v>4.5424499999999997</v>
      </c>
      <c r="F446">
        <v>4.5424499999999997</v>
      </c>
    </row>
    <row r="447" spans="1:6">
      <c r="A447" t="s">
        <v>2103</v>
      </c>
      <c r="B447" t="s">
        <v>2102</v>
      </c>
      <c r="C447">
        <v>1</v>
      </c>
      <c r="D447">
        <v>4.5110896</v>
      </c>
      <c r="E447">
        <v>4.5110896</v>
      </c>
      <c r="F447">
        <v>4.5110896</v>
      </c>
    </row>
    <row r="448" spans="1:6">
      <c r="A448" t="s">
        <v>2108</v>
      </c>
      <c r="B448" t="s">
        <v>2107</v>
      </c>
      <c r="C448">
        <v>1</v>
      </c>
      <c r="D448">
        <v>4.5089003000000014</v>
      </c>
      <c r="E448">
        <v>4.5089003000000014</v>
      </c>
      <c r="F448">
        <v>4.5089003000000014</v>
      </c>
    </row>
    <row r="449" spans="1:6">
      <c r="A449" t="s">
        <v>2112</v>
      </c>
      <c r="B449" t="s">
        <v>2111</v>
      </c>
      <c r="C449">
        <v>1</v>
      </c>
      <c r="D449">
        <v>4.4958900000000002</v>
      </c>
      <c r="E449">
        <v>4.4958900000000002</v>
      </c>
      <c r="F449">
        <v>4.4958900000000002</v>
      </c>
    </row>
    <row r="450" spans="1:6">
      <c r="A450" t="s">
        <v>2116</v>
      </c>
      <c r="B450" t="s">
        <v>2115</v>
      </c>
      <c r="C450">
        <v>1</v>
      </c>
      <c r="D450">
        <v>4.48895</v>
      </c>
      <c r="E450">
        <v>4.48895</v>
      </c>
      <c r="F450">
        <v>4.48895</v>
      </c>
    </row>
    <row r="451" spans="1:6">
      <c r="A451" t="s">
        <v>2120</v>
      </c>
      <c r="B451" t="s">
        <v>2119</v>
      </c>
      <c r="C451">
        <v>1</v>
      </c>
      <c r="D451">
        <v>4.4784999999999986</v>
      </c>
      <c r="E451">
        <v>4.4784999999999986</v>
      </c>
      <c r="F451">
        <v>4.4784999999999986</v>
      </c>
    </row>
    <row r="452" spans="1:6">
      <c r="A452" t="s">
        <v>2124</v>
      </c>
      <c r="B452" t="s">
        <v>2123</v>
      </c>
      <c r="C452">
        <v>1</v>
      </c>
      <c r="D452">
        <v>4.4758502</v>
      </c>
      <c r="E452">
        <v>4.4758502</v>
      </c>
      <c r="F452">
        <v>4.4758502</v>
      </c>
    </row>
    <row r="453" spans="1:6">
      <c r="A453" t="s">
        <v>2128</v>
      </c>
      <c r="B453" t="s">
        <v>2127</v>
      </c>
      <c r="C453">
        <v>1</v>
      </c>
      <c r="D453">
        <v>4.4643100000000002</v>
      </c>
      <c r="E453">
        <v>4.4643100000000002</v>
      </c>
      <c r="F453">
        <v>4.4643100000000002</v>
      </c>
    </row>
    <row r="454" spans="1:6">
      <c r="A454" t="s">
        <v>2132</v>
      </c>
      <c r="B454" t="s">
        <v>2131</v>
      </c>
      <c r="C454">
        <v>1</v>
      </c>
      <c r="D454">
        <v>4.4609297000000003</v>
      </c>
      <c r="E454">
        <v>4.4609297000000003</v>
      </c>
      <c r="F454">
        <v>4.4609297000000003</v>
      </c>
    </row>
    <row r="455" spans="1:6">
      <c r="A455" t="s">
        <v>2136</v>
      </c>
      <c r="B455" t="s">
        <v>2135</v>
      </c>
      <c r="C455">
        <v>1</v>
      </c>
      <c r="D455">
        <v>4.4548302999999994</v>
      </c>
      <c r="E455">
        <v>4.4548302999999994</v>
      </c>
      <c r="F455">
        <v>4.4548302999999994</v>
      </c>
    </row>
    <row r="456" spans="1:6">
      <c r="A456" t="s">
        <v>2140</v>
      </c>
      <c r="B456" t="s">
        <v>2139</v>
      </c>
      <c r="C456">
        <v>1</v>
      </c>
      <c r="D456">
        <v>4.4302000000000001</v>
      </c>
      <c r="E456">
        <v>4.4302000000000001</v>
      </c>
      <c r="F456">
        <v>4.4302000000000001</v>
      </c>
    </row>
    <row r="457" spans="1:6">
      <c r="A457" t="s">
        <v>2144</v>
      </c>
      <c r="B457" t="s">
        <v>2143</v>
      </c>
      <c r="C457">
        <v>1</v>
      </c>
      <c r="D457">
        <v>4.4297999999999993</v>
      </c>
      <c r="E457">
        <v>4.4297999999999993</v>
      </c>
      <c r="F457">
        <v>4.4297999999999993</v>
      </c>
    </row>
    <row r="458" spans="1:6">
      <c r="A458" t="s">
        <v>2148</v>
      </c>
      <c r="B458" t="s">
        <v>2147</v>
      </c>
      <c r="C458">
        <v>1</v>
      </c>
      <c r="D458">
        <v>4.4280200000000001</v>
      </c>
      <c r="E458">
        <v>4.4280200000000001</v>
      </c>
      <c r="F458">
        <v>4.4280200000000001</v>
      </c>
    </row>
    <row r="459" spans="1:6">
      <c r="A459" t="s">
        <v>2153</v>
      </c>
      <c r="B459" t="s">
        <v>2152</v>
      </c>
      <c r="C459">
        <v>1</v>
      </c>
      <c r="D459">
        <v>4.4262199999999998</v>
      </c>
      <c r="E459">
        <v>4.4262199999999998</v>
      </c>
      <c r="F459">
        <v>4.4262199999999998</v>
      </c>
    </row>
    <row r="460" spans="1:6">
      <c r="A460" t="s">
        <v>2157</v>
      </c>
      <c r="B460" t="s">
        <v>2156</v>
      </c>
      <c r="C460">
        <v>1</v>
      </c>
      <c r="D460">
        <v>4.4222495999999998</v>
      </c>
      <c r="E460">
        <v>4.4222495999999998</v>
      </c>
      <c r="F460">
        <v>4.4222495999999998</v>
      </c>
    </row>
    <row r="461" spans="1:6">
      <c r="A461" t="s">
        <v>2161</v>
      </c>
      <c r="B461" t="s">
        <v>2160</v>
      </c>
      <c r="C461">
        <v>1</v>
      </c>
      <c r="D461">
        <v>4.4145897000000014</v>
      </c>
      <c r="E461">
        <v>4.4145897000000014</v>
      </c>
      <c r="F461">
        <v>4.4145897000000014</v>
      </c>
    </row>
    <row r="462" spans="1:6">
      <c r="A462" t="s">
        <v>2165</v>
      </c>
      <c r="B462" t="s">
        <v>2164</v>
      </c>
      <c r="C462">
        <v>1</v>
      </c>
      <c r="D462">
        <v>4.4122000000000003</v>
      </c>
      <c r="E462">
        <v>4.4122000000000003</v>
      </c>
      <c r="F462">
        <v>4.4122000000000003</v>
      </c>
    </row>
    <row r="463" spans="1:6">
      <c r="A463" t="s">
        <v>2169</v>
      </c>
      <c r="B463" t="s">
        <v>2168</v>
      </c>
      <c r="C463">
        <v>1</v>
      </c>
      <c r="D463">
        <v>4.4039999999999999</v>
      </c>
      <c r="E463">
        <v>4.4039999999999999</v>
      </c>
      <c r="F463">
        <v>4.4039999999999999</v>
      </c>
    </row>
    <row r="464" spans="1:6">
      <c r="A464" t="s">
        <v>2173</v>
      </c>
      <c r="B464" t="s">
        <v>2172</v>
      </c>
      <c r="C464">
        <v>1</v>
      </c>
      <c r="D464">
        <v>4.3954401999999986</v>
      </c>
      <c r="E464">
        <v>4.3954401999999986</v>
      </c>
      <c r="F464">
        <v>4.3954401999999986</v>
      </c>
    </row>
    <row r="465" spans="1:6">
      <c r="A465" t="s">
        <v>2178</v>
      </c>
      <c r="B465" t="s">
        <v>2177</v>
      </c>
      <c r="C465">
        <v>1</v>
      </c>
      <c r="D465">
        <v>4.3740402999999999</v>
      </c>
      <c r="E465">
        <v>4.3740402999999999</v>
      </c>
      <c r="F465">
        <v>4.3740402999999999</v>
      </c>
    </row>
    <row r="466" spans="1:6">
      <c r="A466" t="s">
        <v>2180</v>
      </c>
      <c r="B466" t="s">
        <v>2179</v>
      </c>
      <c r="C466">
        <v>1</v>
      </c>
      <c r="D466">
        <v>4.3726000000000003</v>
      </c>
      <c r="E466">
        <v>4.3726000000000003</v>
      </c>
      <c r="F466">
        <v>4.3726000000000003</v>
      </c>
    </row>
    <row r="467" spans="1:6">
      <c r="A467" t="s">
        <v>2184</v>
      </c>
      <c r="B467" t="s">
        <v>2183</v>
      </c>
      <c r="C467">
        <v>1</v>
      </c>
      <c r="D467">
        <v>4.3619599999999998</v>
      </c>
      <c r="E467">
        <v>4.3619599999999998</v>
      </c>
      <c r="F467">
        <v>4.3619599999999998</v>
      </c>
    </row>
    <row r="468" spans="1:6">
      <c r="A468" t="s">
        <v>2188</v>
      </c>
      <c r="B468" t="s">
        <v>2187</v>
      </c>
      <c r="C468">
        <v>1</v>
      </c>
      <c r="D468">
        <v>4.35182</v>
      </c>
      <c r="E468">
        <v>4.35182</v>
      </c>
      <c r="F468">
        <v>4.35182</v>
      </c>
    </row>
    <row r="469" spans="1:6">
      <c r="A469" t="s">
        <v>2190</v>
      </c>
      <c r="B469" t="s">
        <v>2189</v>
      </c>
      <c r="C469">
        <v>1</v>
      </c>
      <c r="D469">
        <v>4.3281399999999994</v>
      </c>
      <c r="E469">
        <v>4.3281399999999994</v>
      </c>
      <c r="F469">
        <v>4.3281399999999994</v>
      </c>
    </row>
    <row r="470" spans="1:6">
      <c r="A470" t="s">
        <v>2194</v>
      </c>
      <c r="B470" t="s">
        <v>2193</v>
      </c>
      <c r="C470">
        <v>1</v>
      </c>
      <c r="D470">
        <v>4.3237800000000002</v>
      </c>
      <c r="E470">
        <v>4.3237800000000002</v>
      </c>
      <c r="F470">
        <v>4.3237800000000002</v>
      </c>
    </row>
    <row r="471" spans="1:6">
      <c r="A471" t="s">
        <v>2199</v>
      </c>
      <c r="B471" t="s">
        <v>2198</v>
      </c>
      <c r="C471">
        <v>1</v>
      </c>
      <c r="D471">
        <v>4.3196604000000001</v>
      </c>
      <c r="E471">
        <v>4.3196604000000001</v>
      </c>
      <c r="F471">
        <v>4.3196604000000001</v>
      </c>
    </row>
    <row r="472" spans="1:6">
      <c r="A472" t="s">
        <v>2201</v>
      </c>
      <c r="B472" t="s">
        <v>2200</v>
      </c>
      <c r="C472">
        <v>1</v>
      </c>
      <c r="D472">
        <v>4.3192899999999996</v>
      </c>
      <c r="E472">
        <v>4.3192899999999996</v>
      </c>
      <c r="F472">
        <v>4.3192899999999996</v>
      </c>
    </row>
    <row r="473" spans="1:6">
      <c r="A473" t="s">
        <v>2203</v>
      </c>
      <c r="B473" t="s">
        <v>2202</v>
      </c>
      <c r="C473">
        <v>1</v>
      </c>
      <c r="D473">
        <v>4.3162699999999994</v>
      </c>
      <c r="E473">
        <v>4.3162699999999994</v>
      </c>
      <c r="F473">
        <v>4.3162699999999994</v>
      </c>
    </row>
    <row r="474" spans="1:6">
      <c r="A474" t="s">
        <v>2207</v>
      </c>
      <c r="B474" t="s">
        <v>2206</v>
      </c>
      <c r="C474">
        <v>1</v>
      </c>
      <c r="D474">
        <v>4.3068599999999986</v>
      </c>
      <c r="E474">
        <v>4.3068599999999986</v>
      </c>
      <c r="F474">
        <v>4.3068599999999986</v>
      </c>
    </row>
    <row r="475" spans="1:6">
      <c r="A475" t="s">
        <v>2211</v>
      </c>
      <c r="B475" t="s">
        <v>2210</v>
      </c>
      <c r="C475">
        <v>1</v>
      </c>
      <c r="D475">
        <v>4.3013000000000003</v>
      </c>
      <c r="E475">
        <v>4.3013000000000003</v>
      </c>
      <c r="F475">
        <v>4.3013000000000003</v>
      </c>
    </row>
    <row r="476" spans="1:6">
      <c r="A476" t="s">
        <v>2213</v>
      </c>
      <c r="B476" t="s">
        <v>2212</v>
      </c>
      <c r="C476">
        <v>1</v>
      </c>
      <c r="D476">
        <v>4.2938299999999998</v>
      </c>
      <c r="E476">
        <v>4.2938299999999998</v>
      </c>
      <c r="F476">
        <v>4.2938299999999998</v>
      </c>
    </row>
    <row r="477" spans="1:6">
      <c r="A477" t="s">
        <v>2217</v>
      </c>
      <c r="B477" t="s">
        <v>2216</v>
      </c>
      <c r="C477">
        <v>1</v>
      </c>
      <c r="D477">
        <v>4.2929202000000002</v>
      </c>
      <c r="E477">
        <v>4.2929202000000002</v>
      </c>
      <c r="F477">
        <v>4.2929202000000002</v>
      </c>
    </row>
    <row r="478" spans="1:6">
      <c r="A478" t="s">
        <v>2221</v>
      </c>
      <c r="B478" t="s">
        <v>2220</v>
      </c>
      <c r="C478">
        <v>1</v>
      </c>
      <c r="D478">
        <v>4.2866300000000006</v>
      </c>
      <c r="E478">
        <v>4.2866300000000006</v>
      </c>
      <c r="F478">
        <v>4.2866300000000006</v>
      </c>
    </row>
    <row r="479" spans="1:6">
      <c r="A479" t="s">
        <v>2225</v>
      </c>
      <c r="B479" t="s">
        <v>2224</v>
      </c>
      <c r="C479">
        <v>1</v>
      </c>
      <c r="D479">
        <v>4.2773699999999986</v>
      </c>
      <c r="E479">
        <v>4.2773699999999986</v>
      </c>
      <c r="F479">
        <v>4.2773699999999986</v>
      </c>
    </row>
    <row r="480" spans="1:6">
      <c r="A480" t="s">
        <v>2229</v>
      </c>
      <c r="B480" t="s">
        <v>2228</v>
      </c>
      <c r="C480">
        <v>1</v>
      </c>
      <c r="D480">
        <v>4.2717000000000001</v>
      </c>
      <c r="E480">
        <v>4.2717000000000001</v>
      </c>
      <c r="F480">
        <v>4.2717000000000001</v>
      </c>
    </row>
    <row r="481" spans="1:6">
      <c r="A481" t="s">
        <v>2233</v>
      </c>
      <c r="B481" t="s">
        <v>2232</v>
      </c>
      <c r="C481">
        <v>1</v>
      </c>
      <c r="D481">
        <v>4.25366</v>
      </c>
      <c r="E481">
        <v>4.25366</v>
      </c>
      <c r="F481">
        <v>4.25366</v>
      </c>
    </row>
    <row r="482" spans="1:6">
      <c r="A482" t="s">
        <v>2237</v>
      </c>
      <c r="B482" t="s">
        <v>2236</v>
      </c>
      <c r="C482">
        <v>1</v>
      </c>
      <c r="D482">
        <v>4.2464599999999999</v>
      </c>
      <c r="E482">
        <v>4.2464599999999999</v>
      </c>
      <c r="F482">
        <v>4.2464599999999999</v>
      </c>
    </row>
    <row r="483" spans="1:6">
      <c r="A483" t="s">
        <v>2241</v>
      </c>
      <c r="B483" t="s">
        <v>2240</v>
      </c>
      <c r="C483">
        <v>1</v>
      </c>
      <c r="D483">
        <v>4.2385301999999996</v>
      </c>
      <c r="E483">
        <v>4.2385301999999996</v>
      </c>
      <c r="F483">
        <v>4.2385301999999996</v>
      </c>
    </row>
    <row r="484" spans="1:6">
      <c r="A484" t="s">
        <v>2245</v>
      </c>
      <c r="B484" t="s">
        <v>2244</v>
      </c>
      <c r="C484">
        <v>1</v>
      </c>
      <c r="D484">
        <v>4.2311102000000007</v>
      </c>
      <c r="E484">
        <v>4.2311102000000007</v>
      </c>
      <c r="F484">
        <v>4.2311102000000007</v>
      </c>
    </row>
    <row r="485" spans="1:6">
      <c r="A485" t="s">
        <v>2249</v>
      </c>
      <c r="B485" t="s">
        <v>2248</v>
      </c>
      <c r="C485">
        <v>1</v>
      </c>
      <c r="D485">
        <v>4.2190097</v>
      </c>
      <c r="E485">
        <v>4.2190097</v>
      </c>
      <c r="F485">
        <v>4.2190097</v>
      </c>
    </row>
    <row r="486" spans="1:6">
      <c r="A486" t="s">
        <v>2253</v>
      </c>
      <c r="B486" t="s">
        <v>2252</v>
      </c>
      <c r="C486">
        <v>1</v>
      </c>
      <c r="D486">
        <v>4.2155499999999986</v>
      </c>
      <c r="E486">
        <v>4.2155499999999986</v>
      </c>
      <c r="F486">
        <v>4.2155499999999986</v>
      </c>
    </row>
    <row r="487" spans="1:6">
      <c r="A487" t="s">
        <v>2255</v>
      </c>
      <c r="B487" t="s">
        <v>2254</v>
      </c>
      <c r="C487">
        <v>1</v>
      </c>
      <c r="D487">
        <v>4.2077496999999999</v>
      </c>
      <c r="E487">
        <v>4.2077496999999999</v>
      </c>
      <c r="F487">
        <v>4.2077496999999999</v>
      </c>
    </row>
    <row r="488" spans="1:6">
      <c r="A488" t="s">
        <v>2259</v>
      </c>
      <c r="B488" t="s">
        <v>2258</v>
      </c>
      <c r="C488">
        <v>1</v>
      </c>
      <c r="D488">
        <v>4.2033702000000002</v>
      </c>
      <c r="E488">
        <v>4.2033702000000002</v>
      </c>
      <c r="F488">
        <v>4.2033702000000002</v>
      </c>
    </row>
    <row r="489" spans="1:6">
      <c r="A489" t="s">
        <v>2263</v>
      </c>
      <c r="B489" t="s">
        <v>2262</v>
      </c>
      <c r="C489">
        <v>1</v>
      </c>
      <c r="D489">
        <v>4.1992799999999999</v>
      </c>
      <c r="E489">
        <v>4.1992799999999999</v>
      </c>
      <c r="F489">
        <v>4.1992799999999999</v>
      </c>
    </row>
    <row r="490" spans="1:6">
      <c r="A490" t="s">
        <v>2267</v>
      </c>
      <c r="B490" t="s">
        <v>2266</v>
      </c>
      <c r="C490">
        <v>1</v>
      </c>
      <c r="D490">
        <v>4.1960600000000001</v>
      </c>
      <c r="E490">
        <v>4.1960600000000001</v>
      </c>
      <c r="F490">
        <v>4.1960600000000001</v>
      </c>
    </row>
    <row r="491" spans="1:6">
      <c r="A491" t="s">
        <v>2271</v>
      </c>
      <c r="B491" t="s">
        <v>2270</v>
      </c>
      <c r="C491">
        <v>1</v>
      </c>
      <c r="D491">
        <v>4.1873300000000002</v>
      </c>
      <c r="E491">
        <v>4.1873300000000002</v>
      </c>
      <c r="F491">
        <v>4.1873300000000002</v>
      </c>
    </row>
    <row r="492" spans="1:6">
      <c r="A492" t="s">
        <v>2275</v>
      </c>
      <c r="B492" t="s">
        <v>2274</v>
      </c>
      <c r="C492">
        <v>1</v>
      </c>
      <c r="D492">
        <v>4.17936</v>
      </c>
      <c r="E492">
        <v>4.17936</v>
      </c>
      <c r="F492">
        <v>4.17936</v>
      </c>
    </row>
    <row r="493" spans="1:6">
      <c r="A493" t="s">
        <v>2279</v>
      </c>
      <c r="B493" t="s">
        <v>2278</v>
      </c>
      <c r="C493">
        <v>1</v>
      </c>
      <c r="D493">
        <v>4.1785700000000006</v>
      </c>
      <c r="E493">
        <v>4.1785700000000006</v>
      </c>
      <c r="F493">
        <v>4.1785700000000006</v>
      </c>
    </row>
    <row r="494" spans="1:6">
      <c r="A494" t="s">
        <v>2283</v>
      </c>
      <c r="B494" t="s">
        <v>2282</v>
      </c>
      <c r="C494">
        <v>1</v>
      </c>
      <c r="D494">
        <v>4.1773100000000003</v>
      </c>
      <c r="E494">
        <v>4.1773100000000003</v>
      </c>
      <c r="F494">
        <v>4.1773100000000003</v>
      </c>
    </row>
    <row r="495" spans="1:6">
      <c r="A495" t="s">
        <v>2285</v>
      </c>
      <c r="B495" t="s">
        <v>2284</v>
      </c>
      <c r="C495">
        <v>1</v>
      </c>
      <c r="D495">
        <v>4.17387</v>
      </c>
      <c r="E495">
        <v>4.17387</v>
      </c>
      <c r="F495">
        <v>4.17387</v>
      </c>
    </row>
    <row r="496" spans="1:6">
      <c r="A496" t="s">
        <v>2287</v>
      </c>
      <c r="B496" t="s">
        <v>2286</v>
      </c>
      <c r="C496">
        <v>1</v>
      </c>
      <c r="D496">
        <v>4.1579600000000001</v>
      </c>
      <c r="E496">
        <v>4.1579600000000001</v>
      </c>
      <c r="F496">
        <v>4.1579600000000001</v>
      </c>
    </row>
    <row r="497" spans="1:6">
      <c r="A497" t="s">
        <v>2289</v>
      </c>
      <c r="B497" t="s">
        <v>2288</v>
      </c>
      <c r="C497">
        <v>1</v>
      </c>
      <c r="D497">
        <v>4.1385997000000003</v>
      </c>
      <c r="E497">
        <v>4.1385997000000003</v>
      </c>
      <c r="F497">
        <v>4.1385997000000003</v>
      </c>
    </row>
    <row r="498" spans="1:6">
      <c r="A498" t="s">
        <v>2293</v>
      </c>
      <c r="B498" t="s">
        <v>2292</v>
      </c>
      <c r="C498">
        <v>1</v>
      </c>
      <c r="D498">
        <v>4.1379299999999999</v>
      </c>
      <c r="E498">
        <v>4.1379299999999999</v>
      </c>
      <c r="F498">
        <v>4.1379299999999999</v>
      </c>
    </row>
    <row r="499" spans="1:6">
      <c r="A499" t="s">
        <v>2295</v>
      </c>
      <c r="B499" t="s">
        <v>2294</v>
      </c>
      <c r="C499">
        <v>1</v>
      </c>
      <c r="D499">
        <v>4.13666</v>
      </c>
      <c r="E499">
        <v>4.13666</v>
      </c>
      <c r="F499">
        <v>4.13666</v>
      </c>
    </row>
    <row r="500" spans="1:6">
      <c r="A500" t="s">
        <v>2299</v>
      </c>
      <c r="B500" t="s">
        <v>2298</v>
      </c>
      <c r="C500">
        <v>1</v>
      </c>
      <c r="D500">
        <v>4.1301097999999996</v>
      </c>
      <c r="E500">
        <v>4.1301097999999996</v>
      </c>
      <c r="F500">
        <v>4.1301097999999996</v>
      </c>
    </row>
    <row r="501" spans="1:6">
      <c r="A501" t="s">
        <v>2303</v>
      </c>
      <c r="B501" t="s">
        <v>2302</v>
      </c>
      <c r="C501">
        <v>1</v>
      </c>
      <c r="D501">
        <v>4.1258100000000004</v>
      </c>
      <c r="E501">
        <v>4.1258100000000004</v>
      </c>
      <c r="F501">
        <v>4.1258100000000004</v>
      </c>
    </row>
    <row r="502" spans="1:6">
      <c r="A502" t="s">
        <v>2307</v>
      </c>
      <c r="B502" t="s">
        <v>2306</v>
      </c>
      <c r="C502">
        <v>1</v>
      </c>
      <c r="D502">
        <v>4.1252800000000001</v>
      </c>
      <c r="E502">
        <v>4.1252800000000001</v>
      </c>
      <c r="F502">
        <v>4.1252800000000001</v>
      </c>
    </row>
    <row r="503" spans="1:6">
      <c r="A503" t="s">
        <v>2311</v>
      </c>
      <c r="B503" t="s">
        <v>2310</v>
      </c>
      <c r="C503">
        <v>1</v>
      </c>
      <c r="D503">
        <v>4.1146103000000007</v>
      </c>
      <c r="E503">
        <v>4.1146103000000007</v>
      </c>
      <c r="F503">
        <v>4.1146103000000007</v>
      </c>
    </row>
    <row r="504" spans="1:6">
      <c r="A504" t="s">
        <v>2316</v>
      </c>
      <c r="B504" t="s">
        <v>2315</v>
      </c>
      <c r="C504">
        <v>1</v>
      </c>
      <c r="D504">
        <v>4.1096599999999999</v>
      </c>
      <c r="E504">
        <v>4.1096599999999999</v>
      </c>
      <c r="F504">
        <v>4.1096599999999999</v>
      </c>
    </row>
    <row r="505" spans="1:6">
      <c r="A505" t="s">
        <v>2320</v>
      </c>
      <c r="B505" t="s">
        <v>2319</v>
      </c>
      <c r="C505">
        <v>1</v>
      </c>
      <c r="D505">
        <v>4.1072696000000004</v>
      </c>
      <c r="E505">
        <v>4.1072696000000004</v>
      </c>
      <c r="F505">
        <v>4.1072696000000004</v>
      </c>
    </row>
    <row r="506" spans="1:6">
      <c r="A506" t="s">
        <v>2324</v>
      </c>
      <c r="B506" t="s">
        <v>2323</v>
      </c>
      <c r="C506">
        <v>1</v>
      </c>
      <c r="D506">
        <v>4.0945499999999999</v>
      </c>
      <c r="E506">
        <v>4.0945499999999999</v>
      </c>
      <c r="F506">
        <v>4.0945499999999999</v>
      </c>
    </row>
    <row r="507" spans="1:6">
      <c r="A507" t="s">
        <v>2328</v>
      </c>
      <c r="B507" t="s">
        <v>2327</v>
      </c>
      <c r="C507">
        <v>1</v>
      </c>
      <c r="D507">
        <v>4.0894399999999997</v>
      </c>
      <c r="E507">
        <v>4.0894399999999997</v>
      </c>
      <c r="F507">
        <v>4.0894399999999997</v>
      </c>
    </row>
    <row r="508" spans="1:6">
      <c r="A508" t="s">
        <v>2330</v>
      </c>
      <c r="B508" t="s">
        <v>2329</v>
      </c>
      <c r="C508">
        <v>1</v>
      </c>
      <c r="D508">
        <v>4.0879595999999996</v>
      </c>
      <c r="E508">
        <v>4.0879595999999996</v>
      </c>
      <c r="F508">
        <v>4.0879595999999996</v>
      </c>
    </row>
    <row r="509" spans="1:6">
      <c r="A509" t="s">
        <v>2332</v>
      </c>
      <c r="B509" t="s">
        <v>2331</v>
      </c>
      <c r="C509">
        <v>1</v>
      </c>
      <c r="D509">
        <v>4.0867500000000003</v>
      </c>
      <c r="E509">
        <v>4.0867500000000003</v>
      </c>
      <c r="F509">
        <v>4.0867500000000003</v>
      </c>
    </row>
    <row r="510" spans="1:6">
      <c r="A510" t="s">
        <v>2334</v>
      </c>
      <c r="B510" t="s">
        <v>2333</v>
      </c>
      <c r="C510">
        <v>1</v>
      </c>
      <c r="D510">
        <v>4.0727500000000001</v>
      </c>
      <c r="E510">
        <v>4.0727500000000001</v>
      </c>
      <c r="F510">
        <v>4.0727500000000001</v>
      </c>
    </row>
    <row r="511" spans="1:6">
      <c r="A511" t="s">
        <v>2338</v>
      </c>
      <c r="B511" t="s">
        <v>2337</v>
      </c>
      <c r="C511">
        <v>1</v>
      </c>
      <c r="D511">
        <v>4.0710499999999996</v>
      </c>
      <c r="E511">
        <v>4.0710499999999996</v>
      </c>
      <c r="F511">
        <v>4.0710499999999996</v>
      </c>
    </row>
    <row r="512" spans="1:6">
      <c r="A512" t="s">
        <v>2340</v>
      </c>
      <c r="B512" t="s">
        <v>2339</v>
      </c>
      <c r="C512">
        <v>1</v>
      </c>
      <c r="D512">
        <v>4.0605900000000004</v>
      </c>
      <c r="E512">
        <v>4.0605900000000004</v>
      </c>
      <c r="F512">
        <v>4.0605900000000004</v>
      </c>
    </row>
    <row r="513" spans="1:6">
      <c r="A513" t="s">
        <v>2344</v>
      </c>
      <c r="B513" t="s">
        <v>2343</v>
      </c>
      <c r="C513">
        <v>1</v>
      </c>
      <c r="D513">
        <v>4.0528300000000002</v>
      </c>
      <c r="E513">
        <v>4.0528300000000002</v>
      </c>
      <c r="F513">
        <v>4.0528300000000002</v>
      </c>
    </row>
    <row r="514" spans="1:6">
      <c r="A514" t="s">
        <v>2346</v>
      </c>
      <c r="B514" t="s">
        <v>2345</v>
      </c>
      <c r="C514">
        <v>1</v>
      </c>
      <c r="D514">
        <v>4.0496603000000002</v>
      </c>
      <c r="E514">
        <v>4.0496603000000002</v>
      </c>
      <c r="F514">
        <v>4.0496603000000002</v>
      </c>
    </row>
    <row r="515" spans="1:6">
      <c r="A515" t="s">
        <v>2349</v>
      </c>
      <c r="B515" t="s">
        <v>2348</v>
      </c>
      <c r="C515">
        <v>1</v>
      </c>
      <c r="D515">
        <v>4.0454503000000006</v>
      </c>
      <c r="E515">
        <v>4.0454503000000006</v>
      </c>
      <c r="F515">
        <v>4.0454503000000006</v>
      </c>
    </row>
    <row r="516" spans="1:6">
      <c r="A516" t="s">
        <v>2351</v>
      </c>
      <c r="B516" t="s">
        <v>2350</v>
      </c>
      <c r="C516">
        <v>1</v>
      </c>
      <c r="D516">
        <v>4.02921</v>
      </c>
      <c r="E516">
        <v>4.02921</v>
      </c>
      <c r="F516">
        <v>4.02921</v>
      </c>
    </row>
    <row r="517" spans="1:6">
      <c r="A517" t="s">
        <v>2355</v>
      </c>
      <c r="B517" t="s">
        <v>2354</v>
      </c>
      <c r="C517">
        <v>1</v>
      </c>
      <c r="D517">
        <v>4.02339</v>
      </c>
      <c r="E517">
        <v>4.02339</v>
      </c>
      <c r="F517">
        <v>4.02339</v>
      </c>
    </row>
    <row r="518" spans="1:6">
      <c r="A518" t="s">
        <v>2360</v>
      </c>
      <c r="B518" t="s">
        <v>2359</v>
      </c>
      <c r="C518">
        <v>1</v>
      </c>
      <c r="D518">
        <v>4.0076200000000002</v>
      </c>
      <c r="E518">
        <v>4.0076200000000002</v>
      </c>
      <c r="F518">
        <v>4.0076200000000002</v>
      </c>
    </row>
    <row r="519" spans="1:6">
      <c r="A519" t="s">
        <v>2362</v>
      </c>
      <c r="B519" t="s">
        <v>2361</v>
      </c>
      <c r="C519">
        <v>1</v>
      </c>
      <c r="D519">
        <v>4.0058199999999999</v>
      </c>
      <c r="E519">
        <v>4.0058199999999999</v>
      </c>
      <c r="F519">
        <v>4.0058199999999999</v>
      </c>
    </row>
    <row r="520" spans="1:6">
      <c r="A520" t="s">
        <v>2366</v>
      </c>
      <c r="B520" t="s">
        <v>2365</v>
      </c>
      <c r="C520">
        <v>1</v>
      </c>
      <c r="D520">
        <v>3.9975000000000001</v>
      </c>
      <c r="E520">
        <v>3.9975000000000001</v>
      </c>
      <c r="F520">
        <v>3.9975000000000001</v>
      </c>
    </row>
    <row r="521" spans="1:6">
      <c r="A521" t="s">
        <v>2371</v>
      </c>
      <c r="B521" t="s">
        <v>2370</v>
      </c>
      <c r="C521">
        <v>1</v>
      </c>
      <c r="D521">
        <v>3.9939597</v>
      </c>
      <c r="E521">
        <v>3.9939597</v>
      </c>
      <c r="F521">
        <v>3.9939597</v>
      </c>
    </row>
    <row r="522" spans="1:6">
      <c r="A522" t="s">
        <v>2375</v>
      </c>
      <c r="B522" t="s">
        <v>2374</v>
      </c>
      <c r="C522">
        <v>1</v>
      </c>
      <c r="D522">
        <v>3.9899499999999999</v>
      </c>
      <c r="E522">
        <v>3.9899499999999999</v>
      </c>
      <c r="F522">
        <v>3.9899499999999999</v>
      </c>
    </row>
    <row r="523" spans="1:6">
      <c r="A523" t="s">
        <v>2377</v>
      </c>
      <c r="B523" t="s">
        <v>2376</v>
      </c>
      <c r="C523">
        <v>1</v>
      </c>
      <c r="D523">
        <v>3.9659499999999999</v>
      </c>
      <c r="E523">
        <v>3.9659499999999999</v>
      </c>
      <c r="F523">
        <v>3.9659499999999999</v>
      </c>
    </row>
    <row r="524" spans="1:6">
      <c r="A524" t="s">
        <v>2381</v>
      </c>
      <c r="B524" t="s">
        <v>2380</v>
      </c>
      <c r="C524">
        <v>1</v>
      </c>
      <c r="D524">
        <v>3.9619499999999999</v>
      </c>
      <c r="E524">
        <v>3.9619499999999999</v>
      </c>
      <c r="F524">
        <v>3.9619499999999999</v>
      </c>
    </row>
    <row r="525" spans="1:6">
      <c r="A525" t="s">
        <v>2385</v>
      </c>
      <c r="B525" t="s">
        <v>2384</v>
      </c>
      <c r="C525">
        <v>1</v>
      </c>
      <c r="D525">
        <v>3.9587699999999999</v>
      </c>
      <c r="E525">
        <v>3.9587699999999999</v>
      </c>
      <c r="F525">
        <v>3.9587699999999999</v>
      </c>
    </row>
    <row r="526" spans="1:6">
      <c r="A526" t="s">
        <v>2389</v>
      </c>
      <c r="B526" t="s">
        <v>2388</v>
      </c>
      <c r="C526">
        <v>1</v>
      </c>
      <c r="D526">
        <v>3.9460600000000001</v>
      </c>
      <c r="E526">
        <v>3.9460600000000001</v>
      </c>
      <c r="F526">
        <v>3.9460600000000001</v>
      </c>
    </row>
    <row r="527" spans="1:6">
      <c r="A527" t="s">
        <v>2391</v>
      </c>
      <c r="B527" t="s">
        <v>2390</v>
      </c>
      <c r="C527">
        <v>1</v>
      </c>
      <c r="D527">
        <v>3.9396900000000001</v>
      </c>
      <c r="E527">
        <v>3.9396900000000001</v>
      </c>
      <c r="F527">
        <v>3.9396900000000001</v>
      </c>
    </row>
    <row r="528" spans="1:6">
      <c r="A528" t="s">
        <v>2396</v>
      </c>
      <c r="B528" t="s">
        <v>2395</v>
      </c>
      <c r="C528">
        <v>1</v>
      </c>
      <c r="D528">
        <v>3.9344203000000002</v>
      </c>
      <c r="E528">
        <v>3.9344203000000002</v>
      </c>
      <c r="F528">
        <v>3.9344203000000002</v>
      </c>
    </row>
    <row r="529" spans="1:6">
      <c r="A529" t="s">
        <v>2400</v>
      </c>
      <c r="B529" t="s">
        <v>2399</v>
      </c>
      <c r="C529">
        <v>1</v>
      </c>
      <c r="D529">
        <v>3.9267500000000002</v>
      </c>
      <c r="E529">
        <v>3.9267500000000002</v>
      </c>
      <c r="F529">
        <v>3.9267500000000002</v>
      </c>
    </row>
    <row r="530" spans="1:6">
      <c r="A530" t="s">
        <v>2402</v>
      </c>
      <c r="B530" t="s">
        <v>2401</v>
      </c>
      <c r="C530">
        <v>1</v>
      </c>
      <c r="D530">
        <v>3.9111600000000002</v>
      </c>
      <c r="E530">
        <v>3.9111600000000002</v>
      </c>
      <c r="F530">
        <v>3.9111600000000002</v>
      </c>
    </row>
    <row r="531" spans="1:6">
      <c r="A531" t="s">
        <v>2406</v>
      </c>
      <c r="B531" t="s">
        <v>2405</v>
      </c>
      <c r="C531">
        <v>1</v>
      </c>
      <c r="D531">
        <v>3.9027500000000002</v>
      </c>
      <c r="E531">
        <v>3.9027500000000002</v>
      </c>
      <c r="F531">
        <v>3.9027500000000002</v>
      </c>
    </row>
    <row r="532" spans="1:6">
      <c r="A532" t="s">
        <v>2410</v>
      </c>
      <c r="B532" t="s">
        <v>2409</v>
      </c>
      <c r="C532">
        <v>1</v>
      </c>
      <c r="D532">
        <v>3.8942000000000001</v>
      </c>
      <c r="E532">
        <v>3.8942000000000001</v>
      </c>
      <c r="F532">
        <v>3.8942000000000001</v>
      </c>
    </row>
    <row r="533" spans="1:6">
      <c r="A533" t="s">
        <v>2414</v>
      </c>
      <c r="B533" t="s">
        <v>2413</v>
      </c>
      <c r="C533">
        <v>1</v>
      </c>
      <c r="D533">
        <v>3.855</v>
      </c>
      <c r="E533">
        <v>3.855</v>
      </c>
      <c r="F533">
        <v>3.855</v>
      </c>
    </row>
    <row r="534" spans="1:6">
      <c r="A534" t="s">
        <v>2418</v>
      </c>
      <c r="B534" t="s">
        <v>2417</v>
      </c>
      <c r="C534">
        <v>1</v>
      </c>
      <c r="D534">
        <v>3.8504100000000001</v>
      </c>
      <c r="E534">
        <v>3.8504100000000001</v>
      </c>
      <c r="F534">
        <v>3.8504100000000001</v>
      </c>
    </row>
    <row r="535" spans="1:6">
      <c r="A535" t="s">
        <v>2422</v>
      </c>
      <c r="B535" t="s">
        <v>2421</v>
      </c>
      <c r="C535">
        <v>1</v>
      </c>
      <c r="D535">
        <v>3.8457300000000001</v>
      </c>
      <c r="E535">
        <v>3.8457300000000001</v>
      </c>
      <c r="F535">
        <v>3.8457300000000001</v>
      </c>
    </row>
    <row r="536" spans="1:6">
      <c r="A536" t="s">
        <v>2426</v>
      </c>
      <c r="B536" t="s">
        <v>2425</v>
      </c>
      <c r="C536">
        <v>1</v>
      </c>
      <c r="D536">
        <v>3.8455599999999999</v>
      </c>
      <c r="E536">
        <v>3.8455599999999999</v>
      </c>
      <c r="F536">
        <v>3.8455599999999999</v>
      </c>
    </row>
    <row r="537" spans="1:6">
      <c r="A537" t="s">
        <v>2430</v>
      </c>
      <c r="B537" t="s">
        <v>2429</v>
      </c>
      <c r="C537">
        <v>1</v>
      </c>
      <c r="D537">
        <v>3.8451900000000001</v>
      </c>
      <c r="E537">
        <v>3.8451900000000001</v>
      </c>
      <c r="F537">
        <v>3.8451900000000001</v>
      </c>
    </row>
    <row r="538" spans="1:6">
      <c r="A538" t="s">
        <v>2435</v>
      </c>
      <c r="B538" t="s">
        <v>2434</v>
      </c>
      <c r="C538">
        <v>1</v>
      </c>
      <c r="D538">
        <v>3.8332099999999998</v>
      </c>
      <c r="E538">
        <v>3.8332099999999998</v>
      </c>
      <c r="F538">
        <v>3.8332099999999998</v>
      </c>
    </row>
    <row r="539" spans="1:6">
      <c r="A539" t="s">
        <v>2439</v>
      </c>
      <c r="B539" t="s">
        <v>2438</v>
      </c>
      <c r="C539">
        <v>1</v>
      </c>
      <c r="D539">
        <v>3.82666</v>
      </c>
      <c r="E539">
        <v>3.82666</v>
      </c>
      <c r="F539">
        <v>3.82666</v>
      </c>
    </row>
    <row r="540" spans="1:6">
      <c r="A540" t="s">
        <v>2443</v>
      </c>
      <c r="B540" t="s">
        <v>2442</v>
      </c>
      <c r="C540">
        <v>1</v>
      </c>
      <c r="D540">
        <v>3.8195899999999998</v>
      </c>
      <c r="E540">
        <v>3.8195899999999998</v>
      </c>
      <c r="F540">
        <v>3.8195899999999998</v>
      </c>
    </row>
    <row r="541" spans="1:6">
      <c r="A541" t="s">
        <v>2445</v>
      </c>
      <c r="B541" t="s">
        <v>2444</v>
      </c>
      <c r="C541">
        <v>1</v>
      </c>
      <c r="D541">
        <v>3.7997700000000001</v>
      </c>
      <c r="E541">
        <v>3.7997700000000001</v>
      </c>
      <c r="F541">
        <v>3.7997700000000001</v>
      </c>
    </row>
    <row r="542" spans="1:6">
      <c r="A542" t="s">
        <v>2448</v>
      </c>
      <c r="B542" t="s">
        <v>2447</v>
      </c>
      <c r="C542">
        <v>1</v>
      </c>
      <c r="D542">
        <v>3.78993</v>
      </c>
      <c r="E542">
        <v>3.78993</v>
      </c>
      <c r="F542">
        <v>3.78993</v>
      </c>
    </row>
    <row r="543" spans="1:6">
      <c r="A543" t="s">
        <v>2452</v>
      </c>
      <c r="B543" t="s">
        <v>2451</v>
      </c>
      <c r="C543">
        <v>1</v>
      </c>
      <c r="D543">
        <v>3.7860602000000001</v>
      </c>
      <c r="E543">
        <v>3.7860602000000001</v>
      </c>
      <c r="F543">
        <v>3.7860602000000001</v>
      </c>
    </row>
    <row r="544" spans="1:6">
      <c r="A544" t="s">
        <v>2456</v>
      </c>
      <c r="B544" t="s">
        <v>2455</v>
      </c>
      <c r="C544">
        <v>1</v>
      </c>
      <c r="D544">
        <v>3.7709101999999999</v>
      </c>
      <c r="E544">
        <v>3.7709101999999999</v>
      </c>
      <c r="F544">
        <v>3.7709101999999999</v>
      </c>
    </row>
    <row r="545" spans="1:6">
      <c r="A545" t="s">
        <v>2460</v>
      </c>
      <c r="B545" t="s">
        <v>2459</v>
      </c>
      <c r="C545">
        <v>1</v>
      </c>
      <c r="D545">
        <v>3.7654999999999998</v>
      </c>
      <c r="E545">
        <v>3.7654999999999998</v>
      </c>
      <c r="F545">
        <v>3.7654999999999998</v>
      </c>
    </row>
    <row r="546" spans="1:6">
      <c r="A546" t="s">
        <v>2464</v>
      </c>
      <c r="B546" t="s">
        <v>2463</v>
      </c>
      <c r="C546">
        <v>1</v>
      </c>
      <c r="D546">
        <v>3.7592698000000002</v>
      </c>
      <c r="E546">
        <v>3.7592698000000002</v>
      </c>
      <c r="F546">
        <v>3.7592698000000002</v>
      </c>
    </row>
    <row r="547" spans="1:6">
      <c r="A547" t="s">
        <v>2466</v>
      </c>
      <c r="B547" t="s">
        <v>2465</v>
      </c>
      <c r="C547">
        <v>1</v>
      </c>
      <c r="D547">
        <v>3.7539102</v>
      </c>
      <c r="E547">
        <v>3.7539102</v>
      </c>
      <c r="F547">
        <v>3.7539102</v>
      </c>
    </row>
    <row r="548" spans="1:6">
      <c r="A548" t="s">
        <v>2468</v>
      </c>
      <c r="B548" t="s">
        <v>2467</v>
      </c>
      <c r="C548">
        <v>1</v>
      </c>
      <c r="D548">
        <v>3.7524500000000001</v>
      </c>
      <c r="E548">
        <v>3.7524500000000001</v>
      </c>
      <c r="F548">
        <v>3.7524500000000001</v>
      </c>
    </row>
    <row r="549" spans="1:6">
      <c r="A549" t="s">
        <v>2472</v>
      </c>
      <c r="B549" t="s">
        <v>2471</v>
      </c>
      <c r="C549">
        <v>1</v>
      </c>
      <c r="D549">
        <v>3.74892</v>
      </c>
      <c r="E549">
        <v>3.74892</v>
      </c>
      <c r="F549">
        <v>3.74892</v>
      </c>
    </row>
    <row r="550" spans="1:6">
      <c r="A550" t="s">
        <v>2474</v>
      </c>
      <c r="B550" t="s">
        <v>2473</v>
      </c>
      <c r="C550">
        <v>1</v>
      </c>
      <c r="D550">
        <v>3.7416299999999998</v>
      </c>
      <c r="E550">
        <v>3.7416299999999998</v>
      </c>
      <c r="F550">
        <v>3.7416299999999998</v>
      </c>
    </row>
    <row r="551" spans="1:6">
      <c r="A551" t="s">
        <v>2478</v>
      </c>
      <c r="B551" t="s">
        <v>2477</v>
      </c>
      <c r="C551">
        <v>1</v>
      </c>
      <c r="D551">
        <v>3.7285499999999998</v>
      </c>
      <c r="E551">
        <v>3.7285499999999998</v>
      </c>
      <c r="F551">
        <v>3.7285499999999998</v>
      </c>
    </row>
    <row r="552" spans="1:6">
      <c r="A552" t="s">
        <v>2482</v>
      </c>
      <c r="B552" t="s">
        <v>2481</v>
      </c>
      <c r="C552">
        <v>1</v>
      </c>
      <c r="D552">
        <v>3.7248899999999998</v>
      </c>
      <c r="E552">
        <v>3.7248899999999998</v>
      </c>
      <c r="F552">
        <v>3.7248899999999998</v>
      </c>
    </row>
    <row r="553" spans="1:6">
      <c r="A553" t="s">
        <v>2487</v>
      </c>
      <c r="B553" t="s">
        <v>2486</v>
      </c>
      <c r="C553">
        <v>1</v>
      </c>
      <c r="D553">
        <v>3.7082701999999998</v>
      </c>
      <c r="E553">
        <v>3.7082701999999998</v>
      </c>
      <c r="F553">
        <v>3.7082701999999998</v>
      </c>
    </row>
    <row r="554" spans="1:6">
      <c r="A554" t="s">
        <v>2491</v>
      </c>
      <c r="B554" t="s">
        <v>2490</v>
      </c>
      <c r="C554">
        <v>1</v>
      </c>
      <c r="D554">
        <v>3.7029399999999999</v>
      </c>
      <c r="E554">
        <v>3.7029399999999999</v>
      </c>
      <c r="F554">
        <v>3.7029399999999999</v>
      </c>
    </row>
    <row r="555" spans="1:6">
      <c r="A555" t="s">
        <v>2495</v>
      </c>
      <c r="B555" t="s">
        <v>2494</v>
      </c>
      <c r="C555">
        <v>1</v>
      </c>
      <c r="D555">
        <v>3.6839599999999999</v>
      </c>
      <c r="E555">
        <v>3.6839599999999999</v>
      </c>
      <c r="F555">
        <v>3.6839599999999999</v>
      </c>
    </row>
    <row r="556" spans="1:6">
      <c r="A556" t="s">
        <v>2499</v>
      </c>
      <c r="B556" t="s">
        <v>2498</v>
      </c>
      <c r="C556">
        <v>1</v>
      </c>
      <c r="D556">
        <v>3.6820200000000001</v>
      </c>
      <c r="E556">
        <v>3.6820200000000001</v>
      </c>
      <c r="F556">
        <v>3.6820200000000001</v>
      </c>
    </row>
    <row r="557" spans="1:6">
      <c r="A557" t="s">
        <v>2503</v>
      </c>
      <c r="B557" t="s">
        <v>2502</v>
      </c>
      <c r="C557">
        <v>1</v>
      </c>
      <c r="D557">
        <v>3.6515802000000002</v>
      </c>
      <c r="E557">
        <v>3.6515802000000002</v>
      </c>
      <c r="F557">
        <v>3.6515802000000002</v>
      </c>
    </row>
    <row r="558" spans="1:6">
      <c r="A558" t="s">
        <v>2505</v>
      </c>
      <c r="B558" t="s">
        <v>2504</v>
      </c>
      <c r="C558">
        <v>1</v>
      </c>
      <c r="D558">
        <v>3.63754</v>
      </c>
      <c r="E558">
        <v>3.63754</v>
      </c>
      <c r="F558">
        <v>3.63754</v>
      </c>
    </row>
    <row r="559" spans="1:6">
      <c r="A559" t="s">
        <v>2507</v>
      </c>
      <c r="B559" t="s">
        <v>2506</v>
      </c>
      <c r="C559">
        <v>1</v>
      </c>
      <c r="D559">
        <v>3.61659</v>
      </c>
      <c r="E559">
        <v>3.61659</v>
      </c>
      <c r="F559">
        <v>3.61659</v>
      </c>
    </row>
    <row r="560" spans="1:6">
      <c r="A560" t="s">
        <v>2511</v>
      </c>
      <c r="B560" t="s">
        <v>2510</v>
      </c>
      <c r="C560">
        <v>1</v>
      </c>
      <c r="D560">
        <v>3.6124497999999998</v>
      </c>
      <c r="E560">
        <v>3.6124497999999998</v>
      </c>
      <c r="F560">
        <v>3.6124497999999998</v>
      </c>
    </row>
    <row r="561" spans="1:6">
      <c r="A561" t="s">
        <v>2515</v>
      </c>
      <c r="B561" t="s">
        <v>2514</v>
      </c>
      <c r="C561">
        <v>1</v>
      </c>
      <c r="D561">
        <v>3.60155</v>
      </c>
      <c r="E561">
        <v>3.60155</v>
      </c>
      <c r="F561">
        <v>3.60155</v>
      </c>
    </row>
    <row r="562" spans="1:6">
      <c r="A562" t="s">
        <v>2517</v>
      </c>
      <c r="B562" t="s">
        <v>2516</v>
      </c>
      <c r="C562">
        <v>1</v>
      </c>
      <c r="D562">
        <v>3.6008301999999999</v>
      </c>
      <c r="E562">
        <v>3.6008301999999999</v>
      </c>
      <c r="F562">
        <v>3.6008301999999999</v>
      </c>
    </row>
    <row r="563" spans="1:6">
      <c r="A563" t="s">
        <v>2522</v>
      </c>
      <c r="B563" t="s">
        <v>2521</v>
      </c>
      <c r="C563">
        <v>1</v>
      </c>
      <c r="D563">
        <v>3.5954299999999999</v>
      </c>
      <c r="E563">
        <v>3.5954299999999999</v>
      </c>
      <c r="F563">
        <v>3.5954299999999999</v>
      </c>
    </row>
    <row r="564" spans="1:6">
      <c r="A564" t="s">
        <v>2525</v>
      </c>
      <c r="B564" t="s">
        <v>2524</v>
      </c>
      <c r="C564">
        <v>1</v>
      </c>
      <c r="D564">
        <v>3.59518</v>
      </c>
      <c r="E564">
        <v>3.59518</v>
      </c>
      <c r="F564">
        <v>3.59518</v>
      </c>
    </row>
    <row r="565" spans="1:6">
      <c r="A565" t="s">
        <v>2529</v>
      </c>
      <c r="B565" t="s">
        <v>2528</v>
      </c>
      <c r="C565">
        <v>1</v>
      </c>
      <c r="D565">
        <v>3.5951200000000001</v>
      </c>
      <c r="E565">
        <v>3.5951200000000001</v>
      </c>
      <c r="F565">
        <v>3.5951200000000001</v>
      </c>
    </row>
    <row r="566" spans="1:6">
      <c r="A566" t="s">
        <v>2534</v>
      </c>
      <c r="B566" t="s">
        <v>2533</v>
      </c>
      <c r="C566">
        <v>1</v>
      </c>
      <c r="D566">
        <v>3.5923197999999998</v>
      </c>
      <c r="E566">
        <v>3.5923197999999998</v>
      </c>
      <c r="F566">
        <v>3.5923197999999998</v>
      </c>
    </row>
    <row r="567" spans="1:6">
      <c r="A567" t="s">
        <v>2538</v>
      </c>
      <c r="B567" t="s">
        <v>2537</v>
      </c>
      <c r="C567">
        <v>1</v>
      </c>
      <c r="D567">
        <v>3.57342</v>
      </c>
      <c r="E567">
        <v>3.57342</v>
      </c>
      <c r="F567">
        <v>3.57342</v>
      </c>
    </row>
    <row r="568" spans="1:6">
      <c r="A568" t="s">
        <v>2542</v>
      </c>
      <c r="B568" t="s">
        <v>2541</v>
      </c>
      <c r="C568">
        <v>1</v>
      </c>
      <c r="D568">
        <v>3.5519197999999998</v>
      </c>
      <c r="E568">
        <v>3.5519197999999998</v>
      </c>
      <c r="F568">
        <v>3.5519197999999998</v>
      </c>
    </row>
    <row r="569" spans="1:6">
      <c r="A569" t="s">
        <v>2544</v>
      </c>
      <c r="B569" t="s">
        <v>2543</v>
      </c>
      <c r="C569">
        <v>1</v>
      </c>
      <c r="D569">
        <v>3.5409199999999998</v>
      </c>
      <c r="E569">
        <v>3.5409199999999998</v>
      </c>
      <c r="F569">
        <v>3.5409199999999998</v>
      </c>
    </row>
    <row r="570" spans="1:6">
      <c r="A570" t="s">
        <v>2548</v>
      </c>
      <c r="B570" t="s">
        <v>2547</v>
      </c>
      <c r="C570">
        <v>1</v>
      </c>
      <c r="D570">
        <v>3.5329000000000002</v>
      </c>
      <c r="E570">
        <v>3.5329000000000002</v>
      </c>
      <c r="F570">
        <v>3.5329000000000002</v>
      </c>
    </row>
    <row r="571" spans="1:6">
      <c r="A571" t="s">
        <v>2550</v>
      </c>
      <c r="B571" t="s">
        <v>2549</v>
      </c>
      <c r="C571">
        <v>1</v>
      </c>
      <c r="D571">
        <v>3.4881000000000002</v>
      </c>
      <c r="E571">
        <v>3.4881000000000002</v>
      </c>
      <c r="F571">
        <v>3.4881000000000002</v>
      </c>
    </row>
    <row r="572" spans="1:6">
      <c r="A572" t="s">
        <v>2554</v>
      </c>
      <c r="B572" t="s">
        <v>2553</v>
      </c>
      <c r="C572">
        <v>1</v>
      </c>
      <c r="D572">
        <v>3.4786697000000002</v>
      </c>
      <c r="E572">
        <v>3.4786697000000002</v>
      </c>
      <c r="F572">
        <v>3.4786697000000002</v>
      </c>
    </row>
    <row r="573" spans="1:6">
      <c r="A573" t="s">
        <v>2558</v>
      </c>
      <c r="B573" t="s">
        <v>2557</v>
      </c>
      <c r="C573">
        <v>1</v>
      </c>
      <c r="D573">
        <v>3.47688</v>
      </c>
      <c r="E573">
        <v>3.47688</v>
      </c>
      <c r="F573">
        <v>3.47688</v>
      </c>
    </row>
    <row r="574" spans="1:6">
      <c r="A574" t="s">
        <v>2562</v>
      </c>
      <c r="B574" t="s">
        <v>2561</v>
      </c>
      <c r="C574">
        <v>1</v>
      </c>
      <c r="D574">
        <v>3.4763000000000002</v>
      </c>
      <c r="E574">
        <v>3.4763000000000002</v>
      </c>
      <c r="F574">
        <v>3.4763000000000002</v>
      </c>
    </row>
    <row r="575" spans="1:6">
      <c r="A575" t="s">
        <v>2566</v>
      </c>
      <c r="B575" t="s">
        <v>2565</v>
      </c>
      <c r="C575">
        <v>1</v>
      </c>
      <c r="D575">
        <v>3.4751300000000001</v>
      </c>
      <c r="E575">
        <v>3.4751300000000001</v>
      </c>
      <c r="F575">
        <v>3.4751300000000001</v>
      </c>
    </row>
    <row r="576" spans="1:6">
      <c r="A576" t="s">
        <v>2568</v>
      </c>
      <c r="B576" t="s">
        <v>2567</v>
      </c>
      <c r="C576">
        <v>1</v>
      </c>
      <c r="D576">
        <v>3.4720599999999999</v>
      </c>
      <c r="E576">
        <v>3.4720599999999999</v>
      </c>
      <c r="F576">
        <v>3.4720599999999999</v>
      </c>
    </row>
    <row r="577" spans="1:6">
      <c r="A577" t="s">
        <v>2572</v>
      </c>
      <c r="B577" t="s">
        <v>2571</v>
      </c>
      <c r="C577">
        <v>1</v>
      </c>
      <c r="D577">
        <v>3.4701900000000001</v>
      </c>
      <c r="E577">
        <v>3.4701900000000001</v>
      </c>
      <c r="F577">
        <v>3.4701900000000001</v>
      </c>
    </row>
    <row r="578" spans="1:6">
      <c r="A578" t="s">
        <v>2576</v>
      </c>
      <c r="B578" t="s">
        <v>2575</v>
      </c>
      <c r="C578">
        <v>1</v>
      </c>
      <c r="D578">
        <v>3.4629500000000002</v>
      </c>
      <c r="E578">
        <v>3.4629500000000002</v>
      </c>
      <c r="F578">
        <v>3.4629500000000002</v>
      </c>
    </row>
    <row r="579" spans="1:6">
      <c r="A579" t="s">
        <v>2580</v>
      </c>
      <c r="B579" t="s">
        <v>2579</v>
      </c>
      <c r="C579">
        <v>1</v>
      </c>
      <c r="D579">
        <v>3.46096</v>
      </c>
      <c r="E579">
        <v>3.46096</v>
      </c>
      <c r="F579">
        <v>3.46096</v>
      </c>
    </row>
    <row r="580" spans="1:6">
      <c r="A580" t="s">
        <v>2584</v>
      </c>
      <c r="B580" t="s">
        <v>2583</v>
      </c>
      <c r="C580">
        <v>1</v>
      </c>
      <c r="D580">
        <v>3.4605399999999999</v>
      </c>
      <c r="E580">
        <v>3.4605399999999999</v>
      </c>
      <c r="F580">
        <v>3.4605399999999999</v>
      </c>
    </row>
    <row r="581" spans="1:6">
      <c r="A581" t="s">
        <v>2588</v>
      </c>
      <c r="B581" t="s">
        <v>2587</v>
      </c>
      <c r="C581">
        <v>1</v>
      </c>
      <c r="D581">
        <v>3.45682</v>
      </c>
      <c r="E581">
        <v>3.45682</v>
      </c>
      <c r="F581">
        <v>3.45682</v>
      </c>
    </row>
    <row r="582" spans="1:6">
      <c r="A582" t="s">
        <v>2592</v>
      </c>
      <c r="B582" t="s">
        <v>2591</v>
      </c>
      <c r="C582">
        <v>1</v>
      </c>
      <c r="D582">
        <v>3.44042</v>
      </c>
      <c r="E582">
        <v>3.44042</v>
      </c>
      <c r="F582">
        <v>3.44042</v>
      </c>
    </row>
    <row r="583" spans="1:6">
      <c r="A583" t="s">
        <v>2596</v>
      </c>
      <c r="B583" t="s">
        <v>2595</v>
      </c>
      <c r="C583">
        <v>1</v>
      </c>
      <c r="D583">
        <v>3.4150100000000001</v>
      </c>
      <c r="E583">
        <v>3.4150100000000001</v>
      </c>
      <c r="F583">
        <v>3.4150100000000001</v>
      </c>
    </row>
    <row r="584" spans="1:6">
      <c r="A584" t="s">
        <v>2598</v>
      </c>
      <c r="B584" t="s">
        <v>2597</v>
      </c>
      <c r="C584">
        <v>1</v>
      </c>
      <c r="D584">
        <v>3.4016099999999998</v>
      </c>
      <c r="E584">
        <v>3.4016099999999998</v>
      </c>
      <c r="F584">
        <v>3.4016099999999998</v>
      </c>
    </row>
    <row r="585" spans="1:6">
      <c r="A585" t="s">
        <v>2602</v>
      </c>
      <c r="B585" t="s">
        <v>2601</v>
      </c>
      <c r="C585">
        <v>1</v>
      </c>
      <c r="D585">
        <v>3.3986002000000002</v>
      </c>
      <c r="E585">
        <v>3.3986002000000002</v>
      </c>
      <c r="F585">
        <v>3.3986002000000002</v>
      </c>
    </row>
    <row r="586" spans="1:6">
      <c r="A586" t="s">
        <v>2607</v>
      </c>
      <c r="B586" t="s">
        <v>2606</v>
      </c>
      <c r="C586">
        <v>1</v>
      </c>
      <c r="D586">
        <v>3.3981300000000001</v>
      </c>
      <c r="E586">
        <v>3.3981300000000001</v>
      </c>
      <c r="F586">
        <v>3.3981300000000001</v>
      </c>
    </row>
    <row r="587" spans="1:6">
      <c r="A587" t="s">
        <v>2611</v>
      </c>
      <c r="B587" t="s">
        <v>2610</v>
      </c>
      <c r="C587">
        <v>1</v>
      </c>
      <c r="D587">
        <v>3.3898000000000001</v>
      </c>
      <c r="E587">
        <v>3.3898000000000001</v>
      </c>
      <c r="F587">
        <v>3.3898000000000001</v>
      </c>
    </row>
    <row r="588" spans="1:6">
      <c r="A588" t="s">
        <v>2615</v>
      </c>
      <c r="B588" t="s">
        <v>2614</v>
      </c>
      <c r="C588">
        <v>1</v>
      </c>
      <c r="D588">
        <v>3.3725200000000002</v>
      </c>
      <c r="E588">
        <v>3.3725200000000002</v>
      </c>
      <c r="F588">
        <v>3.3725200000000002</v>
      </c>
    </row>
    <row r="589" spans="1:6">
      <c r="A589" t="s">
        <v>2619</v>
      </c>
      <c r="B589" t="s">
        <v>2618</v>
      </c>
      <c r="C589">
        <v>1</v>
      </c>
      <c r="D589">
        <v>3.3683800000000002</v>
      </c>
      <c r="E589">
        <v>3.3683800000000002</v>
      </c>
      <c r="F589">
        <v>3.3683800000000002</v>
      </c>
    </row>
    <row r="590" spans="1:6">
      <c r="A590" t="s">
        <v>2623</v>
      </c>
      <c r="B590" t="s">
        <v>2622</v>
      </c>
      <c r="C590">
        <v>1</v>
      </c>
      <c r="D590">
        <v>3.3601899999999998</v>
      </c>
      <c r="E590">
        <v>3.3601899999999998</v>
      </c>
      <c r="F590">
        <v>3.3601899999999998</v>
      </c>
    </row>
    <row r="591" spans="1:6">
      <c r="A591" t="s">
        <v>2627</v>
      </c>
      <c r="B591" t="s">
        <v>2626</v>
      </c>
      <c r="C591">
        <v>1</v>
      </c>
      <c r="D591">
        <v>3.3544198000000001</v>
      </c>
      <c r="E591">
        <v>3.3544198000000001</v>
      </c>
      <c r="F591">
        <v>3.3544198000000001</v>
      </c>
    </row>
    <row r="592" spans="1:6">
      <c r="A592" t="s">
        <v>2631</v>
      </c>
      <c r="B592" t="s">
        <v>2630</v>
      </c>
      <c r="C592">
        <v>1</v>
      </c>
      <c r="D592">
        <v>3.3254999999999999</v>
      </c>
      <c r="E592">
        <v>3.3254999999999999</v>
      </c>
      <c r="F592">
        <v>3.3254999999999999</v>
      </c>
    </row>
    <row r="593" spans="1:6">
      <c r="A593" t="s">
        <v>2635</v>
      </c>
      <c r="B593" t="s">
        <v>2634</v>
      </c>
      <c r="C593">
        <v>1</v>
      </c>
      <c r="D593">
        <v>3.27989</v>
      </c>
      <c r="E593">
        <v>3.27989</v>
      </c>
      <c r="F593">
        <v>3.27989</v>
      </c>
    </row>
    <row r="594" spans="1:6">
      <c r="A594" t="s">
        <v>2640</v>
      </c>
      <c r="B594" t="s">
        <v>2639</v>
      </c>
      <c r="C594">
        <v>1</v>
      </c>
      <c r="D594">
        <v>3.2743397999999999</v>
      </c>
      <c r="E594">
        <v>3.2743397999999999</v>
      </c>
      <c r="F594">
        <v>3.2743397999999999</v>
      </c>
    </row>
    <row r="595" spans="1:6">
      <c r="A595" t="s">
        <v>2644</v>
      </c>
      <c r="B595" t="s">
        <v>2643</v>
      </c>
      <c r="C595">
        <v>1</v>
      </c>
      <c r="D595">
        <v>3.2711299999999999</v>
      </c>
      <c r="E595">
        <v>3.2711299999999999</v>
      </c>
      <c r="F595">
        <v>3.2711299999999999</v>
      </c>
    </row>
    <row r="596" spans="1:6">
      <c r="A596" t="s">
        <v>2648</v>
      </c>
      <c r="B596" t="s">
        <v>2647</v>
      </c>
      <c r="C596">
        <v>1</v>
      </c>
      <c r="D596">
        <v>3.2710097999999999</v>
      </c>
      <c r="E596">
        <v>3.2710097999999999</v>
      </c>
      <c r="F596">
        <v>3.2710097999999999</v>
      </c>
    </row>
    <row r="597" spans="1:6">
      <c r="A597" t="s">
        <v>2650</v>
      </c>
      <c r="B597" t="s">
        <v>2649</v>
      </c>
      <c r="C597">
        <v>1</v>
      </c>
      <c r="D597">
        <v>3.2568899999999998</v>
      </c>
      <c r="E597">
        <v>3.2568899999999998</v>
      </c>
      <c r="F597">
        <v>3.2568899999999998</v>
      </c>
    </row>
    <row r="598" spans="1:6">
      <c r="A598" t="s">
        <v>2654</v>
      </c>
      <c r="B598" t="s">
        <v>2653</v>
      </c>
      <c r="C598">
        <v>1</v>
      </c>
      <c r="D598">
        <v>3.24722</v>
      </c>
      <c r="E598">
        <v>3.24722</v>
      </c>
      <c r="F598">
        <v>3.24722</v>
      </c>
    </row>
    <row r="599" spans="1:6">
      <c r="A599" t="s">
        <v>2656</v>
      </c>
      <c r="B599" t="s">
        <v>2655</v>
      </c>
      <c r="C599">
        <v>1</v>
      </c>
      <c r="D599">
        <v>3.2080899999999999</v>
      </c>
      <c r="E599">
        <v>3.2080899999999999</v>
      </c>
      <c r="F599">
        <v>3.2080899999999999</v>
      </c>
    </row>
    <row r="600" spans="1:6">
      <c r="A600" t="s">
        <v>2660</v>
      </c>
      <c r="B600" t="s">
        <v>2659</v>
      </c>
      <c r="C600">
        <v>1</v>
      </c>
      <c r="D600">
        <v>3.2075900000000002</v>
      </c>
      <c r="E600">
        <v>3.2075900000000002</v>
      </c>
      <c r="F600">
        <v>3.2075900000000002</v>
      </c>
    </row>
    <row r="601" spans="1:6">
      <c r="A601" t="s">
        <v>2664</v>
      </c>
      <c r="B601" t="s">
        <v>2663</v>
      </c>
      <c r="C601">
        <v>1</v>
      </c>
      <c r="D601">
        <v>3.18418</v>
      </c>
      <c r="E601">
        <v>3.18418</v>
      </c>
      <c r="F601">
        <v>3.18418</v>
      </c>
    </row>
    <row r="602" spans="1:6">
      <c r="A602" t="s">
        <v>2668</v>
      </c>
      <c r="B602" t="s">
        <v>2667</v>
      </c>
      <c r="C602">
        <v>1</v>
      </c>
      <c r="D602">
        <v>3.17957</v>
      </c>
      <c r="E602">
        <v>3.17957</v>
      </c>
      <c r="F602">
        <v>3.17957</v>
      </c>
    </row>
    <row r="603" spans="1:6">
      <c r="A603" t="s">
        <v>2672</v>
      </c>
      <c r="B603" t="s">
        <v>2671</v>
      </c>
      <c r="C603">
        <v>1</v>
      </c>
      <c r="D603">
        <v>3.1638898000000002</v>
      </c>
      <c r="E603">
        <v>3.1638898000000002</v>
      </c>
      <c r="F603">
        <v>3.1638898000000002</v>
      </c>
    </row>
    <row r="604" spans="1:6">
      <c r="A604" t="s">
        <v>2674</v>
      </c>
      <c r="B604" t="s">
        <v>2673</v>
      </c>
      <c r="C604">
        <v>1</v>
      </c>
      <c r="D604">
        <v>3.1562399999999999</v>
      </c>
      <c r="E604">
        <v>3.1562399999999999</v>
      </c>
      <c r="F604">
        <v>3.1562399999999999</v>
      </c>
    </row>
    <row r="605" spans="1:6">
      <c r="A605" t="s">
        <v>2676</v>
      </c>
      <c r="B605" t="s">
        <v>2675</v>
      </c>
      <c r="C605">
        <v>1</v>
      </c>
      <c r="D605">
        <v>3.1402397999999998</v>
      </c>
      <c r="E605">
        <v>3.1402397999999998</v>
      </c>
      <c r="F605">
        <v>3.1402397999999998</v>
      </c>
    </row>
    <row r="606" spans="1:6">
      <c r="A606" t="s">
        <v>2678</v>
      </c>
      <c r="B606" t="s">
        <v>2677</v>
      </c>
      <c r="C606">
        <v>1</v>
      </c>
      <c r="D606">
        <v>3.1216198999999998</v>
      </c>
      <c r="E606">
        <v>3.1216198999999998</v>
      </c>
      <c r="F606">
        <v>3.1216198999999998</v>
      </c>
    </row>
    <row r="607" spans="1:6">
      <c r="A607" t="s">
        <v>2682</v>
      </c>
      <c r="B607" t="s">
        <v>2681</v>
      </c>
      <c r="C607">
        <v>1</v>
      </c>
      <c r="D607">
        <v>3.10148</v>
      </c>
      <c r="E607">
        <v>3.10148</v>
      </c>
      <c r="F607">
        <v>3.10148</v>
      </c>
    </row>
    <row r="608" spans="1:6">
      <c r="A608" t="s">
        <v>2686</v>
      </c>
      <c r="B608" t="s">
        <v>2685</v>
      </c>
      <c r="C608">
        <v>1</v>
      </c>
      <c r="D608">
        <v>3.0985999999999998</v>
      </c>
      <c r="E608">
        <v>3.0985999999999998</v>
      </c>
      <c r="F608">
        <v>3.0985999999999998</v>
      </c>
    </row>
    <row r="609" spans="1:6">
      <c r="A609" t="s">
        <v>2690</v>
      </c>
      <c r="B609" t="s">
        <v>2689</v>
      </c>
      <c r="C609">
        <v>1</v>
      </c>
      <c r="D609">
        <v>3.09748</v>
      </c>
      <c r="E609">
        <v>3.09748</v>
      </c>
      <c r="F609">
        <v>3.09748</v>
      </c>
    </row>
    <row r="610" spans="1:6">
      <c r="A610" t="s">
        <v>2692</v>
      </c>
      <c r="B610" t="s">
        <v>2691</v>
      </c>
      <c r="C610">
        <v>1</v>
      </c>
      <c r="D610">
        <v>3.0920299999999998</v>
      </c>
      <c r="E610">
        <v>3.0920299999999998</v>
      </c>
      <c r="F610">
        <v>3.0920299999999998</v>
      </c>
    </row>
    <row r="611" spans="1:6">
      <c r="A611" t="s">
        <v>2696</v>
      </c>
      <c r="B611" t="s">
        <v>2695</v>
      </c>
      <c r="C611">
        <v>1</v>
      </c>
      <c r="D611">
        <v>3.0827599999999999</v>
      </c>
      <c r="E611">
        <v>3.0827599999999999</v>
      </c>
      <c r="F611">
        <v>3.0827599999999999</v>
      </c>
    </row>
    <row r="612" spans="1:6">
      <c r="A612" t="s">
        <v>2700</v>
      </c>
      <c r="B612" t="s">
        <v>2699</v>
      </c>
      <c r="C612">
        <v>1</v>
      </c>
      <c r="D612">
        <v>3.0797300000000001</v>
      </c>
      <c r="E612">
        <v>3.0797300000000001</v>
      </c>
      <c r="F612">
        <v>3.0797300000000001</v>
      </c>
    </row>
    <row r="613" spans="1:6">
      <c r="A613" t="s">
        <v>2704</v>
      </c>
      <c r="B613" t="s">
        <v>2703</v>
      </c>
      <c r="C613">
        <v>1</v>
      </c>
      <c r="D613">
        <v>3.0775499000000002</v>
      </c>
      <c r="E613">
        <v>3.0775499000000002</v>
      </c>
      <c r="F613">
        <v>3.0775499000000002</v>
      </c>
    </row>
    <row r="614" spans="1:6">
      <c r="A614" t="s">
        <v>2708</v>
      </c>
      <c r="B614" t="s">
        <v>2707</v>
      </c>
      <c r="C614">
        <v>1</v>
      </c>
      <c r="D614">
        <v>3.0763099</v>
      </c>
      <c r="E614">
        <v>3.0763099</v>
      </c>
      <c r="F614">
        <v>3.0763099</v>
      </c>
    </row>
    <row r="615" spans="1:6">
      <c r="A615" t="s">
        <v>2711</v>
      </c>
      <c r="B615" t="s">
        <v>2710</v>
      </c>
      <c r="C615">
        <v>1</v>
      </c>
      <c r="D615">
        <v>3.0569299999999999</v>
      </c>
      <c r="E615">
        <v>3.0569299999999999</v>
      </c>
      <c r="F615">
        <v>3.0569299999999999</v>
      </c>
    </row>
    <row r="616" spans="1:6">
      <c r="A616" t="s">
        <v>2715</v>
      </c>
      <c r="B616" t="s">
        <v>2714</v>
      </c>
      <c r="C616">
        <v>1</v>
      </c>
      <c r="D616">
        <v>3.04494</v>
      </c>
      <c r="E616">
        <v>3.04494</v>
      </c>
      <c r="F616">
        <v>3.04494</v>
      </c>
    </row>
    <row r="617" spans="1:6">
      <c r="A617" t="s">
        <v>2717</v>
      </c>
      <c r="B617" t="s">
        <v>2716</v>
      </c>
      <c r="C617">
        <v>1</v>
      </c>
      <c r="D617">
        <v>3.02955</v>
      </c>
      <c r="E617">
        <v>3.02955</v>
      </c>
      <c r="F617">
        <v>3.02955</v>
      </c>
    </row>
    <row r="618" spans="1:6">
      <c r="A618" t="s">
        <v>2721</v>
      </c>
      <c r="B618" t="s">
        <v>2720</v>
      </c>
      <c r="C618">
        <v>1</v>
      </c>
      <c r="D618">
        <v>3.0294001000000002</v>
      </c>
      <c r="E618">
        <v>3.0294001000000002</v>
      </c>
      <c r="F618">
        <v>3.0294001000000002</v>
      </c>
    </row>
    <row r="619" spans="1:6">
      <c r="A619" t="s">
        <v>2723</v>
      </c>
      <c r="B619" t="s">
        <v>2722</v>
      </c>
      <c r="C619">
        <v>1</v>
      </c>
      <c r="D619">
        <v>3.0275099000000001</v>
      </c>
      <c r="E619">
        <v>3.0275099000000001</v>
      </c>
      <c r="F619">
        <v>3.0275099000000001</v>
      </c>
    </row>
    <row r="620" spans="1:6">
      <c r="A620" t="s">
        <v>2727</v>
      </c>
      <c r="B620" t="s">
        <v>2726</v>
      </c>
      <c r="C620">
        <v>1</v>
      </c>
      <c r="D620">
        <v>3.0269401</v>
      </c>
      <c r="E620">
        <v>3.0269401</v>
      </c>
      <c r="F620">
        <v>3.0269401</v>
      </c>
    </row>
    <row r="621" spans="1:6">
      <c r="A621" t="s">
        <v>2731</v>
      </c>
      <c r="B621" t="s">
        <v>2730</v>
      </c>
      <c r="C621">
        <v>1</v>
      </c>
      <c r="D621">
        <v>3.0238700000000001</v>
      </c>
      <c r="E621">
        <v>3.0238700000000001</v>
      </c>
      <c r="F621">
        <v>3.0238700000000001</v>
      </c>
    </row>
    <row r="622" spans="1:6">
      <c r="A622" t="s">
        <v>2735</v>
      </c>
      <c r="B622" t="s">
        <v>2734</v>
      </c>
      <c r="C622">
        <v>1</v>
      </c>
      <c r="D622">
        <v>3.0216899000000002</v>
      </c>
      <c r="E622">
        <v>3.0216899000000002</v>
      </c>
      <c r="F622">
        <v>3.0216899000000002</v>
      </c>
    </row>
    <row r="623" spans="1:6">
      <c r="A623" t="s">
        <v>2737</v>
      </c>
      <c r="B623" t="s">
        <v>2736</v>
      </c>
      <c r="C623">
        <v>1</v>
      </c>
      <c r="D623">
        <v>3.0121699999999998</v>
      </c>
      <c r="E623">
        <v>3.0121699999999998</v>
      </c>
      <c r="F623">
        <v>3.0121699999999998</v>
      </c>
    </row>
    <row r="624" spans="1:6">
      <c r="A624" t="s">
        <v>2739</v>
      </c>
      <c r="B624" t="s">
        <v>2738</v>
      </c>
      <c r="C624">
        <v>1</v>
      </c>
      <c r="D624">
        <v>3.0112999999999999</v>
      </c>
      <c r="E624">
        <v>3.0112999999999999</v>
      </c>
      <c r="F624">
        <v>3.0112999999999999</v>
      </c>
    </row>
    <row r="625" spans="1:6">
      <c r="A625" t="s">
        <v>2744</v>
      </c>
      <c r="B625" t="s">
        <v>2743</v>
      </c>
      <c r="C625">
        <v>1</v>
      </c>
      <c r="D625">
        <v>3.0041001999999999</v>
      </c>
      <c r="E625">
        <v>3.0041001999999999</v>
      </c>
      <c r="F625">
        <v>3.0041001999999999</v>
      </c>
    </row>
    <row r="626" spans="1:6">
      <c r="A626" t="s">
        <v>2748</v>
      </c>
      <c r="B626" t="s">
        <v>2747</v>
      </c>
      <c r="C626">
        <v>1</v>
      </c>
      <c r="D626">
        <v>2.9810699999999999</v>
      </c>
      <c r="E626">
        <v>2.9810699999999999</v>
      </c>
      <c r="F626">
        <v>2.9810699999999999</v>
      </c>
    </row>
    <row r="627" spans="1:6">
      <c r="A627" t="s">
        <v>2752</v>
      </c>
      <c r="B627" t="s">
        <v>2751</v>
      </c>
      <c r="C627">
        <v>1</v>
      </c>
      <c r="D627">
        <v>2.9794900000000002</v>
      </c>
      <c r="E627">
        <v>2.9794900000000002</v>
      </c>
      <c r="F627">
        <v>2.9794900000000002</v>
      </c>
    </row>
    <row r="628" spans="1:6">
      <c r="A628" t="s">
        <v>2756</v>
      </c>
      <c r="B628" t="s">
        <v>2755</v>
      </c>
      <c r="C628">
        <v>1</v>
      </c>
      <c r="D628">
        <v>2.9730599999999998</v>
      </c>
      <c r="E628">
        <v>2.9730599999999998</v>
      </c>
      <c r="F628">
        <v>2.9730599999999998</v>
      </c>
    </row>
    <row r="629" spans="1:6">
      <c r="A629" t="s">
        <v>2758</v>
      </c>
      <c r="B629" t="s">
        <v>2757</v>
      </c>
      <c r="C629">
        <v>1</v>
      </c>
      <c r="D629">
        <v>2.9701399999999998</v>
      </c>
      <c r="E629">
        <v>2.9701399999999998</v>
      </c>
      <c r="F629">
        <v>2.9701399999999998</v>
      </c>
    </row>
    <row r="630" spans="1:6">
      <c r="A630" t="s">
        <v>2762</v>
      </c>
      <c r="B630" t="s">
        <v>2761</v>
      </c>
      <c r="C630">
        <v>1</v>
      </c>
      <c r="D630">
        <v>2.9314699000000002</v>
      </c>
      <c r="E630">
        <v>2.9314699000000002</v>
      </c>
      <c r="F630">
        <v>2.9314699000000002</v>
      </c>
    </row>
    <row r="631" spans="1:6">
      <c r="A631" t="s">
        <v>2766</v>
      </c>
      <c r="B631" t="s">
        <v>2765</v>
      </c>
      <c r="C631">
        <v>1</v>
      </c>
      <c r="D631">
        <v>2.9307598000000001</v>
      </c>
      <c r="E631">
        <v>2.9307598000000001</v>
      </c>
      <c r="F631">
        <v>2.9307598000000001</v>
      </c>
    </row>
    <row r="632" spans="1:6">
      <c r="A632" t="s">
        <v>2770</v>
      </c>
      <c r="B632" t="s">
        <v>2769</v>
      </c>
      <c r="C632">
        <v>1</v>
      </c>
      <c r="D632">
        <v>2.9097499999999998</v>
      </c>
      <c r="E632">
        <v>2.9097499999999998</v>
      </c>
      <c r="F632">
        <v>2.9097499999999998</v>
      </c>
    </row>
    <row r="633" spans="1:6">
      <c r="A633" t="s">
        <v>2774</v>
      </c>
      <c r="B633" t="s">
        <v>2773</v>
      </c>
      <c r="C633">
        <v>1</v>
      </c>
      <c r="D633">
        <v>2.9062199999999998</v>
      </c>
      <c r="E633">
        <v>2.9062199999999998</v>
      </c>
      <c r="F633">
        <v>2.9062199999999998</v>
      </c>
    </row>
    <row r="634" spans="1:6">
      <c r="A634" t="s">
        <v>2776</v>
      </c>
      <c r="B634" t="s">
        <v>2775</v>
      </c>
      <c r="C634">
        <v>1</v>
      </c>
      <c r="D634">
        <v>2.89391</v>
      </c>
      <c r="E634">
        <v>2.89391</v>
      </c>
      <c r="F634">
        <v>2.89391</v>
      </c>
    </row>
    <row r="635" spans="1:6">
      <c r="A635" t="s">
        <v>2780</v>
      </c>
      <c r="B635" t="s">
        <v>2779</v>
      </c>
      <c r="C635">
        <v>1</v>
      </c>
      <c r="D635">
        <v>2.8854301000000002</v>
      </c>
      <c r="E635">
        <v>2.8854301000000002</v>
      </c>
      <c r="F635">
        <v>2.8854301000000002</v>
      </c>
    </row>
    <row r="636" spans="1:6">
      <c r="A636" t="s">
        <v>2784</v>
      </c>
      <c r="B636" t="s">
        <v>2783</v>
      </c>
      <c r="C636">
        <v>1</v>
      </c>
      <c r="D636">
        <v>2.8557299999999999</v>
      </c>
      <c r="E636">
        <v>2.8557299999999999</v>
      </c>
      <c r="F636">
        <v>2.8557299999999999</v>
      </c>
    </row>
    <row r="637" spans="1:6">
      <c r="A637" t="s">
        <v>2788</v>
      </c>
      <c r="B637" t="s">
        <v>2787</v>
      </c>
      <c r="C637">
        <v>1</v>
      </c>
      <c r="D637">
        <v>2.8549699999999998</v>
      </c>
      <c r="E637">
        <v>2.8549699999999998</v>
      </c>
      <c r="F637">
        <v>2.8549699999999998</v>
      </c>
    </row>
    <row r="638" spans="1:6">
      <c r="A638" t="s">
        <v>2792</v>
      </c>
      <c r="B638" t="s">
        <v>2791</v>
      </c>
      <c r="C638">
        <v>1</v>
      </c>
      <c r="D638">
        <v>2.8427701000000001</v>
      </c>
      <c r="E638">
        <v>2.8427701000000001</v>
      </c>
      <c r="F638">
        <v>2.8427701000000001</v>
      </c>
    </row>
    <row r="639" spans="1:6">
      <c r="A639" t="s">
        <v>2794</v>
      </c>
      <c r="B639" t="s">
        <v>2793</v>
      </c>
      <c r="C639">
        <v>1</v>
      </c>
      <c r="D639">
        <v>2.83365</v>
      </c>
      <c r="E639">
        <v>2.83365</v>
      </c>
      <c r="F639">
        <v>2.83365</v>
      </c>
    </row>
    <row r="640" spans="1:6">
      <c r="A640" t="s">
        <v>2798</v>
      </c>
      <c r="B640" t="s">
        <v>2797</v>
      </c>
      <c r="C640">
        <v>1</v>
      </c>
      <c r="D640">
        <v>2.8120501</v>
      </c>
      <c r="E640">
        <v>2.8120501</v>
      </c>
      <c r="F640">
        <v>2.8120501</v>
      </c>
    </row>
    <row r="641" spans="1:6">
      <c r="A641" t="s">
        <v>2803</v>
      </c>
      <c r="B641" t="s">
        <v>2802</v>
      </c>
      <c r="C641">
        <v>1</v>
      </c>
      <c r="D641">
        <v>2.7558600000000002</v>
      </c>
      <c r="E641">
        <v>2.7558600000000002</v>
      </c>
      <c r="F641">
        <v>2.7558600000000002</v>
      </c>
    </row>
    <row r="642" spans="1:6">
      <c r="A642" t="s">
        <v>2807</v>
      </c>
      <c r="B642" t="s">
        <v>2806</v>
      </c>
      <c r="C642">
        <v>1</v>
      </c>
      <c r="D642">
        <v>2.7397999999999998</v>
      </c>
      <c r="E642">
        <v>2.7397999999999998</v>
      </c>
      <c r="F642">
        <v>2.7397999999999998</v>
      </c>
    </row>
    <row r="643" spans="1:6">
      <c r="A643" t="s">
        <v>2811</v>
      </c>
      <c r="B643" t="s">
        <v>2810</v>
      </c>
      <c r="C643">
        <v>1</v>
      </c>
      <c r="D643">
        <v>2.7276099999999999</v>
      </c>
      <c r="E643">
        <v>2.7276099999999999</v>
      </c>
      <c r="F643">
        <v>2.7276099999999999</v>
      </c>
    </row>
    <row r="644" spans="1:6">
      <c r="A644" t="s">
        <v>2813</v>
      </c>
      <c r="B644" t="s">
        <v>2812</v>
      </c>
      <c r="C644">
        <v>1</v>
      </c>
      <c r="D644">
        <v>2.7233399999999999</v>
      </c>
      <c r="E644">
        <v>2.7233399999999999</v>
      </c>
      <c r="F644">
        <v>2.7233399999999999</v>
      </c>
    </row>
    <row r="645" spans="1:6">
      <c r="A645" t="s">
        <v>2817</v>
      </c>
      <c r="B645" t="s">
        <v>2816</v>
      </c>
      <c r="C645">
        <v>1</v>
      </c>
      <c r="D645">
        <v>2.7202199999999999</v>
      </c>
      <c r="E645">
        <v>2.7202199999999999</v>
      </c>
      <c r="F645">
        <v>2.7202199999999999</v>
      </c>
    </row>
    <row r="646" spans="1:6">
      <c r="A646" t="s">
        <v>2821</v>
      </c>
      <c r="B646" t="s">
        <v>2820</v>
      </c>
      <c r="C646">
        <v>1</v>
      </c>
      <c r="D646">
        <v>2.7195497999999998</v>
      </c>
      <c r="E646">
        <v>2.7195497999999998</v>
      </c>
      <c r="F646">
        <v>2.7195497999999998</v>
      </c>
    </row>
    <row r="647" spans="1:6">
      <c r="A647" t="s">
        <v>2825</v>
      </c>
      <c r="B647" t="s">
        <v>2824</v>
      </c>
      <c r="C647">
        <v>1</v>
      </c>
      <c r="D647">
        <v>2.7103000000000002</v>
      </c>
      <c r="E647">
        <v>2.7103000000000002</v>
      </c>
      <c r="F647">
        <v>2.7103000000000002</v>
      </c>
    </row>
    <row r="648" spans="1:6">
      <c r="A648" t="s">
        <v>2829</v>
      </c>
      <c r="B648" t="s">
        <v>2828</v>
      </c>
      <c r="C648">
        <v>1</v>
      </c>
      <c r="D648">
        <v>2.7076297999999999</v>
      </c>
      <c r="E648">
        <v>2.7076297999999999</v>
      </c>
      <c r="F648">
        <v>2.7076297999999999</v>
      </c>
    </row>
    <row r="649" spans="1:6">
      <c r="A649" t="s">
        <v>2833</v>
      </c>
      <c r="B649" t="s">
        <v>2832</v>
      </c>
      <c r="C649">
        <v>1</v>
      </c>
      <c r="D649">
        <v>2.7040801999999999</v>
      </c>
      <c r="E649">
        <v>2.7040801999999999</v>
      </c>
      <c r="F649">
        <v>2.7040801999999999</v>
      </c>
    </row>
    <row r="650" spans="1:6">
      <c r="A650" t="s">
        <v>2835</v>
      </c>
      <c r="B650" t="s">
        <v>2834</v>
      </c>
      <c r="C650">
        <v>1</v>
      </c>
      <c r="D650">
        <v>2.6935302000000001</v>
      </c>
      <c r="E650">
        <v>2.6935302000000001</v>
      </c>
      <c r="F650">
        <v>2.6935302000000001</v>
      </c>
    </row>
    <row r="651" spans="1:6">
      <c r="A651" t="s">
        <v>2837</v>
      </c>
      <c r="B651" t="s">
        <v>2836</v>
      </c>
      <c r="C651">
        <v>1</v>
      </c>
      <c r="D651">
        <v>2.6929500000000002</v>
      </c>
      <c r="E651">
        <v>2.6929500000000002</v>
      </c>
      <c r="F651">
        <v>2.6929500000000002</v>
      </c>
    </row>
    <row r="652" spans="1:6">
      <c r="A652" t="s">
        <v>2839</v>
      </c>
      <c r="B652" t="s">
        <v>2838</v>
      </c>
      <c r="C652">
        <v>1</v>
      </c>
      <c r="D652">
        <v>2.68892</v>
      </c>
      <c r="E652">
        <v>2.68892</v>
      </c>
      <c r="F652">
        <v>2.68892</v>
      </c>
    </row>
    <row r="653" spans="1:6">
      <c r="A653" t="s">
        <v>2843</v>
      </c>
      <c r="B653" t="s">
        <v>2842</v>
      </c>
      <c r="C653">
        <v>1</v>
      </c>
      <c r="D653">
        <v>2.6791800000000001</v>
      </c>
      <c r="E653">
        <v>2.6791800000000001</v>
      </c>
      <c r="F653">
        <v>2.6791800000000001</v>
      </c>
    </row>
    <row r="654" spans="1:6">
      <c r="A654" t="s">
        <v>2847</v>
      </c>
      <c r="B654" t="s">
        <v>2846</v>
      </c>
      <c r="C654">
        <v>1</v>
      </c>
      <c r="D654">
        <v>2.6714699999999998</v>
      </c>
      <c r="E654">
        <v>2.6714699999999998</v>
      </c>
      <c r="F654">
        <v>2.6714699999999998</v>
      </c>
    </row>
    <row r="655" spans="1:6">
      <c r="A655" t="s">
        <v>2851</v>
      </c>
      <c r="B655" t="s">
        <v>2850</v>
      </c>
      <c r="C655">
        <v>1</v>
      </c>
      <c r="D655">
        <v>2.6518999999999999</v>
      </c>
      <c r="E655">
        <v>2.6518999999999999</v>
      </c>
      <c r="F655">
        <v>2.6518999999999999</v>
      </c>
    </row>
    <row r="656" spans="1:6">
      <c r="A656" t="s">
        <v>2853</v>
      </c>
      <c r="B656" t="s">
        <v>2852</v>
      </c>
      <c r="C656">
        <v>1</v>
      </c>
      <c r="D656">
        <v>2.6251500000000001</v>
      </c>
      <c r="E656">
        <v>2.6251500000000001</v>
      </c>
      <c r="F656">
        <v>2.6251500000000001</v>
      </c>
    </row>
    <row r="657" spans="1:6">
      <c r="A657" t="s">
        <v>2857</v>
      </c>
      <c r="B657" t="s">
        <v>2856</v>
      </c>
      <c r="C657">
        <v>1</v>
      </c>
      <c r="D657">
        <v>2.6108799999999999</v>
      </c>
      <c r="E657">
        <v>2.6108799999999999</v>
      </c>
      <c r="F657">
        <v>2.6108799999999999</v>
      </c>
    </row>
    <row r="658" spans="1:6">
      <c r="A658" t="s">
        <v>2861</v>
      </c>
      <c r="B658" t="s">
        <v>2860</v>
      </c>
      <c r="C658">
        <v>1</v>
      </c>
      <c r="D658">
        <v>2.59552</v>
      </c>
      <c r="E658">
        <v>2.59552</v>
      </c>
      <c r="F658">
        <v>2.59552</v>
      </c>
    </row>
    <row r="659" spans="1:6">
      <c r="A659" t="s">
        <v>2865</v>
      </c>
      <c r="B659" t="s">
        <v>2864</v>
      </c>
      <c r="C659">
        <v>1</v>
      </c>
      <c r="D659">
        <v>2.5740199000000001</v>
      </c>
      <c r="E659">
        <v>2.5740199000000001</v>
      </c>
      <c r="F659">
        <v>2.5740199000000001</v>
      </c>
    </row>
    <row r="660" spans="1:6">
      <c r="A660" t="s">
        <v>2869</v>
      </c>
      <c r="B660" t="s">
        <v>2868</v>
      </c>
      <c r="C660">
        <v>1</v>
      </c>
      <c r="D660">
        <v>2.5552198000000002</v>
      </c>
      <c r="E660">
        <v>2.5552198000000002</v>
      </c>
      <c r="F660">
        <v>2.5552198000000002</v>
      </c>
    </row>
    <row r="661" spans="1:6">
      <c r="A661" t="s">
        <v>2871</v>
      </c>
      <c r="B661" t="s">
        <v>2870</v>
      </c>
      <c r="C661">
        <v>1</v>
      </c>
      <c r="D661">
        <v>2.5280999999999998</v>
      </c>
      <c r="E661">
        <v>2.5280999999999998</v>
      </c>
      <c r="F661">
        <v>2.5280999999999998</v>
      </c>
    </row>
    <row r="662" spans="1:6">
      <c r="A662" t="s">
        <v>2876</v>
      </c>
      <c r="B662" t="s">
        <v>2875</v>
      </c>
      <c r="C662">
        <v>1</v>
      </c>
      <c r="D662">
        <v>2.5249999999999999</v>
      </c>
      <c r="E662">
        <v>2.5249999999999999</v>
      </c>
      <c r="F662">
        <v>2.5249999999999999</v>
      </c>
    </row>
    <row r="663" spans="1:6">
      <c r="A663" t="s">
        <v>2880</v>
      </c>
      <c r="B663" t="s">
        <v>2879</v>
      </c>
      <c r="C663">
        <v>1</v>
      </c>
      <c r="D663">
        <v>2.4863</v>
      </c>
      <c r="E663">
        <v>2.4863</v>
      </c>
      <c r="F663">
        <v>2.4863</v>
      </c>
    </row>
    <row r="664" spans="1:6">
      <c r="A664" t="s">
        <v>2884</v>
      </c>
      <c r="B664" t="s">
        <v>2883</v>
      </c>
      <c r="C664">
        <v>1</v>
      </c>
      <c r="D664">
        <v>2.4767698999999999</v>
      </c>
      <c r="E664">
        <v>2.4767698999999999</v>
      </c>
      <c r="F664">
        <v>2.4767698999999999</v>
      </c>
    </row>
    <row r="665" spans="1:6">
      <c r="A665" t="s">
        <v>2888</v>
      </c>
      <c r="B665" t="s">
        <v>2887</v>
      </c>
      <c r="C665">
        <v>1</v>
      </c>
      <c r="D665">
        <v>2.4547900999999999</v>
      </c>
      <c r="E665">
        <v>2.4547900999999999</v>
      </c>
      <c r="F665">
        <v>2.4547900999999999</v>
      </c>
    </row>
    <row r="666" spans="1:6">
      <c r="A666" t="s">
        <v>2891</v>
      </c>
      <c r="B666" t="s">
        <v>2890</v>
      </c>
      <c r="C666">
        <v>1</v>
      </c>
      <c r="D666">
        <v>2.4221301</v>
      </c>
      <c r="E666">
        <v>2.4221301</v>
      </c>
      <c r="F666">
        <v>2.4221301</v>
      </c>
    </row>
    <row r="667" spans="1:6">
      <c r="A667" t="s">
        <v>2893</v>
      </c>
      <c r="B667" t="s">
        <v>2892</v>
      </c>
      <c r="C667">
        <v>1</v>
      </c>
      <c r="D667">
        <v>2.4032399</v>
      </c>
      <c r="E667">
        <v>2.4032399</v>
      </c>
      <c r="F667">
        <v>2.4032399</v>
      </c>
    </row>
    <row r="668" spans="1:6">
      <c r="A668" t="s">
        <v>2897</v>
      </c>
      <c r="B668" t="s">
        <v>2896</v>
      </c>
      <c r="C668">
        <v>1</v>
      </c>
      <c r="D668">
        <v>2.4012199999999999</v>
      </c>
      <c r="E668">
        <v>2.4012199999999999</v>
      </c>
      <c r="F668">
        <v>2.4012199999999999</v>
      </c>
    </row>
    <row r="669" spans="1:6">
      <c r="A669" t="s">
        <v>2899</v>
      </c>
      <c r="B669" t="s">
        <v>2898</v>
      </c>
      <c r="C669">
        <v>1</v>
      </c>
      <c r="D669">
        <v>2.3974700000000002</v>
      </c>
      <c r="E669">
        <v>2.3974700000000002</v>
      </c>
      <c r="F669">
        <v>2.3974700000000002</v>
      </c>
    </row>
    <row r="670" spans="1:6">
      <c r="A670" t="s">
        <v>2903</v>
      </c>
      <c r="B670" t="s">
        <v>2902</v>
      </c>
      <c r="C670">
        <v>1</v>
      </c>
      <c r="D670">
        <v>2.3887401000000001</v>
      </c>
      <c r="E670">
        <v>2.3887401000000001</v>
      </c>
      <c r="F670">
        <v>2.3887401000000001</v>
      </c>
    </row>
    <row r="671" spans="1:6">
      <c r="A671" t="s">
        <v>2907</v>
      </c>
      <c r="B671" t="s">
        <v>2906</v>
      </c>
      <c r="C671">
        <v>1</v>
      </c>
      <c r="D671">
        <v>2.3707099999999999</v>
      </c>
      <c r="E671">
        <v>2.3707099999999999</v>
      </c>
      <c r="F671">
        <v>2.3707099999999999</v>
      </c>
    </row>
    <row r="672" spans="1:6">
      <c r="A672" t="s">
        <v>2911</v>
      </c>
      <c r="B672" t="s">
        <v>2910</v>
      </c>
      <c r="C672">
        <v>1</v>
      </c>
      <c r="D672">
        <v>2.3701300000000001</v>
      </c>
      <c r="E672">
        <v>2.3701300000000001</v>
      </c>
      <c r="F672">
        <v>2.3701300000000001</v>
      </c>
    </row>
    <row r="673" spans="1:6">
      <c r="A673" t="s">
        <v>2915</v>
      </c>
      <c r="B673" t="s">
        <v>2914</v>
      </c>
      <c r="C673">
        <v>1</v>
      </c>
      <c r="D673">
        <v>2.3509099999999998</v>
      </c>
      <c r="E673">
        <v>2.3509099999999998</v>
      </c>
      <c r="F673">
        <v>2.3509099999999998</v>
      </c>
    </row>
    <row r="674" spans="1:6">
      <c r="A674" t="s">
        <v>2917</v>
      </c>
      <c r="B674" t="s">
        <v>2916</v>
      </c>
      <c r="C674">
        <v>1</v>
      </c>
      <c r="D674">
        <v>2.34301</v>
      </c>
      <c r="E674">
        <v>2.34301</v>
      </c>
      <c r="F674">
        <v>2.34301</v>
      </c>
    </row>
    <row r="675" spans="1:6">
      <c r="A675" t="s">
        <v>2921</v>
      </c>
      <c r="B675" t="s">
        <v>2920</v>
      </c>
      <c r="C675">
        <v>1</v>
      </c>
      <c r="D675">
        <v>2.3410799</v>
      </c>
      <c r="E675">
        <v>2.3410799</v>
      </c>
      <c r="F675">
        <v>2.3410799</v>
      </c>
    </row>
    <row r="676" spans="1:6">
      <c r="A676" t="s">
        <v>2925</v>
      </c>
      <c r="B676" t="s">
        <v>2924</v>
      </c>
      <c r="C676">
        <v>1</v>
      </c>
      <c r="D676">
        <v>2.3386999999999998</v>
      </c>
      <c r="E676">
        <v>2.3386999999999998</v>
      </c>
      <c r="F676">
        <v>2.3386999999999998</v>
      </c>
    </row>
    <row r="677" spans="1:6">
      <c r="A677" t="s">
        <v>2928</v>
      </c>
      <c r="B677" t="s">
        <v>2927</v>
      </c>
      <c r="C677">
        <v>1</v>
      </c>
      <c r="D677">
        <v>2.3193800000000002</v>
      </c>
      <c r="E677">
        <v>2.3193800000000002</v>
      </c>
      <c r="F677">
        <v>2.3193800000000002</v>
      </c>
    </row>
    <row r="678" spans="1:6">
      <c r="A678" t="s">
        <v>2932</v>
      </c>
      <c r="B678" t="s">
        <v>2931</v>
      </c>
      <c r="C678">
        <v>1</v>
      </c>
      <c r="D678">
        <v>2.3151899999999999</v>
      </c>
      <c r="E678">
        <v>2.3151899999999999</v>
      </c>
      <c r="F678">
        <v>2.3151899999999999</v>
      </c>
    </row>
    <row r="679" spans="1:6">
      <c r="A679" t="s">
        <v>2937</v>
      </c>
      <c r="B679" t="s">
        <v>2936</v>
      </c>
      <c r="C679">
        <v>1</v>
      </c>
      <c r="D679">
        <v>2.3105799999999999</v>
      </c>
      <c r="E679">
        <v>2.3105799999999999</v>
      </c>
      <c r="F679">
        <v>2.3105799999999999</v>
      </c>
    </row>
    <row r="680" spans="1:6">
      <c r="A680" t="s">
        <v>2941</v>
      </c>
      <c r="B680" t="s">
        <v>2940</v>
      </c>
      <c r="C680">
        <v>1</v>
      </c>
      <c r="D680">
        <v>2.3083100000000001</v>
      </c>
      <c r="E680">
        <v>2.3083100000000001</v>
      </c>
      <c r="F680">
        <v>2.3083100000000001</v>
      </c>
    </row>
    <row r="681" spans="1:6">
      <c r="A681" t="s">
        <v>2945</v>
      </c>
      <c r="B681" t="s">
        <v>2944</v>
      </c>
      <c r="C681">
        <v>1</v>
      </c>
      <c r="D681">
        <v>2.3054700000000001</v>
      </c>
      <c r="E681">
        <v>2.3054700000000001</v>
      </c>
      <c r="F681">
        <v>2.3054700000000001</v>
      </c>
    </row>
    <row r="682" spans="1:6">
      <c r="A682" t="s">
        <v>2950</v>
      </c>
      <c r="B682" t="s">
        <v>2949</v>
      </c>
      <c r="C682">
        <v>1</v>
      </c>
      <c r="D682">
        <v>2.2966799999999998</v>
      </c>
      <c r="E682">
        <v>2.2966799999999998</v>
      </c>
      <c r="F682">
        <v>2.2966799999999998</v>
      </c>
    </row>
    <row r="683" spans="1:6">
      <c r="A683" t="s">
        <v>2954</v>
      </c>
      <c r="B683" t="s">
        <v>2953</v>
      </c>
      <c r="C683">
        <v>1</v>
      </c>
      <c r="D683">
        <v>2.2933599999999998</v>
      </c>
      <c r="E683">
        <v>2.2933599999999998</v>
      </c>
      <c r="F683">
        <v>2.2933599999999998</v>
      </c>
    </row>
    <row r="684" spans="1:6">
      <c r="A684" t="s">
        <v>2958</v>
      </c>
      <c r="B684" t="s">
        <v>2957</v>
      </c>
      <c r="C684">
        <v>1</v>
      </c>
      <c r="D684">
        <v>2.2922099999999999</v>
      </c>
      <c r="E684">
        <v>2.2922099999999999</v>
      </c>
      <c r="F684">
        <v>2.2922099999999999</v>
      </c>
    </row>
    <row r="685" spans="1:6">
      <c r="A685" t="s">
        <v>2962</v>
      </c>
      <c r="B685" t="s">
        <v>2961</v>
      </c>
      <c r="C685">
        <v>1</v>
      </c>
      <c r="D685">
        <v>2.2852098999999999</v>
      </c>
      <c r="E685">
        <v>2.2852098999999999</v>
      </c>
      <c r="F685">
        <v>2.2852098999999999</v>
      </c>
    </row>
    <row r="686" spans="1:6">
      <c r="A686" t="s">
        <v>2967</v>
      </c>
      <c r="B686" t="s">
        <v>2966</v>
      </c>
      <c r="C686">
        <v>1</v>
      </c>
      <c r="D686">
        <v>2.2776597999999999</v>
      </c>
      <c r="E686">
        <v>2.2776597999999999</v>
      </c>
      <c r="F686">
        <v>2.2776597999999999</v>
      </c>
    </row>
    <row r="687" spans="1:6">
      <c r="A687" t="s">
        <v>2971</v>
      </c>
      <c r="B687" t="s">
        <v>2970</v>
      </c>
      <c r="C687">
        <v>1</v>
      </c>
      <c r="D687">
        <v>2.2668499999999998</v>
      </c>
      <c r="E687">
        <v>2.2668499999999998</v>
      </c>
      <c r="F687">
        <v>2.2668499999999998</v>
      </c>
    </row>
    <row r="688" spans="1:6">
      <c r="A688" t="s">
        <v>2975</v>
      </c>
      <c r="B688" t="s">
        <v>2974</v>
      </c>
      <c r="C688">
        <v>1</v>
      </c>
      <c r="D688">
        <v>2.2645499999999998</v>
      </c>
      <c r="E688">
        <v>2.2645499999999998</v>
      </c>
      <c r="F688">
        <v>2.2645499999999998</v>
      </c>
    </row>
    <row r="689" spans="1:6">
      <c r="A689" t="s">
        <v>2979</v>
      </c>
      <c r="B689" t="s">
        <v>2978</v>
      </c>
      <c r="C689">
        <v>1</v>
      </c>
      <c r="D689">
        <v>2.2635100000000001</v>
      </c>
      <c r="E689">
        <v>2.2635100000000001</v>
      </c>
      <c r="F689">
        <v>2.2635100000000001</v>
      </c>
    </row>
    <row r="690" spans="1:6">
      <c r="A690" t="s">
        <v>2984</v>
      </c>
      <c r="B690" t="s">
        <v>2983</v>
      </c>
      <c r="C690">
        <v>1</v>
      </c>
      <c r="D690">
        <v>2.2628800999999998</v>
      </c>
      <c r="E690">
        <v>2.2628800999999998</v>
      </c>
      <c r="F690">
        <v>2.2628800999999998</v>
      </c>
    </row>
    <row r="691" spans="1:6">
      <c r="A691" t="s">
        <v>2988</v>
      </c>
      <c r="B691" t="s">
        <v>2987</v>
      </c>
      <c r="C691">
        <v>1</v>
      </c>
      <c r="D691">
        <v>2.2459199999999999</v>
      </c>
      <c r="E691">
        <v>2.2459199999999999</v>
      </c>
      <c r="F691">
        <v>2.2459199999999999</v>
      </c>
    </row>
    <row r="692" spans="1:6">
      <c r="A692" t="s">
        <v>2992</v>
      </c>
      <c r="B692" t="s">
        <v>2991</v>
      </c>
      <c r="C692">
        <v>1</v>
      </c>
      <c r="D692">
        <v>2.2388699000000001</v>
      </c>
      <c r="E692">
        <v>2.2388699000000001</v>
      </c>
      <c r="F692">
        <v>2.2388699000000001</v>
      </c>
    </row>
    <row r="693" spans="1:6">
      <c r="A693" t="s">
        <v>2996</v>
      </c>
      <c r="B693" t="s">
        <v>2995</v>
      </c>
      <c r="C693">
        <v>1</v>
      </c>
      <c r="D693">
        <v>2.2187700000000001</v>
      </c>
      <c r="E693">
        <v>2.2187700000000001</v>
      </c>
      <c r="F693">
        <v>2.2187700000000001</v>
      </c>
    </row>
    <row r="694" spans="1:6">
      <c r="A694" t="s">
        <v>3000</v>
      </c>
      <c r="B694" t="s">
        <v>2999</v>
      </c>
      <c r="C694">
        <v>1</v>
      </c>
      <c r="D694">
        <v>2.2097598999999999</v>
      </c>
      <c r="E694">
        <v>2.2097598999999999</v>
      </c>
      <c r="F694">
        <v>2.2097598999999999</v>
      </c>
    </row>
    <row r="695" spans="1:6">
      <c r="A695" t="s">
        <v>3002</v>
      </c>
      <c r="B695" t="s">
        <v>3001</v>
      </c>
      <c r="C695">
        <v>1</v>
      </c>
      <c r="D695">
        <v>2.2087099000000001</v>
      </c>
      <c r="E695">
        <v>2.2087099000000001</v>
      </c>
      <c r="F695">
        <v>2.2087099000000001</v>
      </c>
    </row>
    <row r="696" spans="1:6">
      <c r="A696" t="s">
        <v>3004</v>
      </c>
      <c r="B696" t="s">
        <v>3003</v>
      </c>
      <c r="C696">
        <v>1</v>
      </c>
      <c r="D696">
        <v>2.2030699999999999</v>
      </c>
      <c r="E696">
        <v>2.2030699999999999</v>
      </c>
      <c r="F696">
        <v>2.2030699999999999</v>
      </c>
    </row>
    <row r="697" spans="1:6">
      <c r="A697" t="s">
        <v>3008</v>
      </c>
      <c r="B697" t="s">
        <v>3007</v>
      </c>
      <c r="C697">
        <v>1</v>
      </c>
      <c r="D697">
        <v>2.1876799999999998</v>
      </c>
      <c r="E697">
        <v>2.1876799999999998</v>
      </c>
      <c r="F697">
        <v>2.1876799999999998</v>
      </c>
    </row>
    <row r="698" spans="1:6">
      <c r="A698" t="s">
        <v>3012</v>
      </c>
      <c r="B698" t="s">
        <v>3011</v>
      </c>
      <c r="C698">
        <v>1</v>
      </c>
      <c r="D698">
        <v>2.1786300000000001</v>
      </c>
      <c r="E698">
        <v>2.1786300000000001</v>
      </c>
      <c r="F698">
        <v>2.1786300000000001</v>
      </c>
    </row>
    <row r="699" spans="1:6">
      <c r="A699" t="s">
        <v>3016</v>
      </c>
      <c r="B699" t="s">
        <v>3015</v>
      </c>
      <c r="C699">
        <v>1</v>
      </c>
      <c r="D699">
        <v>2.1652800999999999</v>
      </c>
      <c r="E699">
        <v>2.1652800999999999</v>
      </c>
      <c r="F699">
        <v>2.1652800999999999</v>
      </c>
    </row>
    <row r="700" spans="1:6">
      <c r="A700" t="s">
        <v>3020</v>
      </c>
      <c r="B700" t="s">
        <v>3019</v>
      </c>
      <c r="C700">
        <v>1</v>
      </c>
      <c r="D700">
        <v>2.14011</v>
      </c>
      <c r="E700">
        <v>2.14011</v>
      </c>
      <c r="F700">
        <v>2.14011</v>
      </c>
    </row>
    <row r="701" spans="1:6">
      <c r="A701" t="s">
        <v>3024</v>
      </c>
      <c r="B701" t="s">
        <v>3023</v>
      </c>
      <c r="C701">
        <v>1</v>
      </c>
      <c r="D701">
        <v>2.1258398999999999</v>
      </c>
      <c r="E701">
        <v>2.1258398999999999</v>
      </c>
      <c r="F701">
        <v>2.1258398999999999</v>
      </c>
    </row>
    <row r="702" spans="1:6">
      <c r="A702" t="s">
        <v>3026</v>
      </c>
      <c r="B702" t="s">
        <v>3025</v>
      </c>
      <c r="C702">
        <v>1</v>
      </c>
      <c r="D702">
        <v>2.10819</v>
      </c>
      <c r="E702">
        <v>2.10819</v>
      </c>
      <c r="F702">
        <v>2.10819</v>
      </c>
    </row>
    <row r="703" spans="1:6">
      <c r="A703" t="s">
        <v>3028</v>
      </c>
      <c r="B703" t="s">
        <v>3027</v>
      </c>
      <c r="C703">
        <v>1</v>
      </c>
      <c r="D703">
        <v>2.0819700000000001</v>
      </c>
      <c r="E703">
        <v>2.0819700000000001</v>
      </c>
      <c r="F703">
        <v>2.0819700000000001</v>
      </c>
    </row>
    <row r="704" spans="1:6">
      <c r="A704" t="s">
        <v>3032</v>
      </c>
      <c r="B704" t="s">
        <v>3031</v>
      </c>
      <c r="C704">
        <v>1</v>
      </c>
      <c r="D704">
        <v>2.0518702000000002</v>
      </c>
      <c r="E704">
        <v>2.0518702000000002</v>
      </c>
      <c r="F704">
        <v>2.0518702000000002</v>
      </c>
    </row>
    <row r="705" spans="1:6">
      <c r="A705" t="s">
        <v>3036</v>
      </c>
      <c r="B705" t="s">
        <v>3035</v>
      </c>
      <c r="C705">
        <v>1</v>
      </c>
      <c r="D705">
        <v>2.0473002</v>
      </c>
      <c r="E705">
        <v>2.0473002</v>
      </c>
      <c r="F705">
        <v>2.0473002</v>
      </c>
    </row>
    <row r="706" spans="1:6">
      <c r="A706" t="s">
        <v>3038</v>
      </c>
      <c r="B706" t="s">
        <v>3037</v>
      </c>
      <c r="C706">
        <v>1</v>
      </c>
      <c r="D706">
        <v>1.9818800000000001</v>
      </c>
      <c r="E706">
        <v>1.9818800000000001</v>
      </c>
      <c r="F706">
        <v>1.9818800000000001</v>
      </c>
    </row>
    <row r="707" spans="1:6">
      <c r="A707" t="s">
        <v>3042</v>
      </c>
      <c r="B707" t="s">
        <v>3041</v>
      </c>
      <c r="C707">
        <v>1</v>
      </c>
      <c r="D707">
        <v>1.9506699999999999</v>
      </c>
      <c r="E707">
        <v>1.9506699999999999</v>
      </c>
      <c r="F707">
        <v>1.9506699999999999</v>
      </c>
    </row>
    <row r="708" spans="1:6">
      <c r="A708" t="s">
        <v>3046</v>
      </c>
      <c r="B708" t="s">
        <v>3045</v>
      </c>
      <c r="C708">
        <v>1</v>
      </c>
      <c r="D708">
        <v>1.9366000000000001</v>
      </c>
      <c r="E708">
        <v>1.9366000000000001</v>
      </c>
      <c r="F708">
        <v>1.9366000000000001</v>
      </c>
    </row>
    <row r="709" spans="1:6">
      <c r="A709" t="s">
        <v>3050</v>
      </c>
      <c r="B709" t="s">
        <v>3049</v>
      </c>
      <c r="C709">
        <v>1</v>
      </c>
      <c r="D709">
        <v>1.9232899999999999</v>
      </c>
      <c r="E709">
        <v>1.9232899999999999</v>
      </c>
      <c r="F709">
        <v>1.9232899999999999</v>
      </c>
    </row>
    <row r="710" spans="1:6">
      <c r="A710" t="s">
        <v>3054</v>
      </c>
      <c r="B710" t="s">
        <v>3053</v>
      </c>
      <c r="C710">
        <v>1</v>
      </c>
      <c r="D710">
        <v>1.9096500000000001</v>
      </c>
      <c r="E710">
        <v>1.9096500000000001</v>
      </c>
      <c r="F710">
        <v>1.9096500000000001</v>
      </c>
    </row>
    <row r="711" spans="1:6">
      <c r="A711" t="s">
        <v>3058</v>
      </c>
      <c r="B711" t="s">
        <v>3057</v>
      </c>
      <c r="C711">
        <v>1</v>
      </c>
      <c r="D711">
        <v>1.8996200999999999</v>
      </c>
      <c r="E711">
        <v>1.8996200999999999</v>
      </c>
      <c r="F711">
        <v>1.8996200999999999</v>
      </c>
    </row>
    <row r="712" spans="1:6">
      <c r="A712" t="s">
        <v>3062</v>
      </c>
      <c r="B712" t="s">
        <v>3061</v>
      </c>
      <c r="C712">
        <v>1</v>
      </c>
      <c r="D712">
        <v>1.8919600000000001</v>
      </c>
      <c r="E712">
        <v>1.8919600000000001</v>
      </c>
      <c r="F712">
        <v>1.8919600000000001</v>
      </c>
    </row>
    <row r="713" spans="1:6">
      <c r="A713" t="s">
        <v>3064</v>
      </c>
      <c r="B713" t="s">
        <v>3063</v>
      </c>
      <c r="C713">
        <v>1</v>
      </c>
      <c r="D713">
        <v>1.88032</v>
      </c>
      <c r="E713">
        <v>1.88032</v>
      </c>
      <c r="F713">
        <v>1.88032</v>
      </c>
    </row>
    <row r="714" spans="1:6">
      <c r="A714" t="s">
        <v>3068</v>
      </c>
      <c r="B714" t="s">
        <v>3067</v>
      </c>
      <c r="C714">
        <v>1</v>
      </c>
      <c r="D714">
        <v>1.87283</v>
      </c>
      <c r="E714">
        <v>1.87283</v>
      </c>
      <c r="F714">
        <v>1.87283</v>
      </c>
    </row>
    <row r="715" spans="1:6">
      <c r="A715" t="s">
        <v>3072</v>
      </c>
      <c r="B715" t="s">
        <v>3071</v>
      </c>
      <c r="C715">
        <v>1</v>
      </c>
      <c r="D715">
        <v>1.8652299999999999</v>
      </c>
      <c r="E715">
        <v>1.8652299999999999</v>
      </c>
      <c r="F715">
        <v>1.8652299999999999</v>
      </c>
    </row>
    <row r="716" spans="1:6">
      <c r="A716" t="s">
        <v>3074</v>
      </c>
      <c r="B716" t="s">
        <v>3073</v>
      </c>
      <c r="C716">
        <v>1</v>
      </c>
      <c r="D716">
        <v>1.8429500000000001</v>
      </c>
      <c r="E716">
        <v>1.8429500000000001</v>
      </c>
      <c r="F716">
        <v>1.8429500000000001</v>
      </c>
    </row>
    <row r="717" spans="1:6">
      <c r="A717" t="s">
        <v>3076</v>
      </c>
      <c r="B717" t="s">
        <v>3075</v>
      </c>
      <c r="C717">
        <v>1</v>
      </c>
      <c r="D717">
        <v>1.8217300999999999</v>
      </c>
      <c r="E717">
        <v>1.8217300999999999</v>
      </c>
      <c r="F717">
        <v>1.8217300999999999</v>
      </c>
    </row>
    <row r="718" spans="1:6">
      <c r="A718" t="s">
        <v>3078</v>
      </c>
      <c r="B718" t="s">
        <v>3077</v>
      </c>
      <c r="C718">
        <v>1</v>
      </c>
      <c r="D718">
        <v>1.8215701</v>
      </c>
      <c r="E718">
        <v>1.8215701</v>
      </c>
      <c r="F718">
        <v>1.8215701</v>
      </c>
    </row>
    <row r="719" spans="1:6">
      <c r="A719" t="s">
        <v>3080</v>
      </c>
      <c r="B719" t="s">
        <v>3079</v>
      </c>
      <c r="C719">
        <v>1</v>
      </c>
      <c r="D719">
        <v>1.7986799</v>
      </c>
      <c r="E719">
        <v>1.7986799</v>
      </c>
      <c r="F719">
        <v>1.7986799</v>
      </c>
    </row>
    <row r="720" spans="1:6">
      <c r="A720" t="s">
        <v>3082</v>
      </c>
      <c r="B720" t="s">
        <v>3081</v>
      </c>
      <c r="C720">
        <v>1</v>
      </c>
      <c r="D720">
        <v>1.79539</v>
      </c>
      <c r="E720">
        <v>1.79539</v>
      </c>
      <c r="F720">
        <v>1.79539</v>
      </c>
    </row>
    <row r="721" spans="1:6">
      <c r="A721" t="s">
        <v>3086</v>
      </c>
      <c r="B721" t="s">
        <v>3085</v>
      </c>
      <c r="C721">
        <v>1</v>
      </c>
      <c r="D721">
        <v>1.71688</v>
      </c>
      <c r="E721">
        <v>1.71688</v>
      </c>
      <c r="F721">
        <v>1.71688</v>
      </c>
    </row>
    <row r="722" spans="1:6">
      <c r="A722" t="s">
        <v>3088</v>
      </c>
      <c r="B722" t="s">
        <v>3087</v>
      </c>
      <c r="C722">
        <v>1</v>
      </c>
      <c r="D722">
        <v>1.6842900000000001</v>
      </c>
      <c r="E722">
        <v>1.6842900000000001</v>
      </c>
      <c r="F722">
        <v>1.6842900000000001</v>
      </c>
    </row>
    <row r="723" spans="1:6">
      <c r="A723" t="s">
        <v>3092</v>
      </c>
      <c r="B723" t="s">
        <v>3091</v>
      </c>
      <c r="C723">
        <v>1</v>
      </c>
      <c r="D723">
        <v>1.59426</v>
      </c>
      <c r="E723">
        <v>1.59426</v>
      </c>
      <c r="F723">
        <v>1.59426</v>
      </c>
    </row>
    <row r="724" spans="1:6">
      <c r="A724" t="s">
        <v>3096</v>
      </c>
      <c r="B724" t="s">
        <v>3095</v>
      </c>
      <c r="C724">
        <v>1</v>
      </c>
      <c r="D724">
        <v>1.54027</v>
      </c>
      <c r="E724">
        <v>1.54027</v>
      </c>
      <c r="F724">
        <v>1.54027</v>
      </c>
    </row>
    <row r="725" spans="1:6">
      <c r="A725" t="s">
        <v>3100</v>
      </c>
      <c r="B725" t="s">
        <v>3099</v>
      </c>
      <c r="C725">
        <v>1</v>
      </c>
      <c r="D725">
        <v>1.4631500500000001</v>
      </c>
      <c r="E725">
        <v>1.4631500500000001</v>
      </c>
      <c r="F725">
        <v>1.4631500500000001</v>
      </c>
    </row>
    <row r="726" spans="1:6">
      <c r="A726" t="s">
        <v>3104</v>
      </c>
      <c r="B726" t="s">
        <v>3103</v>
      </c>
      <c r="C726">
        <v>1</v>
      </c>
      <c r="D726">
        <v>1.4573898999999999</v>
      </c>
      <c r="E726">
        <v>1.4573898999999999</v>
      </c>
      <c r="F726">
        <v>1.4573898999999999</v>
      </c>
    </row>
    <row r="727" spans="1:6">
      <c r="A727" t="s">
        <v>3106</v>
      </c>
      <c r="B727" t="s">
        <v>3105</v>
      </c>
      <c r="C727">
        <v>1</v>
      </c>
      <c r="D727">
        <v>1.4258200000000001</v>
      </c>
      <c r="E727">
        <v>1.4258200000000001</v>
      </c>
      <c r="F727">
        <v>1.4258200000000001</v>
      </c>
    </row>
    <row r="728" spans="1:6">
      <c r="A728" t="s">
        <v>3110</v>
      </c>
      <c r="B728" t="s">
        <v>3109</v>
      </c>
      <c r="C728">
        <v>1</v>
      </c>
      <c r="D728">
        <v>1.41771</v>
      </c>
      <c r="E728">
        <v>1.41771</v>
      </c>
      <c r="F728">
        <v>1.41771</v>
      </c>
    </row>
    <row r="729" spans="1:6">
      <c r="A729" t="s">
        <v>3114</v>
      </c>
      <c r="B729" t="s">
        <v>3113</v>
      </c>
      <c r="C729">
        <v>1</v>
      </c>
      <c r="D729">
        <v>1.4166700000000001</v>
      </c>
      <c r="E729">
        <v>1.4166700000000001</v>
      </c>
      <c r="F729">
        <v>1.4166700000000001</v>
      </c>
    </row>
    <row r="730" spans="1:6">
      <c r="A730" t="s">
        <v>3118</v>
      </c>
      <c r="B730" t="s">
        <v>3117</v>
      </c>
      <c r="C730">
        <v>1</v>
      </c>
      <c r="D730">
        <v>1.2945800000000001</v>
      </c>
      <c r="E730">
        <v>1.2945800000000001</v>
      </c>
      <c r="F730">
        <v>1.2945800000000001</v>
      </c>
    </row>
    <row r="731" spans="1:6">
      <c r="A731" t="s">
        <v>3122</v>
      </c>
      <c r="B731" t="s">
        <v>3121</v>
      </c>
      <c r="C731">
        <v>1</v>
      </c>
      <c r="D731">
        <v>1.2725499</v>
      </c>
      <c r="E731">
        <v>1.2725499</v>
      </c>
      <c r="F731">
        <v>1.2725499</v>
      </c>
    </row>
    <row r="732" spans="1:6">
      <c r="A732" t="s">
        <v>3126</v>
      </c>
      <c r="B732" t="s">
        <v>3125</v>
      </c>
      <c r="C732">
        <v>1</v>
      </c>
      <c r="D732">
        <v>1.2570699999999999</v>
      </c>
      <c r="E732">
        <v>1.2570699999999999</v>
      </c>
      <c r="F732">
        <v>1.2570699999999999</v>
      </c>
    </row>
    <row r="733" spans="1:6">
      <c r="A733" t="s">
        <v>3130</v>
      </c>
      <c r="B733" t="s">
        <v>3129</v>
      </c>
      <c r="C733">
        <v>1</v>
      </c>
      <c r="D733">
        <v>1.2211501</v>
      </c>
      <c r="E733">
        <v>1.2211501</v>
      </c>
      <c r="F733">
        <v>1.2211501</v>
      </c>
    </row>
    <row r="734" spans="1:6">
      <c r="A734" t="s">
        <v>3134</v>
      </c>
      <c r="B734" t="s">
        <v>3133</v>
      </c>
      <c r="C734">
        <v>1</v>
      </c>
      <c r="D734">
        <v>1.22038</v>
      </c>
      <c r="E734">
        <v>1.22038</v>
      </c>
      <c r="F734">
        <v>1.22038</v>
      </c>
    </row>
    <row r="735" spans="1:6">
      <c r="A735" t="s">
        <v>3138</v>
      </c>
      <c r="B735" t="s">
        <v>3137</v>
      </c>
      <c r="C735">
        <v>1</v>
      </c>
      <c r="D735">
        <v>1.18581</v>
      </c>
      <c r="E735">
        <v>1.18581</v>
      </c>
      <c r="F735">
        <v>1.18581</v>
      </c>
    </row>
    <row r="736" spans="1:6">
      <c r="A736" t="s">
        <v>3140</v>
      </c>
      <c r="B736" t="s">
        <v>3139</v>
      </c>
      <c r="C736">
        <v>1</v>
      </c>
      <c r="D736">
        <v>1.05000995</v>
      </c>
      <c r="E736">
        <v>1.05000995</v>
      </c>
      <c r="F736">
        <v>1.05000995</v>
      </c>
    </row>
    <row r="737" spans="1:6">
      <c r="A737" t="s">
        <v>130</v>
      </c>
      <c r="B737" t="s">
        <v>3143</v>
      </c>
      <c r="C737">
        <v>1</v>
      </c>
      <c r="D737">
        <v>1.0052319999999999</v>
      </c>
      <c r="E737">
        <v>1.0052319999999999</v>
      </c>
      <c r="F737">
        <v>1.0052319999999999</v>
      </c>
    </row>
    <row r="738" spans="1:6">
      <c r="A738" t="s">
        <v>3146</v>
      </c>
      <c r="B738" t="s">
        <v>3145</v>
      </c>
      <c r="C738">
        <v>1</v>
      </c>
      <c r="D738">
        <v>0.99215999999999993</v>
      </c>
      <c r="E738">
        <v>0.99215999999999993</v>
      </c>
      <c r="F738">
        <v>0.99215999999999993</v>
      </c>
    </row>
    <row r="739" spans="1:6">
      <c r="A739" t="s">
        <v>3150</v>
      </c>
      <c r="B739" t="s">
        <v>3149</v>
      </c>
      <c r="C739">
        <v>1</v>
      </c>
      <c r="D739">
        <v>0.98211999999999999</v>
      </c>
      <c r="E739">
        <v>0.98211999999999999</v>
      </c>
      <c r="F739">
        <v>0.98211999999999999</v>
      </c>
    </row>
    <row r="740" spans="1:6">
      <c r="A740" t="s">
        <v>3154</v>
      </c>
      <c r="B740" t="s">
        <v>3153</v>
      </c>
      <c r="C740">
        <v>1</v>
      </c>
      <c r="D740">
        <v>0.97336</v>
      </c>
      <c r="E740">
        <v>0.97336</v>
      </c>
      <c r="F740">
        <v>0.97336</v>
      </c>
    </row>
    <row r="741" spans="1:6">
      <c r="A741" t="s">
        <v>3158</v>
      </c>
      <c r="B741" t="s">
        <v>3157</v>
      </c>
      <c r="C741">
        <v>1</v>
      </c>
      <c r="D741">
        <v>0.90125</v>
      </c>
      <c r="E741">
        <v>0.90125</v>
      </c>
      <c r="F741">
        <v>0.90125</v>
      </c>
    </row>
    <row r="742" spans="1:6">
      <c r="A742" t="s">
        <v>3163</v>
      </c>
      <c r="B742" t="s">
        <v>3162</v>
      </c>
      <c r="C742">
        <v>1</v>
      </c>
      <c r="D742">
        <v>0.88155000000000006</v>
      </c>
      <c r="E742">
        <v>0.88155000000000006</v>
      </c>
      <c r="F742">
        <v>0.88155000000000006</v>
      </c>
    </row>
    <row r="743" spans="1:6">
      <c r="A743" t="s">
        <v>3165</v>
      </c>
      <c r="B743" t="s">
        <v>3164</v>
      </c>
      <c r="C743">
        <v>1</v>
      </c>
      <c r="D743">
        <v>0.86053999999999986</v>
      </c>
      <c r="E743">
        <v>0.86053999999999986</v>
      </c>
      <c r="F743">
        <v>0.86053999999999986</v>
      </c>
    </row>
    <row r="744" spans="1:6">
      <c r="A744" t="s">
        <v>3167</v>
      </c>
      <c r="B744" t="s">
        <v>3166</v>
      </c>
      <c r="C744">
        <v>1</v>
      </c>
      <c r="D744">
        <v>0.86041000000000001</v>
      </c>
      <c r="E744">
        <v>0.86041000000000001</v>
      </c>
      <c r="F744">
        <v>0.86041000000000001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57"/>
  <sheetViews>
    <sheetView workbookViewId="0"/>
  </sheetViews>
  <sheetFormatPr defaultRowHeight="15"/>
  <sheetData>
    <row r="1" spans="1:7">
      <c r="A1" s="1" t="s">
        <v>3168</v>
      </c>
      <c r="B1" s="1" t="s">
        <v>3174</v>
      </c>
      <c r="C1" s="1" t="s">
        <v>0</v>
      </c>
      <c r="D1" s="1" t="s">
        <v>3177</v>
      </c>
      <c r="E1" s="1" t="s">
        <v>3178</v>
      </c>
      <c r="F1" s="1" t="s">
        <v>3179</v>
      </c>
      <c r="G1" s="1" t="s">
        <v>3180</v>
      </c>
    </row>
    <row r="2" spans="1:7">
      <c r="A2" t="s">
        <v>6</v>
      </c>
      <c r="B2" t="s">
        <v>442</v>
      </c>
      <c r="C2" t="s">
        <v>441</v>
      </c>
      <c r="D2">
        <v>4.3214303000000003E-2</v>
      </c>
      <c r="E2" t="s">
        <v>443</v>
      </c>
      <c r="F2" t="s">
        <v>444</v>
      </c>
      <c r="G2" t="s">
        <v>445</v>
      </c>
    </row>
    <row r="3" spans="1:7">
      <c r="A3" t="s">
        <v>6</v>
      </c>
      <c r="B3" t="s">
        <v>467</v>
      </c>
      <c r="C3" t="s">
        <v>466</v>
      </c>
      <c r="D3">
        <v>3.7651799999999999E-2</v>
      </c>
      <c r="E3" t="s">
        <v>443</v>
      </c>
      <c r="F3" t="s">
        <v>468</v>
      </c>
      <c r="G3" t="s">
        <v>469</v>
      </c>
    </row>
    <row r="4" spans="1:7">
      <c r="A4" t="s">
        <v>6</v>
      </c>
      <c r="B4" t="s">
        <v>463</v>
      </c>
      <c r="C4" t="s">
        <v>462</v>
      </c>
      <c r="D4">
        <v>3.6534900000000002E-2</v>
      </c>
      <c r="E4" t="s">
        <v>443</v>
      </c>
      <c r="F4" t="s">
        <v>464</v>
      </c>
      <c r="G4" t="s">
        <v>465</v>
      </c>
    </row>
    <row r="5" spans="1:7">
      <c r="A5" t="s">
        <v>6</v>
      </c>
      <c r="B5" t="s">
        <v>492</v>
      </c>
      <c r="C5" t="s">
        <v>491</v>
      </c>
      <c r="D5">
        <v>3.5395799999999998E-2</v>
      </c>
      <c r="E5" t="s">
        <v>443</v>
      </c>
      <c r="F5" t="s">
        <v>493</v>
      </c>
      <c r="G5" t="s">
        <v>494</v>
      </c>
    </row>
    <row r="6" spans="1:7">
      <c r="A6" t="s">
        <v>6</v>
      </c>
      <c r="B6" t="s">
        <v>459</v>
      </c>
      <c r="C6" t="s">
        <v>458</v>
      </c>
      <c r="D6">
        <v>3.1309900000000002E-2</v>
      </c>
      <c r="E6" t="s">
        <v>443</v>
      </c>
      <c r="F6" t="s">
        <v>460</v>
      </c>
      <c r="G6" t="s">
        <v>461</v>
      </c>
    </row>
    <row r="7" spans="1:7">
      <c r="A7" t="s">
        <v>6</v>
      </c>
      <c r="B7" t="s">
        <v>475</v>
      </c>
      <c r="C7" t="s">
        <v>474</v>
      </c>
      <c r="D7">
        <v>3.0855400000000002E-2</v>
      </c>
      <c r="E7" t="s">
        <v>443</v>
      </c>
      <c r="F7" t="s">
        <v>476</v>
      </c>
      <c r="G7" t="s">
        <v>477</v>
      </c>
    </row>
    <row r="8" spans="1:7">
      <c r="A8" t="s">
        <v>6</v>
      </c>
      <c r="B8" t="s">
        <v>455</v>
      </c>
      <c r="C8" t="s">
        <v>454</v>
      </c>
      <c r="D8">
        <v>2.9317200000000002E-2</v>
      </c>
      <c r="E8" t="s">
        <v>443</v>
      </c>
      <c r="F8" t="s">
        <v>456</v>
      </c>
      <c r="G8" t="s">
        <v>457</v>
      </c>
    </row>
    <row r="9" spans="1:7">
      <c r="A9" t="s">
        <v>6</v>
      </c>
      <c r="B9" t="s">
        <v>683</v>
      </c>
      <c r="C9" t="s">
        <v>682</v>
      </c>
      <c r="D9">
        <v>2.6198798999999998E-2</v>
      </c>
      <c r="E9" t="s">
        <v>585</v>
      </c>
      <c r="F9" t="s">
        <v>684</v>
      </c>
      <c r="G9" t="s">
        <v>685</v>
      </c>
    </row>
    <row r="10" spans="1:7">
      <c r="A10" t="s">
        <v>6</v>
      </c>
      <c r="B10" t="s">
        <v>608</v>
      </c>
      <c r="C10" t="s">
        <v>607</v>
      </c>
      <c r="D10">
        <v>2.4705600000000001E-2</v>
      </c>
      <c r="E10" t="s">
        <v>489</v>
      </c>
      <c r="F10" t="s">
        <v>490</v>
      </c>
      <c r="G10" t="s">
        <v>490</v>
      </c>
    </row>
    <row r="11" spans="1:7">
      <c r="A11" t="s">
        <v>6</v>
      </c>
      <c r="B11" t="s">
        <v>451</v>
      </c>
      <c r="C11" t="s">
        <v>450</v>
      </c>
      <c r="D11">
        <v>2.3338300999999999E-2</v>
      </c>
      <c r="E11" t="s">
        <v>443</v>
      </c>
      <c r="F11" t="s">
        <v>452</v>
      </c>
      <c r="G11" t="s">
        <v>453</v>
      </c>
    </row>
    <row r="12" spans="1:7">
      <c r="A12" t="s">
        <v>7</v>
      </c>
      <c r="B12" t="s">
        <v>442</v>
      </c>
      <c r="C12" t="s">
        <v>441</v>
      </c>
      <c r="D12">
        <v>8.5628599999999999E-2</v>
      </c>
      <c r="E12" t="s">
        <v>443</v>
      </c>
      <c r="F12" t="s">
        <v>444</v>
      </c>
      <c r="G12" t="s">
        <v>445</v>
      </c>
    </row>
    <row r="13" spans="1:7">
      <c r="A13" t="s">
        <v>7</v>
      </c>
      <c r="B13" t="s">
        <v>475</v>
      </c>
      <c r="C13" t="s">
        <v>474</v>
      </c>
      <c r="D13">
        <v>5.4418201999999999E-2</v>
      </c>
      <c r="E13" t="s">
        <v>443</v>
      </c>
      <c r="F13" t="s">
        <v>476</v>
      </c>
      <c r="G13" t="s">
        <v>477</v>
      </c>
    </row>
    <row r="14" spans="1:7">
      <c r="A14" t="s">
        <v>7</v>
      </c>
      <c r="B14" t="s">
        <v>467</v>
      </c>
      <c r="C14" t="s">
        <v>466</v>
      </c>
      <c r="D14">
        <v>5.1901101999999998E-2</v>
      </c>
      <c r="E14" t="s">
        <v>443</v>
      </c>
      <c r="F14" t="s">
        <v>468</v>
      </c>
      <c r="G14" t="s">
        <v>469</v>
      </c>
    </row>
    <row r="15" spans="1:7">
      <c r="A15" t="s">
        <v>7</v>
      </c>
      <c r="B15" t="s">
        <v>455</v>
      </c>
      <c r="C15" t="s">
        <v>454</v>
      </c>
      <c r="D15">
        <v>3.3210598000000001E-2</v>
      </c>
      <c r="E15" t="s">
        <v>443</v>
      </c>
      <c r="F15" t="s">
        <v>456</v>
      </c>
      <c r="G15" t="s">
        <v>457</v>
      </c>
    </row>
    <row r="16" spans="1:7">
      <c r="A16" t="s">
        <v>7</v>
      </c>
      <c r="B16" t="s">
        <v>459</v>
      </c>
      <c r="C16" t="s">
        <v>458</v>
      </c>
      <c r="D16">
        <v>3.21018E-2</v>
      </c>
      <c r="E16" t="s">
        <v>443</v>
      </c>
      <c r="F16" t="s">
        <v>460</v>
      </c>
      <c r="G16" t="s">
        <v>461</v>
      </c>
    </row>
    <row r="17" spans="1:7">
      <c r="A17" t="s">
        <v>7</v>
      </c>
      <c r="B17" t="s">
        <v>496</v>
      </c>
      <c r="C17" t="s">
        <v>495</v>
      </c>
      <c r="D17">
        <v>3.1194400000000001E-2</v>
      </c>
      <c r="E17" t="s">
        <v>443</v>
      </c>
      <c r="F17" t="s">
        <v>497</v>
      </c>
      <c r="G17" t="s">
        <v>498</v>
      </c>
    </row>
    <row r="18" spans="1:7">
      <c r="A18" t="s">
        <v>7</v>
      </c>
      <c r="B18" t="s">
        <v>463</v>
      </c>
      <c r="C18" t="s">
        <v>462</v>
      </c>
      <c r="D18">
        <v>3.0595600000000001E-2</v>
      </c>
      <c r="E18" t="s">
        <v>443</v>
      </c>
      <c r="F18" t="s">
        <v>464</v>
      </c>
      <c r="G18" t="s">
        <v>465</v>
      </c>
    </row>
    <row r="19" spans="1:7">
      <c r="A19" t="s">
        <v>7</v>
      </c>
      <c r="B19" t="s">
        <v>541</v>
      </c>
      <c r="C19" t="s">
        <v>540</v>
      </c>
      <c r="D19">
        <v>2.6946198000000001E-2</v>
      </c>
      <c r="E19" t="s">
        <v>443</v>
      </c>
      <c r="F19" t="s">
        <v>542</v>
      </c>
      <c r="G19" t="s">
        <v>543</v>
      </c>
    </row>
    <row r="20" spans="1:7">
      <c r="A20" t="s">
        <v>7</v>
      </c>
      <c r="B20" t="s">
        <v>492</v>
      </c>
      <c r="C20" t="s">
        <v>491</v>
      </c>
      <c r="D20">
        <v>2.2291600000000002E-2</v>
      </c>
      <c r="E20" t="s">
        <v>443</v>
      </c>
      <c r="F20" t="s">
        <v>493</v>
      </c>
      <c r="G20" t="s">
        <v>494</v>
      </c>
    </row>
    <row r="21" spans="1:7">
      <c r="A21" t="s">
        <v>7</v>
      </c>
      <c r="B21" t="s">
        <v>447</v>
      </c>
      <c r="C21" t="s">
        <v>446</v>
      </c>
      <c r="D21">
        <v>2.2007100000000002E-2</v>
      </c>
      <c r="E21" t="s">
        <v>443</v>
      </c>
      <c r="F21" t="s">
        <v>448</v>
      </c>
      <c r="G21" t="s">
        <v>449</v>
      </c>
    </row>
    <row r="22" spans="1:7">
      <c r="A22" t="s">
        <v>8</v>
      </c>
      <c r="B22" t="s">
        <v>447</v>
      </c>
      <c r="C22" t="s">
        <v>446</v>
      </c>
      <c r="D22">
        <v>6.7025199999999993E-2</v>
      </c>
      <c r="E22" t="s">
        <v>443</v>
      </c>
      <c r="F22" t="s">
        <v>448</v>
      </c>
      <c r="G22" t="s">
        <v>449</v>
      </c>
    </row>
    <row r="23" spans="1:7">
      <c r="A23" t="s">
        <v>8</v>
      </c>
      <c r="B23" t="s">
        <v>442</v>
      </c>
      <c r="C23" t="s">
        <v>441</v>
      </c>
      <c r="D23">
        <v>6.5760105999999999E-2</v>
      </c>
      <c r="E23" t="s">
        <v>443</v>
      </c>
      <c r="F23" t="s">
        <v>444</v>
      </c>
      <c r="G23" t="s">
        <v>445</v>
      </c>
    </row>
    <row r="24" spans="1:7">
      <c r="A24" t="s">
        <v>8</v>
      </c>
      <c r="B24" t="s">
        <v>455</v>
      </c>
      <c r="C24" t="s">
        <v>454</v>
      </c>
      <c r="D24">
        <v>6.1856399999999999E-2</v>
      </c>
      <c r="E24" t="s">
        <v>443</v>
      </c>
      <c r="F24" t="s">
        <v>456</v>
      </c>
      <c r="G24" t="s">
        <v>457</v>
      </c>
    </row>
    <row r="25" spans="1:7">
      <c r="A25" t="s">
        <v>8</v>
      </c>
      <c r="B25" t="s">
        <v>1842</v>
      </c>
      <c r="C25" t="s">
        <v>1841</v>
      </c>
      <c r="D25">
        <v>5.8209799999999999E-2</v>
      </c>
      <c r="E25" t="s">
        <v>443</v>
      </c>
      <c r="F25" t="s">
        <v>1843</v>
      </c>
      <c r="G25" t="s">
        <v>1844</v>
      </c>
    </row>
    <row r="26" spans="1:7">
      <c r="A26" t="s">
        <v>8</v>
      </c>
      <c r="B26" t="s">
        <v>880</v>
      </c>
      <c r="C26" t="s">
        <v>879</v>
      </c>
      <c r="D26">
        <v>5.2924298000000002E-2</v>
      </c>
      <c r="E26" t="s">
        <v>505</v>
      </c>
      <c r="F26" t="s">
        <v>881</v>
      </c>
      <c r="G26" t="s">
        <v>882</v>
      </c>
    </row>
    <row r="27" spans="1:7">
      <c r="A27" t="s">
        <v>8</v>
      </c>
      <c r="B27" t="s">
        <v>463</v>
      </c>
      <c r="C27" t="s">
        <v>462</v>
      </c>
      <c r="D27">
        <v>5.2609400000000001E-2</v>
      </c>
      <c r="E27" t="s">
        <v>443</v>
      </c>
      <c r="F27" t="s">
        <v>464</v>
      </c>
      <c r="G27" t="s">
        <v>465</v>
      </c>
    </row>
    <row r="28" spans="1:7">
      <c r="A28" t="s">
        <v>8</v>
      </c>
      <c r="B28" t="s">
        <v>509</v>
      </c>
      <c r="C28" t="s">
        <v>508</v>
      </c>
      <c r="D28">
        <v>4.9847997999999998E-2</v>
      </c>
      <c r="E28" t="s">
        <v>443</v>
      </c>
      <c r="F28" t="s">
        <v>510</v>
      </c>
      <c r="G28" t="s">
        <v>511</v>
      </c>
    </row>
    <row r="29" spans="1:7">
      <c r="A29" t="s">
        <v>8</v>
      </c>
      <c r="B29" t="s">
        <v>479</v>
      </c>
      <c r="C29" t="s">
        <v>478</v>
      </c>
      <c r="D29">
        <v>4.8492998000000002E-2</v>
      </c>
      <c r="E29" t="s">
        <v>443</v>
      </c>
      <c r="F29" t="s">
        <v>480</v>
      </c>
      <c r="G29" t="s">
        <v>481</v>
      </c>
    </row>
    <row r="30" spans="1:7">
      <c r="A30" t="s">
        <v>8</v>
      </c>
      <c r="B30" t="s">
        <v>816</v>
      </c>
      <c r="C30" t="s">
        <v>815</v>
      </c>
      <c r="D30">
        <v>4.7705497999999999E-2</v>
      </c>
      <c r="E30" t="s">
        <v>505</v>
      </c>
      <c r="F30" t="s">
        <v>817</v>
      </c>
      <c r="G30" t="s">
        <v>818</v>
      </c>
    </row>
    <row r="31" spans="1:7">
      <c r="A31" t="s">
        <v>8</v>
      </c>
      <c r="B31" t="s">
        <v>557</v>
      </c>
      <c r="C31" t="s">
        <v>556</v>
      </c>
      <c r="D31">
        <v>4.0803800000000001E-2</v>
      </c>
      <c r="E31" t="s">
        <v>489</v>
      </c>
      <c r="F31" t="s">
        <v>490</v>
      </c>
      <c r="G31" t="s">
        <v>490</v>
      </c>
    </row>
    <row r="32" spans="1:7">
      <c r="A32" t="s">
        <v>10</v>
      </c>
      <c r="B32" t="s">
        <v>500</v>
      </c>
      <c r="C32" t="s">
        <v>499</v>
      </c>
      <c r="D32">
        <v>0.13593469999999999</v>
      </c>
      <c r="E32" t="s">
        <v>443</v>
      </c>
      <c r="F32" t="s">
        <v>501</v>
      </c>
      <c r="G32" t="s">
        <v>502</v>
      </c>
    </row>
    <row r="33" spans="1:7">
      <c r="A33" t="s">
        <v>10</v>
      </c>
      <c r="B33" t="s">
        <v>525</v>
      </c>
      <c r="C33" t="s">
        <v>524</v>
      </c>
      <c r="D33">
        <v>9.5773999999999998E-2</v>
      </c>
      <c r="E33" t="s">
        <v>443</v>
      </c>
      <c r="F33" t="s">
        <v>526</v>
      </c>
      <c r="G33" t="s">
        <v>527</v>
      </c>
    </row>
    <row r="34" spans="1:7">
      <c r="A34" t="s">
        <v>10</v>
      </c>
      <c r="B34" t="s">
        <v>442</v>
      </c>
      <c r="C34" t="s">
        <v>441</v>
      </c>
      <c r="D34">
        <v>9.3775200000000003E-2</v>
      </c>
      <c r="E34" t="s">
        <v>443</v>
      </c>
      <c r="F34" t="s">
        <v>444</v>
      </c>
      <c r="G34" t="s">
        <v>445</v>
      </c>
    </row>
    <row r="35" spans="1:7">
      <c r="A35" t="s">
        <v>10</v>
      </c>
      <c r="B35" t="s">
        <v>679</v>
      </c>
      <c r="C35" t="s">
        <v>678</v>
      </c>
      <c r="D35">
        <v>8.2003900000000005E-2</v>
      </c>
      <c r="E35" t="s">
        <v>443</v>
      </c>
      <c r="F35" t="s">
        <v>680</v>
      </c>
      <c r="G35" t="s">
        <v>681</v>
      </c>
    </row>
    <row r="36" spans="1:7">
      <c r="A36" t="s">
        <v>10</v>
      </c>
      <c r="B36" t="s">
        <v>535</v>
      </c>
      <c r="C36" t="s">
        <v>534</v>
      </c>
      <c r="D36">
        <v>7.5808600000000004E-2</v>
      </c>
      <c r="E36" t="s">
        <v>443</v>
      </c>
      <c r="F36" t="s">
        <v>536</v>
      </c>
      <c r="G36" t="s">
        <v>537</v>
      </c>
    </row>
    <row r="37" spans="1:7">
      <c r="A37" t="s">
        <v>10</v>
      </c>
      <c r="B37" t="s">
        <v>447</v>
      </c>
      <c r="C37" t="s">
        <v>446</v>
      </c>
      <c r="D37">
        <v>4.7341800000000003E-2</v>
      </c>
      <c r="E37" t="s">
        <v>443</v>
      </c>
      <c r="F37" t="s">
        <v>448</v>
      </c>
      <c r="G37" t="s">
        <v>449</v>
      </c>
    </row>
    <row r="38" spans="1:7">
      <c r="A38" t="s">
        <v>10</v>
      </c>
      <c r="B38" t="s">
        <v>800</v>
      </c>
      <c r="C38" t="s">
        <v>799</v>
      </c>
      <c r="D38">
        <v>4.4989399999999999E-2</v>
      </c>
      <c r="E38" t="s">
        <v>489</v>
      </c>
      <c r="F38" t="s">
        <v>490</v>
      </c>
      <c r="G38" t="s">
        <v>490</v>
      </c>
    </row>
    <row r="39" spans="1:7">
      <c r="A39" t="s">
        <v>10</v>
      </c>
      <c r="B39" t="s">
        <v>1204</v>
      </c>
      <c r="C39" t="s">
        <v>1203</v>
      </c>
      <c r="D39">
        <v>4.1250200000000001E-2</v>
      </c>
      <c r="E39" t="s">
        <v>505</v>
      </c>
      <c r="F39" t="s">
        <v>1205</v>
      </c>
      <c r="G39" t="s">
        <v>1206</v>
      </c>
    </row>
    <row r="40" spans="1:7">
      <c r="A40" t="s">
        <v>10</v>
      </c>
      <c r="B40" t="s">
        <v>479</v>
      </c>
      <c r="C40" t="s">
        <v>478</v>
      </c>
      <c r="D40">
        <v>4.1135499999999998E-2</v>
      </c>
      <c r="E40" t="s">
        <v>443</v>
      </c>
      <c r="F40" t="s">
        <v>480</v>
      </c>
      <c r="G40" t="s">
        <v>481</v>
      </c>
    </row>
    <row r="41" spans="1:7">
      <c r="A41" t="s">
        <v>10</v>
      </c>
      <c r="B41" t="s">
        <v>451</v>
      </c>
      <c r="C41" t="s">
        <v>450</v>
      </c>
      <c r="D41">
        <v>3.7846900000000003E-2</v>
      </c>
      <c r="E41" t="s">
        <v>443</v>
      </c>
      <c r="F41" t="s">
        <v>452</v>
      </c>
      <c r="G41" t="s">
        <v>453</v>
      </c>
    </row>
    <row r="42" spans="1:7">
      <c r="A42" t="s">
        <v>11</v>
      </c>
      <c r="B42" t="s">
        <v>699</v>
      </c>
      <c r="C42" t="s">
        <v>698</v>
      </c>
      <c r="D42">
        <v>7.9090400000000005E-2</v>
      </c>
      <c r="E42" t="s">
        <v>505</v>
      </c>
      <c r="F42" t="s">
        <v>700</v>
      </c>
      <c r="G42" t="s">
        <v>701</v>
      </c>
    </row>
    <row r="43" spans="1:7">
      <c r="A43" t="s">
        <v>11</v>
      </c>
      <c r="B43" t="s">
        <v>557</v>
      </c>
      <c r="C43" t="s">
        <v>556</v>
      </c>
      <c r="D43">
        <v>7.2363704000000001E-2</v>
      </c>
      <c r="E43" t="s">
        <v>489</v>
      </c>
      <c r="F43" t="s">
        <v>490</v>
      </c>
      <c r="G43" t="s">
        <v>490</v>
      </c>
    </row>
    <row r="44" spans="1:7">
      <c r="A44" t="s">
        <v>11</v>
      </c>
      <c r="B44" t="s">
        <v>559</v>
      </c>
      <c r="C44" t="s">
        <v>558</v>
      </c>
      <c r="D44">
        <v>7.2054800000000002E-2</v>
      </c>
      <c r="E44" t="s">
        <v>505</v>
      </c>
      <c r="F44" t="s">
        <v>560</v>
      </c>
      <c r="G44" t="s">
        <v>561</v>
      </c>
    </row>
    <row r="45" spans="1:7">
      <c r="A45" t="s">
        <v>11</v>
      </c>
      <c r="B45" t="s">
        <v>612</v>
      </c>
      <c r="C45" t="s">
        <v>611</v>
      </c>
      <c r="D45">
        <v>7.1024500000000004E-2</v>
      </c>
      <c r="E45" t="s">
        <v>613</v>
      </c>
      <c r="F45" t="s">
        <v>614</v>
      </c>
      <c r="G45" t="s">
        <v>615</v>
      </c>
    </row>
    <row r="46" spans="1:7">
      <c r="A46" t="s">
        <v>11</v>
      </c>
      <c r="B46" t="s">
        <v>504</v>
      </c>
      <c r="C46" t="s">
        <v>503</v>
      </c>
      <c r="D46">
        <v>4.7536700000000001E-2</v>
      </c>
      <c r="E46" t="s">
        <v>505</v>
      </c>
      <c r="F46" t="s">
        <v>506</v>
      </c>
      <c r="G46" t="s">
        <v>507</v>
      </c>
    </row>
    <row r="47" spans="1:7">
      <c r="A47" t="s">
        <v>11</v>
      </c>
      <c r="B47" t="s">
        <v>455</v>
      </c>
      <c r="C47" t="s">
        <v>454</v>
      </c>
      <c r="D47">
        <v>4.1232400000000002E-2</v>
      </c>
      <c r="E47" t="s">
        <v>443</v>
      </c>
      <c r="F47" t="s">
        <v>456</v>
      </c>
      <c r="G47" t="s">
        <v>457</v>
      </c>
    </row>
    <row r="48" spans="1:7">
      <c r="A48" t="s">
        <v>11</v>
      </c>
      <c r="B48" t="s">
        <v>589</v>
      </c>
      <c r="C48" t="s">
        <v>588</v>
      </c>
      <c r="D48">
        <v>3.7790999999999998E-2</v>
      </c>
      <c r="E48" t="s">
        <v>590</v>
      </c>
      <c r="F48" t="s">
        <v>591</v>
      </c>
      <c r="G48" t="s">
        <v>592</v>
      </c>
    </row>
    <row r="49" spans="1:7">
      <c r="A49" t="s">
        <v>11</v>
      </c>
      <c r="B49" t="s">
        <v>442</v>
      </c>
      <c r="C49" t="s">
        <v>441</v>
      </c>
      <c r="D49">
        <v>3.5800400000000003E-2</v>
      </c>
      <c r="E49" t="s">
        <v>443</v>
      </c>
      <c r="F49" t="s">
        <v>444</v>
      </c>
      <c r="G49" t="s">
        <v>445</v>
      </c>
    </row>
    <row r="50" spans="1:7">
      <c r="A50" t="s">
        <v>11</v>
      </c>
      <c r="B50" t="s">
        <v>778</v>
      </c>
      <c r="C50" t="s">
        <v>777</v>
      </c>
      <c r="D50">
        <v>3.07021E-2</v>
      </c>
      <c r="E50" t="s">
        <v>443</v>
      </c>
      <c r="F50" t="s">
        <v>779</v>
      </c>
      <c r="G50" t="s">
        <v>780</v>
      </c>
    </row>
    <row r="51" spans="1:7">
      <c r="A51" t="s">
        <v>11</v>
      </c>
      <c r="B51" t="s">
        <v>451</v>
      </c>
      <c r="C51" t="s">
        <v>450</v>
      </c>
      <c r="D51">
        <v>2.7423300000000001E-2</v>
      </c>
      <c r="E51" t="s">
        <v>443</v>
      </c>
      <c r="F51" t="s">
        <v>452</v>
      </c>
      <c r="G51" t="s">
        <v>453</v>
      </c>
    </row>
    <row r="52" spans="1:7">
      <c r="A52" t="s">
        <v>12</v>
      </c>
      <c r="B52" t="s">
        <v>483</v>
      </c>
      <c r="C52" t="s">
        <v>482</v>
      </c>
      <c r="D52">
        <v>7.1124699999999999E-2</v>
      </c>
      <c r="E52" t="s">
        <v>484</v>
      </c>
      <c r="F52" t="s">
        <v>485</v>
      </c>
      <c r="G52" t="s">
        <v>486</v>
      </c>
    </row>
    <row r="53" spans="1:7">
      <c r="A53" t="s">
        <v>12</v>
      </c>
      <c r="B53" t="s">
        <v>447</v>
      </c>
      <c r="C53" t="s">
        <v>446</v>
      </c>
      <c r="D53">
        <v>5.7633400000000001E-2</v>
      </c>
      <c r="E53" t="s">
        <v>443</v>
      </c>
      <c r="F53" t="s">
        <v>448</v>
      </c>
      <c r="G53" t="s">
        <v>449</v>
      </c>
    </row>
    <row r="54" spans="1:7">
      <c r="A54" t="s">
        <v>12</v>
      </c>
      <c r="B54" t="s">
        <v>451</v>
      </c>
      <c r="C54" t="s">
        <v>450</v>
      </c>
      <c r="D54">
        <v>4.8012199999999998E-2</v>
      </c>
      <c r="E54" t="s">
        <v>443</v>
      </c>
      <c r="F54" t="s">
        <v>452</v>
      </c>
      <c r="G54" t="s">
        <v>453</v>
      </c>
    </row>
    <row r="55" spans="1:7">
      <c r="A55" t="s">
        <v>12</v>
      </c>
      <c r="B55" t="s">
        <v>627</v>
      </c>
      <c r="C55" t="s">
        <v>626</v>
      </c>
      <c r="D55">
        <v>4.7898102999999997E-2</v>
      </c>
      <c r="E55" t="s">
        <v>484</v>
      </c>
      <c r="F55" t="s">
        <v>628</v>
      </c>
      <c r="G55" t="s">
        <v>629</v>
      </c>
    </row>
    <row r="56" spans="1:7">
      <c r="A56" t="s">
        <v>12</v>
      </c>
      <c r="B56" t="s">
        <v>471</v>
      </c>
      <c r="C56" t="s">
        <v>470</v>
      </c>
      <c r="D56">
        <v>4.1748300000000002E-2</v>
      </c>
      <c r="E56" t="s">
        <v>443</v>
      </c>
      <c r="F56" t="s">
        <v>472</v>
      </c>
      <c r="G56" t="s">
        <v>473</v>
      </c>
    </row>
    <row r="57" spans="1:7">
      <c r="A57" t="s">
        <v>12</v>
      </c>
      <c r="B57" t="s">
        <v>531</v>
      </c>
      <c r="C57" t="s">
        <v>530</v>
      </c>
      <c r="D57">
        <v>3.82225E-2</v>
      </c>
      <c r="E57" t="s">
        <v>443</v>
      </c>
      <c r="F57" t="s">
        <v>532</v>
      </c>
      <c r="G57" t="s">
        <v>533</v>
      </c>
    </row>
    <row r="58" spans="1:7">
      <c r="A58" t="s">
        <v>12</v>
      </c>
      <c r="B58" t="s">
        <v>455</v>
      </c>
      <c r="C58" t="s">
        <v>454</v>
      </c>
      <c r="D58">
        <v>3.2395698000000001E-2</v>
      </c>
      <c r="E58" t="s">
        <v>443</v>
      </c>
      <c r="F58" t="s">
        <v>456</v>
      </c>
      <c r="G58" t="s">
        <v>457</v>
      </c>
    </row>
    <row r="59" spans="1:7">
      <c r="A59" t="s">
        <v>12</v>
      </c>
      <c r="B59" t="s">
        <v>488</v>
      </c>
      <c r="C59" t="s">
        <v>487</v>
      </c>
      <c r="D59">
        <v>3.0145999999999999E-2</v>
      </c>
      <c r="E59" t="s">
        <v>489</v>
      </c>
      <c r="F59" t="s">
        <v>490</v>
      </c>
      <c r="G59" t="s">
        <v>490</v>
      </c>
    </row>
    <row r="60" spans="1:7">
      <c r="A60" t="s">
        <v>12</v>
      </c>
      <c r="B60" t="s">
        <v>521</v>
      </c>
      <c r="C60" t="s">
        <v>520</v>
      </c>
      <c r="D60">
        <v>2.9898299999999999E-2</v>
      </c>
      <c r="E60" t="s">
        <v>505</v>
      </c>
      <c r="F60" t="s">
        <v>522</v>
      </c>
      <c r="G60" t="s">
        <v>523</v>
      </c>
    </row>
    <row r="61" spans="1:7">
      <c r="A61" t="s">
        <v>12</v>
      </c>
      <c r="B61" t="s">
        <v>475</v>
      </c>
      <c r="C61" t="s">
        <v>474</v>
      </c>
      <c r="D61">
        <v>2.9651199999999999E-2</v>
      </c>
      <c r="E61" t="s">
        <v>443</v>
      </c>
      <c r="F61" t="s">
        <v>476</v>
      </c>
      <c r="G61" t="s">
        <v>477</v>
      </c>
    </row>
    <row r="62" spans="1:7">
      <c r="A62" t="s">
        <v>14</v>
      </c>
      <c r="B62" t="s">
        <v>996</v>
      </c>
      <c r="C62" t="s">
        <v>995</v>
      </c>
      <c r="D62">
        <v>6.3481399999999993E-2</v>
      </c>
      <c r="E62" t="s">
        <v>489</v>
      </c>
      <c r="F62" t="s">
        <v>490</v>
      </c>
      <c r="G62" t="s">
        <v>490</v>
      </c>
    </row>
    <row r="63" spans="1:7">
      <c r="A63" t="s">
        <v>14</v>
      </c>
      <c r="B63" t="s">
        <v>787</v>
      </c>
      <c r="C63" t="s">
        <v>786</v>
      </c>
      <c r="D63">
        <v>4.2038697999999999E-2</v>
      </c>
      <c r="E63" t="s">
        <v>505</v>
      </c>
      <c r="F63" t="s">
        <v>788</v>
      </c>
      <c r="G63" t="s">
        <v>789</v>
      </c>
    </row>
    <row r="64" spans="1:7">
      <c r="A64" t="s">
        <v>14</v>
      </c>
      <c r="B64" t="s">
        <v>2328</v>
      </c>
      <c r="C64" t="s">
        <v>2327</v>
      </c>
      <c r="D64">
        <v>4.0894399999999997E-2</v>
      </c>
      <c r="E64" t="s">
        <v>489</v>
      </c>
      <c r="F64" t="s">
        <v>490</v>
      </c>
      <c r="G64" t="s">
        <v>490</v>
      </c>
    </row>
    <row r="65" spans="1:7">
      <c r="A65" t="s">
        <v>14</v>
      </c>
      <c r="B65" t="s">
        <v>1154</v>
      </c>
      <c r="C65" t="s">
        <v>1153</v>
      </c>
      <c r="D65">
        <v>4.0772900000000001E-2</v>
      </c>
      <c r="E65" t="s">
        <v>505</v>
      </c>
      <c r="F65" t="s">
        <v>1131</v>
      </c>
      <c r="G65" t="s">
        <v>1155</v>
      </c>
    </row>
    <row r="66" spans="1:7">
      <c r="A66" t="s">
        <v>14</v>
      </c>
      <c r="B66" t="s">
        <v>2371</v>
      </c>
      <c r="C66" t="s">
        <v>2370</v>
      </c>
      <c r="D66">
        <v>3.9939597E-2</v>
      </c>
      <c r="E66" t="s">
        <v>443</v>
      </c>
      <c r="F66" t="s">
        <v>2372</v>
      </c>
      <c r="G66" t="s">
        <v>2373</v>
      </c>
    </row>
    <row r="67" spans="1:7">
      <c r="A67" t="s">
        <v>14</v>
      </c>
      <c r="B67" t="s">
        <v>1210</v>
      </c>
      <c r="C67" t="s">
        <v>1209</v>
      </c>
      <c r="D67">
        <v>3.9253299999999998E-2</v>
      </c>
      <c r="E67" t="s">
        <v>505</v>
      </c>
      <c r="F67" t="s">
        <v>1211</v>
      </c>
      <c r="G67" t="s">
        <v>1212</v>
      </c>
    </row>
    <row r="68" spans="1:7">
      <c r="A68" t="s">
        <v>14</v>
      </c>
      <c r="B68" t="s">
        <v>2402</v>
      </c>
      <c r="C68" t="s">
        <v>2401</v>
      </c>
      <c r="D68">
        <v>3.9111600000000003E-2</v>
      </c>
      <c r="E68" t="s">
        <v>505</v>
      </c>
      <c r="F68" t="s">
        <v>2403</v>
      </c>
      <c r="G68" t="s">
        <v>2404</v>
      </c>
    </row>
    <row r="69" spans="1:7">
      <c r="A69" t="s">
        <v>14</v>
      </c>
      <c r="B69" t="s">
        <v>1619</v>
      </c>
      <c r="C69" t="s">
        <v>1618</v>
      </c>
      <c r="D69">
        <v>3.8546999999999998E-2</v>
      </c>
      <c r="E69" t="s">
        <v>505</v>
      </c>
      <c r="F69" t="s">
        <v>1620</v>
      </c>
      <c r="G69" t="s">
        <v>1621</v>
      </c>
    </row>
    <row r="70" spans="1:7">
      <c r="A70" t="s">
        <v>14</v>
      </c>
      <c r="B70" t="s">
        <v>1042</v>
      </c>
      <c r="C70" t="s">
        <v>1041</v>
      </c>
      <c r="D70">
        <v>3.2220400000000003E-2</v>
      </c>
      <c r="E70" t="s">
        <v>443</v>
      </c>
      <c r="F70" t="s">
        <v>1043</v>
      </c>
      <c r="G70" t="s">
        <v>1044</v>
      </c>
    </row>
    <row r="71" spans="1:7">
      <c r="A71" t="s">
        <v>14</v>
      </c>
      <c r="B71" t="s">
        <v>2668</v>
      </c>
      <c r="C71" t="s">
        <v>2667</v>
      </c>
      <c r="D71">
        <v>3.1795700000000003E-2</v>
      </c>
      <c r="E71" t="s">
        <v>505</v>
      </c>
      <c r="F71" t="s">
        <v>2669</v>
      </c>
      <c r="G71" t="s">
        <v>2670</v>
      </c>
    </row>
    <row r="72" spans="1:7">
      <c r="A72" t="s">
        <v>15</v>
      </c>
      <c r="B72" t="s">
        <v>483</v>
      </c>
      <c r="C72" t="s">
        <v>482</v>
      </c>
      <c r="D72">
        <v>0.122688904</v>
      </c>
      <c r="E72" t="s">
        <v>484</v>
      </c>
      <c r="F72" t="s">
        <v>485</v>
      </c>
      <c r="G72" t="s">
        <v>486</v>
      </c>
    </row>
    <row r="73" spans="1:7">
      <c r="A73" t="s">
        <v>15</v>
      </c>
      <c r="B73" t="s">
        <v>447</v>
      </c>
      <c r="C73" t="s">
        <v>446</v>
      </c>
      <c r="D73">
        <v>8.4237500000000007E-2</v>
      </c>
      <c r="E73" t="s">
        <v>443</v>
      </c>
      <c r="F73" t="s">
        <v>448</v>
      </c>
      <c r="G73" t="s">
        <v>449</v>
      </c>
    </row>
    <row r="74" spans="1:7">
      <c r="A74" t="s">
        <v>15</v>
      </c>
      <c r="B74" t="s">
        <v>451</v>
      </c>
      <c r="C74" t="s">
        <v>450</v>
      </c>
      <c r="D74">
        <v>4.6655795999999999E-2</v>
      </c>
      <c r="E74" t="s">
        <v>443</v>
      </c>
      <c r="F74" t="s">
        <v>452</v>
      </c>
      <c r="G74" t="s">
        <v>453</v>
      </c>
    </row>
    <row r="75" spans="1:7">
      <c r="A75" t="s">
        <v>15</v>
      </c>
      <c r="B75" t="s">
        <v>2464</v>
      </c>
      <c r="C75" t="s">
        <v>2463</v>
      </c>
      <c r="D75">
        <v>3.7592698000000001E-2</v>
      </c>
      <c r="E75" t="s">
        <v>489</v>
      </c>
      <c r="F75" t="s">
        <v>490</v>
      </c>
      <c r="G75" t="s">
        <v>490</v>
      </c>
    </row>
    <row r="76" spans="1:7">
      <c r="A76" t="s">
        <v>15</v>
      </c>
      <c r="B76" t="s">
        <v>557</v>
      </c>
      <c r="C76" t="s">
        <v>556</v>
      </c>
      <c r="D76">
        <v>3.7439897999999999E-2</v>
      </c>
      <c r="E76" t="s">
        <v>489</v>
      </c>
      <c r="F76" t="s">
        <v>490</v>
      </c>
      <c r="G76" t="s">
        <v>490</v>
      </c>
    </row>
    <row r="77" spans="1:7">
      <c r="A77" t="s">
        <v>15</v>
      </c>
      <c r="B77" t="s">
        <v>937</v>
      </c>
      <c r="C77" t="s">
        <v>936</v>
      </c>
      <c r="D77">
        <v>3.5711899999999998E-2</v>
      </c>
      <c r="E77" t="s">
        <v>489</v>
      </c>
      <c r="F77" t="s">
        <v>490</v>
      </c>
      <c r="G77" t="s">
        <v>490</v>
      </c>
    </row>
    <row r="78" spans="1:7">
      <c r="A78" t="s">
        <v>15</v>
      </c>
      <c r="B78" t="s">
        <v>1183</v>
      </c>
      <c r="C78" t="s">
        <v>1182</v>
      </c>
      <c r="D78">
        <v>3.3319000000000001E-2</v>
      </c>
      <c r="E78" t="s">
        <v>576</v>
      </c>
      <c r="F78" t="s">
        <v>1184</v>
      </c>
      <c r="G78" t="s">
        <v>1185</v>
      </c>
    </row>
    <row r="79" spans="1:7">
      <c r="A79" t="s">
        <v>15</v>
      </c>
      <c r="B79" t="s">
        <v>509</v>
      </c>
      <c r="C79" t="s">
        <v>508</v>
      </c>
      <c r="D79">
        <v>3.2576599999999997E-2</v>
      </c>
      <c r="E79" t="s">
        <v>443</v>
      </c>
      <c r="F79" t="s">
        <v>510</v>
      </c>
      <c r="G79" t="s">
        <v>511</v>
      </c>
    </row>
    <row r="80" spans="1:7">
      <c r="A80" t="s">
        <v>15</v>
      </c>
      <c r="B80" t="s">
        <v>471</v>
      </c>
      <c r="C80" t="s">
        <v>470</v>
      </c>
      <c r="D80">
        <v>3.1510700000000003E-2</v>
      </c>
      <c r="E80" t="s">
        <v>443</v>
      </c>
      <c r="F80" t="s">
        <v>472</v>
      </c>
      <c r="G80" t="s">
        <v>473</v>
      </c>
    </row>
    <row r="81" spans="1:7">
      <c r="A81" t="s">
        <v>15</v>
      </c>
      <c r="B81" t="s">
        <v>488</v>
      </c>
      <c r="C81" t="s">
        <v>487</v>
      </c>
      <c r="D81">
        <v>3.1289999999999998E-2</v>
      </c>
      <c r="E81" t="s">
        <v>489</v>
      </c>
      <c r="F81" t="s">
        <v>490</v>
      </c>
      <c r="G81" t="s">
        <v>490</v>
      </c>
    </row>
    <row r="82" spans="1:7">
      <c r="A82" t="s">
        <v>16</v>
      </c>
      <c r="B82" t="s">
        <v>492</v>
      </c>
      <c r="C82" t="s">
        <v>491</v>
      </c>
      <c r="D82">
        <v>0.14856040000000001</v>
      </c>
      <c r="E82" t="s">
        <v>443</v>
      </c>
      <c r="F82" t="s">
        <v>493</v>
      </c>
      <c r="G82" t="s">
        <v>494</v>
      </c>
    </row>
    <row r="83" spans="1:7">
      <c r="A83" t="s">
        <v>16</v>
      </c>
      <c r="B83" t="s">
        <v>459</v>
      </c>
      <c r="C83" t="s">
        <v>458</v>
      </c>
      <c r="D83">
        <v>0.14774029999999999</v>
      </c>
      <c r="E83" t="s">
        <v>443</v>
      </c>
      <c r="F83" t="s">
        <v>460</v>
      </c>
      <c r="G83" t="s">
        <v>461</v>
      </c>
    </row>
    <row r="84" spans="1:7">
      <c r="A84" t="s">
        <v>16</v>
      </c>
      <c r="B84" t="s">
        <v>442</v>
      </c>
      <c r="C84" t="s">
        <v>441</v>
      </c>
      <c r="D84">
        <v>0.14640549999999999</v>
      </c>
      <c r="E84" t="s">
        <v>443</v>
      </c>
      <c r="F84" t="s">
        <v>444</v>
      </c>
      <c r="G84" t="s">
        <v>445</v>
      </c>
    </row>
    <row r="85" spans="1:7">
      <c r="A85" t="s">
        <v>16</v>
      </c>
      <c r="B85" t="s">
        <v>888</v>
      </c>
      <c r="C85" t="s">
        <v>887</v>
      </c>
      <c r="D85">
        <v>5.0763695999999997E-2</v>
      </c>
      <c r="E85" t="s">
        <v>505</v>
      </c>
      <c r="F85" t="s">
        <v>889</v>
      </c>
      <c r="G85" t="s">
        <v>890</v>
      </c>
    </row>
    <row r="86" spans="1:7">
      <c r="A86" t="s">
        <v>16</v>
      </c>
      <c r="B86" t="s">
        <v>535</v>
      </c>
      <c r="C86" t="s">
        <v>534</v>
      </c>
      <c r="D86">
        <v>4.8944799999999997E-2</v>
      </c>
      <c r="E86" t="s">
        <v>443</v>
      </c>
      <c r="F86" t="s">
        <v>536</v>
      </c>
      <c r="G86" t="s">
        <v>537</v>
      </c>
    </row>
    <row r="87" spans="1:7">
      <c r="A87" t="s">
        <v>16</v>
      </c>
      <c r="B87" t="s">
        <v>467</v>
      </c>
      <c r="C87" t="s">
        <v>466</v>
      </c>
      <c r="D87">
        <v>4.7823902000000001E-2</v>
      </c>
      <c r="E87" t="s">
        <v>443</v>
      </c>
      <c r="F87" t="s">
        <v>468</v>
      </c>
      <c r="G87" t="s">
        <v>469</v>
      </c>
    </row>
    <row r="88" spans="1:7">
      <c r="A88" t="s">
        <v>16</v>
      </c>
      <c r="B88" t="s">
        <v>455</v>
      </c>
      <c r="C88" t="s">
        <v>454</v>
      </c>
      <c r="D88">
        <v>4.7348700000000001E-2</v>
      </c>
      <c r="E88" t="s">
        <v>443</v>
      </c>
      <c r="F88" t="s">
        <v>456</v>
      </c>
      <c r="G88" t="s">
        <v>457</v>
      </c>
    </row>
    <row r="89" spans="1:7">
      <c r="A89" t="s">
        <v>16</v>
      </c>
      <c r="B89" t="s">
        <v>2069</v>
      </c>
      <c r="C89" t="s">
        <v>2068</v>
      </c>
      <c r="D89">
        <v>4.6012900000000002E-2</v>
      </c>
      <c r="E89" t="s">
        <v>443</v>
      </c>
      <c r="F89" t="s">
        <v>2070</v>
      </c>
      <c r="G89" t="s">
        <v>2071</v>
      </c>
    </row>
    <row r="90" spans="1:7">
      <c r="A90" t="s">
        <v>16</v>
      </c>
      <c r="B90" t="s">
        <v>2077</v>
      </c>
      <c r="C90" t="s">
        <v>2076</v>
      </c>
      <c r="D90">
        <v>4.5929897999999997E-2</v>
      </c>
      <c r="E90" t="s">
        <v>443</v>
      </c>
      <c r="F90" t="s">
        <v>2078</v>
      </c>
      <c r="G90" t="s">
        <v>2079</v>
      </c>
    </row>
    <row r="91" spans="1:7">
      <c r="A91" t="s">
        <v>16</v>
      </c>
      <c r="B91" t="s">
        <v>2083</v>
      </c>
      <c r="C91" t="s">
        <v>2082</v>
      </c>
      <c r="D91">
        <v>4.5748900000000002E-2</v>
      </c>
      <c r="E91" t="s">
        <v>505</v>
      </c>
      <c r="F91" t="s">
        <v>2084</v>
      </c>
      <c r="G91" t="s">
        <v>2085</v>
      </c>
    </row>
    <row r="92" spans="1:7">
      <c r="A92" t="s">
        <v>17</v>
      </c>
      <c r="B92" t="s">
        <v>584</v>
      </c>
      <c r="C92" t="s">
        <v>583</v>
      </c>
      <c r="D92">
        <v>4.0771297999999997E-2</v>
      </c>
      <c r="E92" t="s">
        <v>585</v>
      </c>
      <c r="F92" t="s">
        <v>586</v>
      </c>
      <c r="G92" t="s">
        <v>587</v>
      </c>
    </row>
    <row r="93" spans="1:7">
      <c r="A93" t="s">
        <v>17</v>
      </c>
      <c r="B93" t="s">
        <v>483</v>
      </c>
      <c r="C93" t="s">
        <v>482</v>
      </c>
      <c r="D93">
        <v>3.6866900000000001E-2</v>
      </c>
      <c r="E93" t="s">
        <v>484</v>
      </c>
      <c r="F93" t="s">
        <v>485</v>
      </c>
      <c r="G93" t="s">
        <v>486</v>
      </c>
    </row>
    <row r="94" spans="1:7">
      <c r="A94" t="s">
        <v>17</v>
      </c>
      <c r="B94" t="s">
        <v>447</v>
      </c>
      <c r="C94" t="s">
        <v>446</v>
      </c>
      <c r="D94">
        <v>3.6647199999999998E-2</v>
      </c>
      <c r="E94" t="s">
        <v>443</v>
      </c>
      <c r="F94" t="s">
        <v>448</v>
      </c>
      <c r="G94" t="s">
        <v>449</v>
      </c>
    </row>
    <row r="95" spans="1:7">
      <c r="A95" t="s">
        <v>17</v>
      </c>
      <c r="B95" t="s">
        <v>768</v>
      </c>
      <c r="C95" t="s">
        <v>767</v>
      </c>
      <c r="D95">
        <v>3.3393199999999998E-2</v>
      </c>
      <c r="E95" t="s">
        <v>505</v>
      </c>
      <c r="F95" t="s">
        <v>769</v>
      </c>
      <c r="G95" t="s">
        <v>770</v>
      </c>
    </row>
    <row r="96" spans="1:7">
      <c r="A96" t="s">
        <v>17</v>
      </c>
      <c r="B96" t="s">
        <v>451</v>
      </c>
      <c r="C96" t="s">
        <v>450</v>
      </c>
      <c r="D96">
        <v>3.2825600000000003E-2</v>
      </c>
      <c r="E96" t="s">
        <v>443</v>
      </c>
      <c r="F96" t="s">
        <v>452</v>
      </c>
      <c r="G96" t="s">
        <v>453</v>
      </c>
    </row>
    <row r="97" spans="1:7">
      <c r="A97" t="s">
        <v>17</v>
      </c>
      <c r="B97" t="s">
        <v>617</v>
      </c>
      <c r="C97" t="s">
        <v>616</v>
      </c>
      <c r="D97">
        <v>2.9383699999999999E-2</v>
      </c>
      <c r="E97" t="s">
        <v>618</v>
      </c>
      <c r="F97" t="s">
        <v>619</v>
      </c>
      <c r="G97" t="s">
        <v>620</v>
      </c>
    </row>
    <row r="98" spans="1:7">
      <c r="A98" t="s">
        <v>17</v>
      </c>
      <c r="B98" t="s">
        <v>535</v>
      </c>
      <c r="C98" t="s">
        <v>534</v>
      </c>
      <c r="D98">
        <v>2.8432700000000002E-2</v>
      </c>
      <c r="E98" t="s">
        <v>443</v>
      </c>
      <c r="F98" t="s">
        <v>536</v>
      </c>
      <c r="G98" t="s">
        <v>537</v>
      </c>
    </row>
    <row r="99" spans="1:7">
      <c r="A99" t="s">
        <v>17</v>
      </c>
      <c r="B99" t="s">
        <v>673</v>
      </c>
      <c r="C99" t="s">
        <v>672</v>
      </c>
      <c r="D99">
        <v>2.8299000000000001E-2</v>
      </c>
      <c r="E99" t="s">
        <v>489</v>
      </c>
      <c r="F99" t="s">
        <v>490</v>
      </c>
      <c r="G99" t="s">
        <v>490</v>
      </c>
    </row>
    <row r="100" spans="1:7">
      <c r="A100" t="s">
        <v>17</v>
      </c>
      <c r="B100" t="s">
        <v>1297</v>
      </c>
      <c r="C100" t="s">
        <v>1296</v>
      </c>
      <c r="D100">
        <v>2.7520000999999999E-2</v>
      </c>
      <c r="E100" t="s">
        <v>1028</v>
      </c>
      <c r="F100" t="s">
        <v>1298</v>
      </c>
      <c r="G100" t="s">
        <v>1299</v>
      </c>
    </row>
    <row r="101" spans="1:7">
      <c r="A101" t="s">
        <v>17</v>
      </c>
      <c r="B101" t="s">
        <v>496</v>
      </c>
      <c r="C101" t="s">
        <v>495</v>
      </c>
      <c r="D101">
        <v>2.7387100000000001E-2</v>
      </c>
      <c r="E101" t="s">
        <v>443</v>
      </c>
      <c r="F101" t="s">
        <v>497</v>
      </c>
      <c r="G101" t="s">
        <v>498</v>
      </c>
    </row>
    <row r="102" spans="1:7">
      <c r="A102" t="s">
        <v>18</v>
      </c>
      <c r="B102" t="s">
        <v>2627</v>
      </c>
      <c r="C102" t="s">
        <v>2626</v>
      </c>
      <c r="D102">
        <v>3.3544197999999997E-2</v>
      </c>
      <c r="E102" t="s">
        <v>1499</v>
      </c>
      <c r="F102" t="s">
        <v>2628</v>
      </c>
      <c r="G102" t="s">
        <v>2629</v>
      </c>
    </row>
    <row r="103" spans="1:7">
      <c r="A103" t="s">
        <v>18</v>
      </c>
      <c r="B103" t="s">
        <v>2756</v>
      </c>
      <c r="C103" t="s">
        <v>2755</v>
      </c>
      <c r="D103">
        <v>2.9730599999999999E-2</v>
      </c>
      <c r="E103" t="s">
        <v>489</v>
      </c>
      <c r="F103" t="s">
        <v>490</v>
      </c>
      <c r="G103" t="s">
        <v>490</v>
      </c>
    </row>
    <row r="104" spans="1:7">
      <c r="A104" t="s">
        <v>18</v>
      </c>
      <c r="B104" t="s">
        <v>2792</v>
      </c>
      <c r="C104" t="s">
        <v>2791</v>
      </c>
      <c r="D104">
        <v>2.8427701E-2</v>
      </c>
      <c r="E104" t="s">
        <v>489</v>
      </c>
      <c r="F104" t="s">
        <v>490</v>
      </c>
      <c r="G104" t="s">
        <v>490</v>
      </c>
    </row>
    <row r="105" spans="1:7">
      <c r="A105" t="s">
        <v>18</v>
      </c>
      <c r="B105" t="s">
        <v>2837</v>
      </c>
      <c r="C105" t="s">
        <v>2836</v>
      </c>
      <c r="D105">
        <v>2.6929499999999999E-2</v>
      </c>
      <c r="E105" t="s">
        <v>489</v>
      </c>
      <c r="F105" t="s">
        <v>490</v>
      </c>
      <c r="G105" t="s">
        <v>490</v>
      </c>
    </row>
    <row r="106" spans="1:7">
      <c r="A106" t="s">
        <v>18</v>
      </c>
      <c r="B106" t="s">
        <v>2984</v>
      </c>
      <c r="C106" t="s">
        <v>2983</v>
      </c>
      <c r="D106">
        <v>2.2628801E-2</v>
      </c>
      <c r="E106" t="s">
        <v>754</v>
      </c>
      <c r="F106" t="s">
        <v>2985</v>
      </c>
      <c r="G106" t="s">
        <v>2986</v>
      </c>
    </row>
    <row r="107" spans="1:7">
      <c r="A107" t="s">
        <v>18</v>
      </c>
      <c r="B107" t="s">
        <v>3004</v>
      </c>
      <c r="C107" t="s">
        <v>3003</v>
      </c>
      <c r="D107">
        <v>2.20307E-2</v>
      </c>
      <c r="E107" t="s">
        <v>783</v>
      </c>
      <c r="F107" t="s">
        <v>3005</v>
      </c>
      <c r="G107" t="s">
        <v>3006</v>
      </c>
    </row>
    <row r="108" spans="1:7">
      <c r="A108" t="s">
        <v>18</v>
      </c>
      <c r="B108" t="s">
        <v>3020</v>
      </c>
      <c r="C108" t="s">
        <v>3019</v>
      </c>
      <c r="D108">
        <v>2.1401099999999999E-2</v>
      </c>
      <c r="E108" t="s">
        <v>2367</v>
      </c>
      <c r="F108" t="s">
        <v>3021</v>
      </c>
      <c r="G108" t="s">
        <v>3022</v>
      </c>
    </row>
    <row r="109" spans="1:7">
      <c r="A109" t="s">
        <v>18</v>
      </c>
      <c r="B109" t="s">
        <v>3028</v>
      </c>
      <c r="C109" t="s">
        <v>3027</v>
      </c>
      <c r="D109">
        <v>2.08197E-2</v>
      </c>
      <c r="E109" t="s">
        <v>1055</v>
      </c>
      <c r="F109" t="s">
        <v>3029</v>
      </c>
      <c r="G109" t="s">
        <v>3030</v>
      </c>
    </row>
    <row r="110" spans="1:7">
      <c r="A110" t="s">
        <v>18</v>
      </c>
      <c r="B110" t="s">
        <v>3036</v>
      </c>
      <c r="C110" t="s">
        <v>3035</v>
      </c>
      <c r="D110">
        <v>2.0473002000000001E-2</v>
      </c>
      <c r="E110" t="s">
        <v>489</v>
      </c>
      <c r="F110" t="s">
        <v>490</v>
      </c>
      <c r="G110" t="s">
        <v>490</v>
      </c>
    </row>
    <row r="111" spans="1:7">
      <c r="A111" t="s">
        <v>18</v>
      </c>
      <c r="B111" t="s">
        <v>3074</v>
      </c>
      <c r="C111" t="s">
        <v>3073</v>
      </c>
      <c r="D111">
        <v>1.8429500000000001E-2</v>
      </c>
      <c r="E111" t="s">
        <v>489</v>
      </c>
      <c r="F111" t="s">
        <v>490</v>
      </c>
      <c r="G111" t="s">
        <v>490</v>
      </c>
    </row>
    <row r="112" spans="1:7">
      <c r="A112" t="s">
        <v>19</v>
      </c>
      <c r="B112" t="s">
        <v>447</v>
      </c>
      <c r="C112" t="s">
        <v>446</v>
      </c>
      <c r="D112">
        <v>4.9340200000000001E-2</v>
      </c>
      <c r="E112" t="s">
        <v>443</v>
      </c>
      <c r="F112" t="s">
        <v>448</v>
      </c>
      <c r="G112" t="s">
        <v>449</v>
      </c>
    </row>
    <row r="113" spans="1:7">
      <c r="A113" t="s">
        <v>19</v>
      </c>
      <c r="B113" t="s">
        <v>1196</v>
      </c>
      <c r="C113" t="s">
        <v>1195</v>
      </c>
      <c r="D113">
        <v>3.7991999999999998E-2</v>
      </c>
      <c r="E113" t="s">
        <v>505</v>
      </c>
      <c r="F113" t="s">
        <v>1197</v>
      </c>
      <c r="G113" t="s">
        <v>1198</v>
      </c>
    </row>
    <row r="114" spans="1:7">
      <c r="A114" t="s">
        <v>19</v>
      </c>
      <c r="B114" t="s">
        <v>2654</v>
      </c>
      <c r="C114" t="s">
        <v>2653</v>
      </c>
      <c r="D114">
        <v>3.24722E-2</v>
      </c>
      <c r="E114" t="s">
        <v>489</v>
      </c>
      <c r="F114" t="s">
        <v>490</v>
      </c>
      <c r="G114" t="s">
        <v>490</v>
      </c>
    </row>
    <row r="115" spans="1:7">
      <c r="A115" t="s">
        <v>19</v>
      </c>
      <c r="B115" t="s">
        <v>1611</v>
      </c>
      <c r="C115" t="s">
        <v>1610</v>
      </c>
      <c r="D115">
        <v>3.2262399999999997E-2</v>
      </c>
      <c r="E115" t="s">
        <v>505</v>
      </c>
      <c r="F115" t="s">
        <v>1612</v>
      </c>
      <c r="G115" t="s">
        <v>1613</v>
      </c>
    </row>
    <row r="116" spans="1:7">
      <c r="A116" t="s">
        <v>19</v>
      </c>
      <c r="B116" t="s">
        <v>802</v>
      </c>
      <c r="C116" t="s">
        <v>801</v>
      </c>
      <c r="D116">
        <v>3.2236300000000002E-2</v>
      </c>
      <c r="E116" t="s">
        <v>505</v>
      </c>
      <c r="F116" t="s">
        <v>803</v>
      </c>
      <c r="G116" t="s">
        <v>804</v>
      </c>
    </row>
    <row r="117" spans="1:7">
      <c r="A117" t="s">
        <v>19</v>
      </c>
      <c r="B117" t="s">
        <v>2711</v>
      </c>
      <c r="C117" t="s">
        <v>2710</v>
      </c>
      <c r="D117">
        <v>3.0569300000000001E-2</v>
      </c>
      <c r="E117" t="s">
        <v>505</v>
      </c>
      <c r="F117" t="s">
        <v>2712</v>
      </c>
      <c r="G117" t="s">
        <v>2713</v>
      </c>
    </row>
    <row r="118" spans="1:7">
      <c r="A118" t="s">
        <v>19</v>
      </c>
      <c r="B118" t="s">
        <v>2727</v>
      </c>
      <c r="C118" t="s">
        <v>2726</v>
      </c>
      <c r="D118">
        <v>3.0269401000000001E-2</v>
      </c>
      <c r="E118" t="s">
        <v>443</v>
      </c>
      <c r="F118" t="s">
        <v>2728</v>
      </c>
      <c r="G118" t="s">
        <v>2729</v>
      </c>
    </row>
    <row r="119" spans="1:7">
      <c r="A119" t="s">
        <v>19</v>
      </c>
      <c r="B119" t="s">
        <v>2744</v>
      </c>
      <c r="C119" t="s">
        <v>2743</v>
      </c>
      <c r="D119">
        <v>3.0041002000000001E-2</v>
      </c>
      <c r="E119" t="s">
        <v>505</v>
      </c>
      <c r="F119" t="s">
        <v>2745</v>
      </c>
      <c r="G119" t="s">
        <v>2746</v>
      </c>
    </row>
    <row r="120" spans="1:7">
      <c r="A120" t="s">
        <v>19</v>
      </c>
      <c r="B120" t="s">
        <v>1637</v>
      </c>
      <c r="C120" t="s">
        <v>1636</v>
      </c>
      <c r="D120">
        <v>2.98176E-2</v>
      </c>
      <c r="E120" t="s">
        <v>489</v>
      </c>
      <c r="F120" t="s">
        <v>490</v>
      </c>
      <c r="G120" t="s">
        <v>490</v>
      </c>
    </row>
    <row r="121" spans="1:7">
      <c r="A121" t="s">
        <v>19</v>
      </c>
      <c r="B121" t="s">
        <v>2758</v>
      </c>
      <c r="C121" t="s">
        <v>2757</v>
      </c>
      <c r="D121">
        <v>2.9701399999999999E-2</v>
      </c>
      <c r="E121" t="s">
        <v>505</v>
      </c>
      <c r="F121" t="s">
        <v>2759</v>
      </c>
      <c r="G121" t="s">
        <v>2760</v>
      </c>
    </row>
    <row r="122" spans="1:7">
      <c r="A122" t="s">
        <v>20</v>
      </c>
      <c r="B122" t="s">
        <v>832</v>
      </c>
      <c r="C122" t="s">
        <v>831</v>
      </c>
      <c r="D122">
        <v>7.3390999999999998E-2</v>
      </c>
      <c r="E122" t="s">
        <v>833</v>
      </c>
      <c r="F122" t="s">
        <v>490</v>
      </c>
      <c r="G122" t="s">
        <v>834</v>
      </c>
    </row>
    <row r="123" spans="1:7">
      <c r="A123" t="s">
        <v>20</v>
      </c>
      <c r="B123" t="s">
        <v>1639</v>
      </c>
      <c r="C123" t="s">
        <v>1638</v>
      </c>
      <c r="D123">
        <v>7.6413999999999996E-3</v>
      </c>
      <c r="E123" t="s">
        <v>505</v>
      </c>
      <c r="F123" t="s">
        <v>1640</v>
      </c>
      <c r="G123" t="s">
        <v>1641</v>
      </c>
    </row>
    <row r="124" spans="1:7">
      <c r="A124" t="s">
        <v>21</v>
      </c>
      <c r="B124" t="s">
        <v>442</v>
      </c>
      <c r="C124" t="s">
        <v>441</v>
      </c>
      <c r="D124">
        <v>0.12717590000000001</v>
      </c>
      <c r="E124" t="s">
        <v>443</v>
      </c>
      <c r="F124" t="s">
        <v>444</v>
      </c>
      <c r="G124" t="s">
        <v>445</v>
      </c>
    </row>
    <row r="125" spans="1:7">
      <c r="A125" t="s">
        <v>21</v>
      </c>
      <c r="B125" t="s">
        <v>459</v>
      </c>
      <c r="C125" t="s">
        <v>458</v>
      </c>
      <c r="D125">
        <v>6.1934799999999998E-2</v>
      </c>
      <c r="E125" t="s">
        <v>443</v>
      </c>
      <c r="F125" t="s">
        <v>460</v>
      </c>
      <c r="G125" t="s">
        <v>461</v>
      </c>
    </row>
    <row r="126" spans="1:7">
      <c r="A126" t="s">
        <v>21</v>
      </c>
      <c r="B126" t="s">
        <v>541</v>
      </c>
      <c r="C126" t="s">
        <v>540</v>
      </c>
      <c r="D126">
        <v>5.9276700000000002E-2</v>
      </c>
      <c r="E126" t="s">
        <v>443</v>
      </c>
      <c r="F126" t="s">
        <v>542</v>
      </c>
      <c r="G126" t="s">
        <v>543</v>
      </c>
    </row>
    <row r="127" spans="1:7">
      <c r="A127" t="s">
        <v>21</v>
      </c>
      <c r="B127" t="s">
        <v>467</v>
      </c>
      <c r="C127" t="s">
        <v>466</v>
      </c>
      <c r="D127">
        <v>5.61602E-2</v>
      </c>
      <c r="E127" t="s">
        <v>443</v>
      </c>
      <c r="F127" t="s">
        <v>468</v>
      </c>
      <c r="G127" t="s">
        <v>469</v>
      </c>
    </row>
    <row r="128" spans="1:7">
      <c r="A128" t="s">
        <v>21</v>
      </c>
      <c r="B128" t="s">
        <v>488</v>
      </c>
      <c r="C128" t="s">
        <v>487</v>
      </c>
      <c r="D128">
        <v>5.3169596999999999E-2</v>
      </c>
      <c r="E128" t="s">
        <v>489</v>
      </c>
      <c r="F128" t="s">
        <v>490</v>
      </c>
      <c r="G128" t="s">
        <v>490</v>
      </c>
    </row>
    <row r="129" spans="1:7">
      <c r="A129" t="s">
        <v>21</v>
      </c>
      <c r="B129" t="s">
        <v>455</v>
      </c>
      <c r="C129" t="s">
        <v>454</v>
      </c>
      <c r="D129">
        <v>4.6787700000000002E-2</v>
      </c>
      <c r="E129" t="s">
        <v>443</v>
      </c>
      <c r="F129" t="s">
        <v>456</v>
      </c>
      <c r="G129" t="s">
        <v>457</v>
      </c>
    </row>
    <row r="130" spans="1:7">
      <c r="A130" t="s">
        <v>21</v>
      </c>
      <c r="B130" t="s">
        <v>913</v>
      </c>
      <c r="C130" t="s">
        <v>912</v>
      </c>
      <c r="D130">
        <v>4.3308699999999999E-2</v>
      </c>
      <c r="E130" t="s">
        <v>489</v>
      </c>
      <c r="F130" t="s">
        <v>490</v>
      </c>
      <c r="G130" t="s">
        <v>490</v>
      </c>
    </row>
    <row r="131" spans="1:7">
      <c r="A131" t="s">
        <v>21</v>
      </c>
      <c r="B131" t="s">
        <v>617</v>
      </c>
      <c r="C131" t="s">
        <v>616</v>
      </c>
      <c r="D131">
        <v>4.3041702000000001E-2</v>
      </c>
      <c r="E131" t="s">
        <v>618</v>
      </c>
      <c r="F131" t="s">
        <v>619</v>
      </c>
      <c r="G131" t="s">
        <v>620</v>
      </c>
    </row>
    <row r="132" spans="1:7">
      <c r="A132" t="s">
        <v>21</v>
      </c>
      <c r="B132" t="s">
        <v>492</v>
      </c>
      <c r="C132" t="s">
        <v>491</v>
      </c>
      <c r="D132">
        <v>4.1655403000000001E-2</v>
      </c>
      <c r="E132" t="s">
        <v>443</v>
      </c>
      <c r="F132" t="s">
        <v>493</v>
      </c>
      <c r="G132" t="s">
        <v>494</v>
      </c>
    </row>
    <row r="133" spans="1:7">
      <c r="A133" t="s">
        <v>21</v>
      </c>
      <c r="B133" t="s">
        <v>475</v>
      </c>
      <c r="C133" t="s">
        <v>474</v>
      </c>
      <c r="D133">
        <v>3.1752299999999997E-2</v>
      </c>
      <c r="E133" t="s">
        <v>443</v>
      </c>
      <c r="F133" t="s">
        <v>476</v>
      </c>
      <c r="G133" t="s">
        <v>477</v>
      </c>
    </row>
    <row r="134" spans="1:7">
      <c r="A134" t="s">
        <v>22</v>
      </c>
      <c r="B134" t="s">
        <v>442</v>
      </c>
      <c r="C134" t="s">
        <v>441</v>
      </c>
      <c r="D134">
        <v>8.8266893999999999E-2</v>
      </c>
      <c r="E134" t="s">
        <v>443</v>
      </c>
      <c r="F134" t="s">
        <v>444</v>
      </c>
      <c r="G134" t="s">
        <v>445</v>
      </c>
    </row>
    <row r="135" spans="1:7">
      <c r="A135" t="s">
        <v>22</v>
      </c>
      <c r="B135" t="s">
        <v>463</v>
      </c>
      <c r="C135" t="s">
        <v>462</v>
      </c>
      <c r="D135">
        <v>7.3456004000000005E-2</v>
      </c>
      <c r="E135" t="s">
        <v>443</v>
      </c>
      <c r="F135" t="s">
        <v>464</v>
      </c>
      <c r="G135" t="s">
        <v>465</v>
      </c>
    </row>
    <row r="136" spans="1:7">
      <c r="A136" t="s">
        <v>22</v>
      </c>
      <c r="B136" t="s">
        <v>455</v>
      </c>
      <c r="C136" t="s">
        <v>454</v>
      </c>
      <c r="D136">
        <v>5.3291798000000001E-2</v>
      </c>
      <c r="E136" t="s">
        <v>443</v>
      </c>
      <c r="F136" t="s">
        <v>456</v>
      </c>
      <c r="G136" t="s">
        <v>457</v>
      </c>
    </row>
    <row r="137" spans="1:7">
      <c r="A137" t="s">
        <v>22</v>
      </c>
      <c r="B137" t="s">
        <v>447</v>
      </c>
      <c r="C137" t="s">
        <v>446</v>
      </c>
      <c r="D137">
        <v>3.7400299999999997E-2</v>
      </c>
      <c r="E137" t="s">
        <v>443</v>
      </c>
      <c r="F137" t="s">
        <v>448</v>
      </c>
      <c r="G137" t="s">
        <v>449</v>
      </c>
    </row>
    <row r="138" spans="1:7">
      <c r="A138" t="s">
        <v>22</v>
      </c>
      <c r="B138" t="s">
        <v>580</v>
      </c>
      <c r="C138" t="s">
        <v>579</v>
      </c>
      <c r="D138">
        <v>3.4054898E-2</v>
      </c>
      <c r="E138" t="s">
        <v>505</v>
      </c>
      <c r="F138" t="s">
        <v>581</v>
      </c>
      <c r="G138" t="s">
        <v>582</v>
      </c>
    </row>
    <row r="139" spans="1:7">
      <c r="A139" t="s">
        <v>22</v>
      </c>
      <c r="B139" t="s">
        <v>768</v>
      </c>
      <c r="C139" t="s">
        <v>767</v>
      </c>
      <c r="D139">
        <v>3.3828900000000002E-2</v>
      </c>
      <c r="E139" t="s">
        <v>505</v>
      </c>
      <c r="F139" t="s">
        <v>769</v>
      </c>
      <c r="G139" t="s">
        <v>770</v>
      </c>
    </row>
    <row r="140" spans="1:7">
      <c r="A140" t="s">
        <v>22</v>
      </c>
      <c r="B140" t="s">
        <v>594</v>
      </c>
      <c r="C140" t="s">
        <v>593</v>
      </c>
      <c r="D140">
        <v>3.3778000000000002E-2</v>
      </c>
      <c r="E140" t="s">
        <v>505</v>
      </c>
      <c r="F140" t="s">
        <v>595</v>
      </c>
      <c r="G140" t="s">
        <v>596</v>
      </c>
    </row>
    <row r="141" spans="1:7">
      <c r="A141" t="s">
        <v>22</v>
      </c>
      <c r="B141" t="s">
        <v>673</v>
      </c>
      <c r="C141" t="s">
        <v>672</v>
      </c>
      <c r="D141">
        <v>2.9698301E-2</v>
      </c>
      <c r="E141" t="s">
        <v>489</v>
      </c>
      <c r="F141" t="s">
        <v>490</v>
      </c>
      <c r="G141" t="s">
        <v>490</v>
      </c>
    </row>
    <row r="142" spans="1:7">
      <c r="A142" t="s">
        <v>22</v>
      </c>
      <c r="B142" t="s">
        <v>451</v>
      </c>
      <c r="C142" t="s">
        <v>450</v>
      </c>
      <c r="D142">
        <v>2.8753799999999999E-2</v>
      </c>
      <c r="E142" t="s">
        <v>443</v>
      </c>
      <c r="F142" t="s">
        <v>452</v>
      </c>
      <c r="G142" t="s">
        <v>453</v>
      </c>
    </row>
    <row r="143" spans="1:7">
      <c r="A143" t="s">
        <v>22</v>
      </c>
      <c r="B143" t="s">
        <v>913</v>
      </c>
      <c r="C143" t="s">
        <v>912</v>
      </c>
      <c r="D143">
        <v>2.75334E-2</v>
      </c>
      <c r="E143" t="s">
        <v>489</v>
      </c>
      <c r="F143" t="s">
        <v>490</v>
      </c>
      <c r="G143" t="s">
        <v>490</v>
      </c>
    </row>
    <row r="144" spans="1:7">
      <c r="A144" t="s">
        <v>23</v>
      </c>
      <c r="B144" t="s">
        <v>529</v>
      </c>
      <c r="C144" t="s">
        <v>528</v>
      </c>
      <c r="D144">
        <v>0.10150140000000001</v>
      </c>
      <c r="E144" t="s">
        <v>489</v>
      </c>
      <c r="F144" t="s">
        <v>490</v>
      </c>
      <c r="G144" t="s">
        <v>490</v>
      </c>
    </row>
    <row r="145" spans="1:7">
      <c r="A145" t="s">
        <v>23</v>
      </c>
      <c r="B145" t="s">
        <v>451</v>
      </c>
      <c r="C145" t="s">
        <v>450</v>
      </c>
      <c r="D145">
        <v>8.3220795E-2</v>
      </c>
      <c r="E145" t="s">
        <v>443</v>
      </c>
      <c r="F145" t="s">
        <v>452</v>
      </c>
      <c r="G145" t="s">
        <v>453</v>
      </c>
    </row>
    <row r="146" spans="1:7">
      <c r="A146" t="s">
        <v>23</v>
      </c>
      <c r="B146" t="s">
        <v>766</v>
      </c>
      <c r="C146" t="s">
        <v>765</v>
      </c>
      <c r="D146">
        <v>7.4959499999999998E-2</v>
      </c>
      <c r="E146" t="s">
        <v>489</v>
      </c>
      <c r="F146" t="s">
        <v>490</v>
      </c>
      <c r="G146" t="s">
        <v>490</v>
      </c>
    </row>
    <row r="147" spans="1:7">
      <c r="A147" t="s">
        <v>23</v>
      </c>
      <c r="B147" t="s">
        <v>513</v>
      </c>
      <c r="C147" t="s">
        <v>512</v>
      </c>
      <c r="D147">
        <v>6.6546800000000003E-2</v>
      </c>
      <c r="E147" t="s">
        <v>443</v>
      </c>
      <c r="F147" t="s">
        <v>514</v>
      </c>
      <c r="G147" t="s">
        <v>515</v>
      </c>
    </row>
    <row r="148" spans="1:7">
      <c r="A148" t="s">
        <v>23</v>
      </c>
      <c r="B148" t="s">
        <v>1042</v>
      </c>
      <c r="C148" t="s">
        <v>1041</v>
      </c>
      <c r="D148">
        <v>5.3418002999999999E-2</v>
      </c>
      <c r="E148" t="s">
        <v>443</v>
      </c>
      <c r="F148" t="s">
        <v>1043</v>
      </c>
      <c r="G148" t="s">
        <v>1044</v>
      </c>
    </row>
    <row r="149" spans="1:7">
      <c r="A149" t="s">
        <v>23</v>
      </c>
      <c r="B149" t="s">
        <v>541</v>
      </c>
      <c r="C149" t="s">
        <v>540</v>
      </c>
      <c r="D149">
        <v>4.1190499999999998E-2</v>
      </c>
      <c r="E149" t="s">
        <v>443</v>
      </c>
      <c r="F149" t="s">
        <v>542</v>
      </c>
      <c r="G149" t="s">
        <v>543</v>
      </c>
    </row>
    <row r="150" spans="1:7">
      <c r="A150" t="s">
        <v>23</v>
      </c>
      <c r="B150" t="s">
        <v>525</v>
      </c>
      <c r="C150" t="s">
        <v>524</v>
      </c>
      <c r="D150">
        <v>3.8699903000000001E-2</v>
      </c>
      <c r="E150" t="s">
        <v>443</v>
      </c>
      <c r="F150" t="s">
        <v>526</v>
      </c>
      <c r="G150" t="s">
        <v>527</v>
      </c>
    </row>
    <row r="151" spans="1:7">
      <c r="A151" t="s">
        <v>23</v>
      </c>
      <c r="B151" t="s">
        <v>675</v>
      </c>
      <c r="C151" t="s">
        <v>674</v>
      </c>
      <c r="D151">
        <v>3.4016999999999999E-2</v>
      </c>
      <c r="E151" t="s">
        <v>505</v>
      </c>
      <c r="F151" t="s">
        <v>676</v>
      </c>
      <c r="G151" t="s">
        <v>677</v>
      </c>
    </row>
    <row r="152" spans="1:7">
      <c r="A152" t="s">
        <v>23</v>
      </c>
      <c r="B152" t="s">
        <v>575</v>
      </c>
      <c r="C152" t="s">
        <v>574</v>
      </c>
      <c r="D152">
        <v>3.2777599999999997E-2</v>
      </c>
      <c r="E152" t="s">
        <v>576</v>
      </c>
      <c r="F152" t="s">
        <v>577</v>
      </c>
      <c r="G152" t="s">
        <v>578</v>
      </c>
    </row>
    <row r="153" spans="1:7">
      <c r="A153" t="s">
        <v>23</v>
      </c>
      <c r="B153" t="s">
        <v>1179</v>
      </c>
      <c r="C153" t="s">
        <v>1178</v>
      </c>
      <c r="D153">
        <v>3.0522298E-2</v>
      </c>
      <c r="E153" t="s">
        <v>505</v>
      </c>
      <c r="F153" t="s">
        <v>1180</v>
      </c>
      <c r="G153" t="s">
        <v>1181</v>
      </c>
    </row>
    <row r="154" spans="1:7">
      <c r="A154" t="s">
        <v>24</v>
      </c>
      <c r="B154" t="s">
        <v>451</v>
      </c>
      <c r="C154" t="s">
        <v>450</v>
      </c>
      <c r="D154">
        <v>9.4266005E-2</v>
      </c>
      <c r="E154" t="s">
        <v>443</v>
      </c>
      <c r="F154" t="s">
        <v>452</v>
      </c>
      <c r="G154" t="s">
        <v>453</v>
      </c>
    </row>
    <row r="155" spans="1:7">
      <c r="A155" t="s">
        <v>24</v>
      </c>
      <c r="B155" t="s">
        <v>529</v>
      </c>
      <c r="C155" t="s">
        <v>528</v>
      </c>
      <c r="D155">
        <v>8.8087103999999999E-2</v>
      </c>
      <c r="E155" t="s">
        <v>489</v>
      </c>
      <c r="F155" t="s">
        <v>490</v>
      </c>
      <c r="G155" t="s">
        <v>490</v>
      </c>
    </row>
    <row r="156" spans="1:7">
      <c r="A156" t="s">
        <v>24</v>
      </c>
      <c r="B156" t="s">
        <v>1897</v>
      </c>
      <c r="C156" t="s">
        <v>1896</v>
      </c>
      <c r="D156">
        <v>5.3769897999999997E-2</v>
      </c>
      <c r="E156" t="s">
        <v>443</v>
      </c>
      <c r="F156" t="s">
        <v>1898</v>
      </c>
      <c r="G156" t="s">
        <v>1899</v>
      </c>
    </row>
    <row r="157" spans="1:7">
      <c r="A157" t="s">
        <v>24</v>
      </c>
      <c r="B157" t="s">
        <v>2157</v>
      </c>
      <c r="C157" t="s">
        <v>2156</v>
      </c>
      <c r="D157">
        <v>4.4222496E-2</v>
      </c>
      <c r="E157" t="s">
        <v>505</v>
      </c>
      <c r="F157" t="s">
        <v>2158</v>
      </c>
      <c r="G157" t="s">
        <v>2159</v>
      </c>
    </row>
    <row r="158" spans="1:7">
      <c r="A158" t="s">
        <v>24</v>
      </c>
      <c r="B158" t="s">
        <v>985</v>
      </c>
      <c r="C158" t="s">
        <v>984</v>
      </c>
      <c r="D158">
        <v>4.3462500000000001E-2</v>
      </c>
      <c r="E158" t="s">
        <v>489</v>
      </c>
      <c r="F158" t="s">
        <v>490</v>
      </c>
      <c r="G158" t="s">
        <v>490</v>
      </c>
    </row>
    <row r="159" spans="1:7">
      <c r="A159" t="s">
        <v>24</v>
      </c>
      <c r="B159" t="s">
        <v>2346</v>
      </c>
      <c r="C159" t="s">
        <v>2345</v>
      </c>
      <c r="D159">
        <v>4.0496602999999999E-2</v>
      </c>
      <c r="E159" t="s">
        <v>443</v>
      </c>
      <c r="F159" t="s">
        <v>554</v>
      </c>
      <c r="G159" t="s">
        <v>2347</v>
      </c>
    </row>
    <row r="160" spans="1:7">
      <c r="A160" t="s">
        <v>24</v>
      </c>
      <c r="B160" t="s">
        <v>459</v>
      </c>
      <c r="C160" t="s">
        <v>458</v>
      </c>
      <c r="D160">
        <v>3.8362E-2</v>
      </c>
      <c r="E160" t="s">
        <v>443</v>
      </c>
      <c r="F160" t="s">
        <v>460</v>
      </c>
      <c r="G160" t="s">
        <v>461</v>
      </c>
    </row>
    <row r="161" spans="1:7">
      <c r="A161" t="s">
        <v>24</v>
      </c>
      <c r="B161" t="s">
        <v>1465</v>
      </c>
      <c r="C161" t="s">
        <v>1464</v>
      </c>
      <c r="D161">
        <v>3.5098801999999998E-2</v>
      </c>
      <c r="E161" t="s">
        <v>443</v>
      </c>
      <c r="F161" t="s">
        <v>1466</v>
      </c>
      <c r="G161" t="s">
        <v>1467</v>
      </c>
    </row>
    <row r="162" spans="1:7">
      <c r="A162" t="s">
        <v>24</v>
      </c>
      <c r="B162" t="s">
        <v>541</v>
      </c>
      <c r="C162" t="s">
        <v>540</v>
      </c>
      <c r="D162">
        <v>3.4696900000000003E-2</v>
      </c>
      <c r="E162" t="s">
        <v>443</v>
      </c>
      <c r="F162" t="s">
        <v>542</v>
      </c>
      <c r="G162" t="s">
        <v>543</v>
      </c>
    </row>
    <row r="163" spans="1:7">
      <c r="A163" t="s">
        <v>25</v>
      </c>
      <c r="B163" t="s">
        <v>513</v>
      </c>
      <c r="C163" t="s">
        <v>512</v>
      </c>
      <c r="D163">
        <v>8.7416603999999995E-2</v>
      </c>
      <c r="E163" t="s">
        <v>443</v>
      </c>
      <c r="F163" t="s">
        <v>514</v>
      </c>
      <c r="G163" t="s">
        <v>515</v>
      </c>
    </row>
    <row r="164" spans="1:7">
      <c r="A164" t="s">
        <v>25</v>
      </c>
      <c r="B164" t="s">
        <v>451</v>
      </c>
      <c r="C164" t="s">
        <v>450</v>
      </c>
      <c r="D164">
        <v>7.8714800000000001E-2</v>
      </c>
      <c r="E164" t="s">
        <v>443</v>
      </c>
      <c r="F164" t="s">
        <v>452</v>
      </c>
      <c r="G164" t="s">
        <v>453</v>
      </c>
    </row>
    <row r="165" spans="1:7">
      <c r="A165" t="s">
        <v>25</v>
      </c>
      <c r="B165" t="s">
        <v>745</v>
      </c>
      <c r="C165" t="s">
        <v>744</v>
      </c>
      <c r="D165">
        <v>7.1052500000000005E-2</v>
      </c>
      <c r="E165" t="s">
        <v>505</v>
      </c>
      <c r="F165" t="s">
        <v>746</v>
      </c>
      <c r="G165" t="s">
        <v>747</v>
      </c>
    </row>
    <row r="166" spans="1:7">
      <c r="A166" t="s">
        <v>25</v>
      </c>
      <c r="B166" t="s">
        <v>766</v>
      </c>
      <c r="C166" t="s">
        <v>765</v>
      </c>
      <c r="D166">
        <v>6.1879702000000002E-2</v>
      </c>
      <c r="E166" t="s">
        <v>489</v>
      </c>
      <c r="F166" t="s">
        <v>490</v>
      </c>
      <c r="G166" t="s">
        <v>490</v>
      </c>
    </row>
    <row r="167" spans="1:7">
      <c r="A167" t="s">
        <v>25</v>
      </c>
      <c r="B167" t="s">
        <v>1042</v>
      </c>
      <c r="C167" t="s">
        <v>1041</v>
      </c>
      <c r="D167">
        <v>6.1344799999999998E-2</v>
      </c>
      <c r="E167" t="s">
        <v>443</v>
      </c>
      <c r="F167" t="s">
        <v>1043</v>
      </c>
      <c r="G167" t="s">
        <v>1044</v>
      </c>
    </row>
    <row r="168" spans="1:7">
      <c r="A168" t="s">
        <v>25</v>
      </c>
      <c r="B168" t="s">
        <v>1397</v>
      </c>
      <c r="C168" t="s">
        <v>1396</v>
      </c>
      <c r="D168">
        <v>4.9162596000000003E-2</v>
      </c>
      <c r="E168" t="s">
        <v>443</v>
      </c>
      <c r="F168" t="s">
        <v>1398</v>
      </c>
      <c r="G168" t="s">
        <v>1399</v>
      </c>
    </row>
    <row r="169" spans="1:7">
      <c r="A169" t="s">
        <v>25</v>
      </c>
      <c r="B169" t="s">
        <v>675</v>
      </c>
      <c r="C169" t="s">
        <v>674</v>
      </c>
      <c r="D169">
        <v>4.7408800000000001E-2</v>
      </c>
      <c r="E169" t="s">
        <v>505</v>
      </c>
      <c r="F169" t="s">
        <v>676</v>
      </c>
      <c r="G169" t="s">
        <v>677</v>
      </c>
    </row>
    <row r="170" spans="1:7">
      <c r="A170" t="s">
        <v>25</v>
      </c>
      <c r="B170" t="s">
        <v>1179</v>
      </c>
      <c r="C170" t="s">
        <v>1178</v>
      </c>
      <c r="D170">
        <v>4.0789300000000001E-2</v>
      </c>
      <c r="E170" t="s">
        <v>505</v>
      </c>
      <c r="F170" t="s">
        <v>1180</v>
      </c>
      <c r="G170" t="s">
        <v>1181</v>
      </c>
    </row>
    <row r="171" spans="1:7">
      <c r="A171" t="s">
        <v>25</v>
      </c>
      <c r="B171" t="s">
        <v>604</v>
      </c>
      <c r="C171" t="s">
        <v>603</v>
      </c>
      <c r="D171">
        <v>4.04623E-2</v>
      </c>
      <c r="E171" t="s">
        <v>443</v>
      </c>
      <c r="F171" t="s">
        <v>605</v>
      </c>
      <c r="G171" t="s">
        <v>606</v>
      </c>
    </row>
    <row r="172" spans="1:7">
      <c r="A172" t="s">
        <v>25</v>
      </c>
      <c r="B172" t="s">
        <v>459</v>
      </c>
      <c r="C172" t="s">
        <v>458</v>
      </c>
      <c r="D172">
        <v>3.9919000000000003E-2</v>
      </c>
      <c r="E172" t="s">
        <v>443</v>
      </c>
      <c r="F172" t="s">
        <v>460</v>
      </c>
      <c r="G172" t="s">
        <v>461</v>
      </c>
    </row>
    <row r="173" spans="1:7">
      <c r="A173" t="s">
        <v>26</v>
      </c>
      <c r="B173" t="s">
        <v>451</v>
      </c>
      <c r="C173" t="s">
        <v>450</v>
      </c>
      <c r="D173">
        <v>7.4766204000000003E-2</v>
      </c>
      <c r="E173" t="s">
        <v>443</v>
      </c>
      <c r="F173" t="s">
        <v>452</v>
      </c>
      <c r="G173" t="s">
        <v>453</v>
      </c>
    </row>
    <row r="174" spans="1:7">
      <c r="A174" t="s">
        <v>26</v>
      </c>
      <c r="B174" t="s">
        <v>447</v>
      </c>
      <c r="C174" t="s">
        <v>446</v>
      </c>
      <c r="D174">
        <v>7.3327400000000001E-2</v>
      </c>
      <c r="E174" t="s">
        <v>443</v>
      </c>
      <c r="F174" t="s">
        <v>448</v>
      </c>
      <c r="G174" t="s">
        <v>449</v>
      </c>
    </row>
    <row r="175" spans="1:7">
      <c r="A175" t="s">
        <v>26</v>
      </c>
      <c r="B175" t="s">
        <v>509</v>
      </c>
      <c r="C175" t="s">
        <v>508</v>
      </c>
      <c r="D175">
        <v>6.4808994999999994E-2</v>
      </c>
      <c r="E175" t="s">
        <v>443</v>
      </c>
      <c r="F175" t="s">
        <v>510</v>
      </c>
      <c r="G175" t="s">
        <v>511</v>
      </c>
    </row>
    <row r="176" spans="1:7">
      <c r="A176" t="s">
        <v>26</v>
      </c>
      <c r="B176" t="s">
        <v>483</v>
      </c>
      <c r="C176" t="s">
        <v>482</v>
      </c>
      <c r="D176">
        <v>4.6549300000000002E-2</v>
      </c>
      <c r="E176" t="s">
        <v>484</v>
      </c>
      <c r="F176" t="s">
        <v>485</v>
      </c>
      <c r="G176" t="s">
        <v>486</v>
      </c>
    </row>
    <row r="177" spans="1:7">
      <c r="A177" t="s">
        <v>26</v>
      </c>
      <c r="B177" t="s">
        <v>521</v>
      </c>
      <c r="C177" t="s">
        <v>520</v>
      </c>
      <c r="D177">
        <v>4.3701902000000001E-2</v>
      </c>
      <c r="E177" t="s">
        <v>505</v>
      </c>
      <c r="F177" t="s">
        <v>522</v>
      </c>
      <c r="G177" t="s">
        <v>523</v>
      </c>
    </row>
    <row r="178" spans="1:7">
      <c r="A178" t="s">
        <v>26</v>
      </c>
      <c r="B178" t="s">
        <v>1465</v>
      </c>
      <c r="C178" t="s">
        <v>1464</v>
      </c>
      <c r="D178">
        <v>4.3093100000000002E-2</v>
      </c>
      <c r="E178" t="s">
        <v>443</v>
      </c>
      <c r="F178" t="s">
        <v>1466</v>
      </c>
      <c r="G178" t="s">
        <v>1467</v>
      </c>
    </row>
    <row r="179" spans="1:7">
      <c r="A179" t="s">
        <v>26</v>
      </c>
      <c r="B179" t="s">
        <v>683</v>
      </c>
      <c r="C179" t="s">
        <v>682</v>
      </c>
      <c r="D179">
        <v>3.9413700000000003E-2</v>
      </c>
      <c r="E179" t="s">
        <v>585</v>
      </c>
      <c r="F179" t="s">
        <v>684</v>
      </c>
      <c r="G179" t="s">
        <v>685</v>
      </c>
    </row>
    <row r="180" spans="1:7">
      <c r="A180" t="s">
        <v>26</v>
      </c>
      <c r="B180" t="s">
        <v>455</v>
      </c>
      <c r="C180" t="s">
        <v>454</v>
      </c>
      <c r="D180">
        <v>3.8393999999999998E-2</v>
      </c>
      <c r="E180" t="s">
        <v>443</v>
      </c>
      <c r="F180" t="s">
        <v>456</v>
      </c>
      <c r="G180" t="s">
        <v>457</v>
      </c>
    </row>
    <row r="181" spans="1:7">
      <c r="A181" t="s">
        <v>26</v>
      </c>
      <c r="B181" t="s">
        <v>800</v>
      </c>
      <c r="C181" t="s">
        <v>799</v>
      </c>
      <c r="D181">
        <v>3.7018299999999997E-2</v>
      </c>
      <c r="E181" t="s">
        <v>489</v>
      </c>
      <c r="F181" t="s">
        <v>490</v>
      </c>
      <c r="G181" t="s">
        <v>490</v>
      </c>
    </row>
    <row r="182" spans="1:7">
      <c r="A182" t="s">
        <v>26</v>
      </c>
      <c r="B182" t="s">
        <v>442</v>
      </c>
      <c r="C182" t="s">
        <v>441</v>
      </c>
      <c r="D182">
        <v>3.5173799999999998E-2</v>
      </c>
      <c r="E182" t="s">
        <v>443</v>
      </c>
      <c r="F182" t="s">
        <v>444</v>
      </c>
      <c r="G182" t="s">
        <v>445</v>
      </c>
    </row>
    <row r="183" spans="1:7">
      <c r="A183" t="s">
        <v>27</v>
      </c>
      <c r="B183" t="s">
        <v>483</v>
      </c>
      <c r="C183" t="s">
        <v>482</v>
      </c>
      <c r="D183">
        <v>7.2990600000000003E-2</v>
      </c>
      <c r="E183" t="s">
        <v>484</v>
      </c>
      <c r="F183" t="s">
        <v>485</v>
      </c>
      <c r="G183" t="s">
        <v>486</v>
      </c>
    </row>
    <row r="184" spans="1:7">
      <c r="A184" t="s">
        <v>27</v>
      </c>
      <c r="B184" t="s">
        <v>455</v>
      </c>
      <c r="C184" t="s">
        <v>454</v>
      </c>
      <c r="D184">
        <v>5.2505698000000003E-2</v>
      </c>
      <c r="E184" t="s">
        <v>443</v>
      </c>
      <c r="F184" t="s">
        <v>456</v>
      </c>
      <c r="G184" t="s">
        <v>457</v>
      </c>
    </row>
    <row r="185" spans="1:7">
      <c r="A185" t="s">
        <v>27</v>
      </c>
      <c r="B185" t="s">
        <v>447</v>
      </c>
      <c r="C185" t="s">
        <v>446</v>
      </c>
      <c r="D185">
        <v>5.15824E-2</v>
      </c>
      <c r="E185" t="s">
        <v>443</v>
      </c>
      <c r="F185" t="s">
        <v>448</v>
      </c>
      <c r="G185" t="s">
        <v>449</v>
      </c>
    </row>
    <row r="186" spans="1:7">
      <c r="A186" t="s">
        <v>27</v>
      </c>
      <c r="B186" t="s">
        <v>451</v>
      </c>
      <c r="C186" t="s">
        <v>450</v>
      </c>
      <c r="D186">
        <v>5.0695499999999998E-2</v>
      </c>
      <c r="E186" t="s">
        <v>443</v>
      </c>
      <c r="F186" t="s">
        <v>452</v>
      </c>
      <c r="G186" t="s">
        <v>453</v>
      </c>
    </row>
    <row r="187" spans="1:7">
      <c r="A187" t="s">
        <v>27</v>
      </c>
      <c r="B187" t="s">
        <v>442</v>
      </c>
      <c r="C187" t="s">
        <v>441</v>
      </c>
      <c r="D187">
        <v>4.5965499999999999E-2</v>
      </c>
      <c r="E187" t="s">
        <v>443</v>
      </c>
      <c r="F187" t="s">
        <v>444</v>
      </c>
      <c r="G187" t="s">
        <v>445</v>
      </c>
    </row>
    <row r="188" spans="1:7">
      <c r="A188" t="s">
        <v>27</v>
      </c>
      <c r="B188" t="s">
        <v>517</v>
      </c>
      <c r="C188" t="s">
        <v>516</v>
      </c>
      <c r="D188">
        <v>4.43256E-2</v>
      </c>
      <c r="E188" t="s">
        <v>443</v>
      </c>
      <c r="F188" t="s">
        <v>518</v>
      </c>
      <c r="G188" t="s">
        <v>519</v>
      </c>
    </row>
    <row r="189" spans="1:7">
      <c r="A189" t="s">
        <v>27</v>
      </c>
      <c r="B189" t="s">
        <v>488</v>
      </c>
      <c r="C189" t="s">
        <v>487</v>
      </c>
      <c r="D189">
        <v>4.2802E-2</v>
      </c>
      <c r="E189" t="s">
        <v>489</v>
      </c>
      <c r="F189" t="s">
        <v>490</v>
      </c>
      <c r="G189" t="s">
        <v>490</v>
      </c>
    </row>
    <row r="190" spans="1:7">
      <c r="A190" t="s">
        <v>27</v>
      </c>
      <c r="B190" t="s">
        <v>1496</v>
      </c>
      <c r="C190" t="s">
        <v>1495</v>
      </c>
      <c r="D190">
        <v>3.8025700000000003E-2</v>
      </c>
      <c r="E190" t="s">
        <v>489</v>
      </c>
      <c r="F190" t="s">
        <v>490</v>
      </c>
      <c r="G190" t="s">
        <v>490</v>
      </c>
    </row>
    <row r="191" spans="1:7">
      <c r="A191" t="s">
        <v>27</v>
      </c>
      <c r="B191" t="s">
        <v>463</v>
      </c>
      <c r="C191" t="s">
        <v>462</v>
      </c>
      <c r="D191">
        <v>3.7622200000000001E-2</v>
      </c>
      <c r="E191" t="s">
        <v>443</v>
      </c>
      <c r="F191" t="s">
        <v>464</v>
      </c>
      <c r="G191" t="s">
        <v>465</v>
      </c>
    </row>
    <row r="192" spans="1:7">
      <c r="A192" t="s">
        <v>27</v>
      </c>
      <c r="B192" t="s">
        <v>471</v>
      </c>
      <c r="C192" t="s">
        <v>470</v>
      </c>
      <c r="D192">
        <v>2.9917200000000001E-2</v>
      </c>
      <c r="E192" t="s">
        <v>443</v>
      </c>
      <c r="F192" t="s">
        <v>472</v>
      </c>
      <c r="G192" t="s">
        <v>473</v>
      </c>
    </row>
    <row r="193" spans="1:7">
      <c r="A193" t="s">
        <v>28</v>
      </c>
      <c r="B193" t="s">
        <v>2073</v>
      </c>
      <c r="C193" t="s">
        <v>2072</v>
      </c>
      <c r="D193">
        <v>4.6001199999999999E-2</v>
      </c>
      <c r="E193" t="s">
        <v>1003</v>
      </c>
      <c r="F193" t="s">
        <v>2074</v>
      </c>
      <c r="G193" t="s">
        <v>2075</v>
      </c>
    </row>
    <row r="194" spans="1:7">
      <c r="A194" t="s">
        <v>28</v>
      </c>
      <c r="B194" t="s">
        <v>2414</v>
      </c>
      <c r="C194" t="s">
        <v>2413</v>
      </c>
      <c r="D194">
        <v>3.8550000000000001E-2</v>
      </c>
      <c r="E194" t="s">
        <v>1790</v>
      </c>
      <c r="F194" t="s">
        <v>2415</v>
      </c>
      <c r="G194" t="s">
        <v>2416</v>
      </c>
    </row>
    <row r="195" spans="1:7">
      <c r="A195" t="s">
        <v>28</v>
      </c>
      <c r="B195" t="s">
        <v>2631</v>
      </c>
      <c r="C195" t="s">
        <v>2630</v>
      </c>
      <c r="D195">
        <v>3.3255E-2</v>
      </c>
      <c r="E195" t="s">
        <v>826</v>
      </c>
      <c r="F195" t="s">
        <v>2632</v>
      </c>
      <c r="G195" t="s">
        <v>2633</v>
      </c>
    </row>
    <row r="196" spans="1:7">
      <c r="A196" t="s">
        <v>28</v>
      </c>
      <c r="B196" t="s">
        <v>2811</v>
      </c>
      <c r="C196" t="s">
        <v>2810</v>
      </c>
      <c r="D196">
        <v>2.7276100000000001E-2</v>
      </c>
      <c r="E196" t="s">
        <v>489</v>
      </c>
      <c r="F196" t="s">
        <v>490</v>
      </c>
      <c r="G196" t="s">
        <v>490</v>
      </c>
    </row>
    <row r="197" spans="1:7">
      <c r="A197" t="s">
        <v>28</v>
      </c>
      <c r="B197" t="s">
        <v>2825</v>
      </c>
      <c r="C197" t="s">
        <v>2824</v>
      </c>
      <c r="D197">
        <v>2.7102999999999999E-2</v>
      </c>
      <c r="E197" t="s">
        <v>1118</v>
      </c>
      <c r="F197" t="s">
        <v>2826</v>
      </c>
      <c r="G197" t="s">
        <v>2827</v>
      </c>
    </row>
    <row r="198" spans="1:7">
      <c r="A198" t="s">
        <v>28</v>
      </c>
      <c r="B198" t="s">
        <v>2829</v>
      </c>
      <c r="C198" t="s">
        <v>2828</v>
      </c>
      <c r="D198">
        <v>2.7076297999999999E-2</v>
      </c>
      <c r="E198" t="s">
        <v>1229</v>
      </c>
      <c r="F198" t="s">
        <v>2830</v>
      </c>
      <c r="G198" t="s">
        <v>2831</v>
      </c>
    </row>
    <row r="199" spans="1:7">
      <c r="A199" t="s">
        <v>28</v>
      </c>
      <c r="B199" t="s">
        <v>2871</v>
      </c>
      <c r="C199" t="s">
        <v>2870</v>
      </c>
      <c r="D199">
        <v>2.5281000000000001E-2</v>
      </c>
      <c r="E199" t="s">
        <v>2872</v>
      </c>
      <c r="F199" t="s">
        <v>2873</v>
      </c>
      <c r="G199" t="s">
        <v>2874</v>
      </c>
    </row>
    <row r="200" spans="1:7">
      <c r="A200" t="s">
        <v>28</v>
      </c>
      <c r="B200" t="s">
        <v>2958</v>
      </c>
      <c r="C200" t="s">
        <v>2957</v>
      </c>
      <c r="D200">
        <v>2.2922100000000001E-2</v>
      </c>
      <c r="E200" t="s">
        <v>754</v>
      </c>
      <c r="F200" t="s">
        <v>2959</v>
      </c>
      <c r="G200" t="s">
        <v>2960</v>
      </c>
    </row>
    <row r="201" spans="1:7">
      <c r="A201" t="s">
        <v>28</v>
      </c>
      <c r="B201" t="s">
        <v>2962</v>
      </c>
      <c r="C201" t="s">
        <v>2961</v>
      </c>
      <c r="D201">
        <v>2.2852099000000001E-2</v>
      </c>
      <c r="E201" t="s">
        <v>2963</v>
      </c>
      <c r="F201" t="s">
        <v>2964</v>
      </c>
      <c r="G201" t="s">
        <v>2965</v>
      </c>
    </row>
    <row r="202" spans="1:7">
      <c r="A202" t="s">
        <v>28</v>
      </c>
      <c r="B202" t="s">
        <v>2979</v>
      </c>
      <c r="C202" t="s">
        <v>2978</v>
      </c>
      <c r="D202">
        <v>2.2635099999999998E-2</v>
      </c>
      <c r="E202" t="s">
        <v>2980</v>
      </c>
      <c r="F202" t="s">
        <v>2981</v>
      </c>
      <c r="G202" t="s">
        <v>2982</v>
      </c>
    </row>
    <row r="203" spans="1:7">
      <c r="A203" t="s">
        <v>29</v>
      </c>
      <c r="B203" t="s">
        <v>635</v>
      </c>
      <c r="C203" t="s">
        <v>634</v>
      </c>
      <c r="D203">
        <v>6.0054200000000002E-2</v>
      </c>
      <c r="E203" t="s">
        <v>590</v>
      </c>
      <c r="F203" t="s">
        <v>636</v>
      </c>
      <c r="G203" t="s">
        <v>637</v>
      </c>
    </row>
    <row r="204" spans="1:7">
      <c r="A204" t="s">
        <v>29</v>
      </c>
      <c r="B204" t="s">
        <v>1428</v>
      </c>
      <c r="C204" t="s">
        <v>1427</v>
      </c>
      <c r="D204">
        <v>4.71571E-2</v>
      </c>
      <c r="E204" t="s">
        <v>489</v>
      </c>
      <c r="F204" t="s">
        <v>490</v>
      </c>
      <c r="G204" t="s">
        <v>490</v>
      </c>
    </row>
    <row r="205" spans="1:7">
      <c r="A205" t="s">
        <v>29</v>
      </c>
      <c r="B205" t="s">
        <v>2548</v>
      </c>
      <c r="C205" t="s">
        <v>2547</v>
      </c>
      <c r="D205">
        <v>3.5328999999999999E-2</v>
      </c>
      <c r="E205" t="s">
        <v>489</v>
      </c>
      <c r="F205" t="s">
        <v>490</v>
      </c>
      <c r="G205" t="s">
        <v>490</v>
      </c>
    </row>
    <row r="206" spans="1:7">
      <c r="A206" t="s">
        <v>29</v>
      </c>
      <c r="B206" t="s">
        <v>762</v>
      </c>
      <c r="C206" t="s">
        <v>761</v>
      </c>
      <c r="D206">
        <v>3.4704100000000002E-2</v>
      </c>
      <c r="E206" t="s">
        <v>505</v>
      </c>
      <c r="F206" t="s">
        <v>763</v>
      </c>
      <c r="G206" t="s">
        <v>764</v>
      </c>
    </row>
    <row r="207" spans="1:7">
      <c r="A207" t="s">
        <v>29</v>
      </c>
      <c r="B207" t="s">
        <v>2588</v>
      </c>
      <c r="C207" t="s">
        <v>2587</v>
      </c>
      <c r="D207">
        <v>3.45682E-2</v>
      </c>
      <c r="E207" t="s">
        <v>1118</v>
      </c>
      <c r="F207" t="s">
        <v>2589</v>
      </c>
      <c r="G207" t="s">
        <v>2590</v>
      </c>
    </row>
    <row r="208" spans="1:7">
      <c r="A208" t="s">
        <v>29</v>
      </c>
      <c r="B208" t="s">
        <v>1191</v>
      </c>
      <c r="C208" t="s">
        <v>1190</v>
      </c>
      <c r="D208">
        <v>3.4282199999999999E-2</v>
      </c>
      <c r="E208" t="s">
        <v>1192</v>
      </c>
      <c r="F208" t="s">
        <v>1193</v>
      </c>
      <c r="G208" t="s">
        <v>1194</v>
      </c>
    </row>
    <row r="209" spans="1:7">
      <c r="A209" t="s">
        <v>29</v>
      </c>
      <c r="B209" t="s">
        <v>717</v>
      </c>
      <c r="C209" t="s">
        <v>716</v>
      </c>
      <c r="D209">
        <v>3.3583500000000002E-2</v>
      </c>
      <c r="E209" t="s">
        <v>505</v>
      </c>
      <c r="F209" t="s">
        <v>718</v>
      </c>
      <c r="G209" t="s">
        <v>719</v>
      </c>
    </row>
    <row r="210" spans="1:7">
      <c r="A210" t="s">
        <v>29</v>
      </c>
      <c r="B210" t="s">
        <v>884</v>
      </c>
      <c r="C210" t="s">
        <v>883</v>
      </c>
      <c r="D210">
        <v>3.1017398000000002E-2</v>
      </c>
      <c r="E210" t="s">
        <v>754</v>
      </c>
      <c r="F210" t="s">
        <v>885</v>
      </c>
      <c r="G210" t="s">
        <v>886</v>
      </c>
    </row>
    <row r="211" spans="1:7">
      <c r="A211" t="s">
        <v>29</v>
      </c>
      <c r="B211" t="s">
        <v>1519</v>
      </c>
      <c r="C211" t="s">
        <v>1518</v>
      </c>
      <c r="D211">
        <v>3.05134E-2</v>
      </c>
      <c r="E211" t="s">
        <v>821</v>
      </c>
      <c r="F211" t="s">
        <v>1520</v>
      </c>
      <c r="G211" t="s">
        <v>1521</v>
      </c>
    </row>
    <row r="212" spans="1:7">
      <c r="A212" t="s">
        <v>29</v>
      </c>
      <c r="B212" t="s">
        <v>2715</v>
      </c>
      <c r="C212" t="s">
        <v>2714</v>
      </c>
      <c r="D212">
        <v>3.0449400000000001E-2</v>
      </c>
      <c r="E212" t="s">
        <v>489</v>
      </c>
      <c r="F212" t="s">
        <v>490</v>
      </c>
      <c r="G212" t="s">
        <v>490</v>
      </c>
    </row>
    <row r="213" spans="1:7">
      <c r="A213" t="s">
        <v>30</v>
      </c>
      <c r="B213" t="s">
        <v>610</v>
      </c>
      <c r="C213" t="s">
        <v>609</v>
      </c>
      <c r="D213">
        <v>5.3382600000000002E-2</v>
      </c>
      <c r="E213" t="s">
        <v>489</v>
      </c>
      <c r="F213" t="s">
        <v>490</v>
      </c>
      <c r="G213" t="s">
        <v>490</v>
      </c>
    </row>
    <row r="214" spans="1:7">
      <c r="A214" t="s">
        <v>30</v>
      </c>
      <c r="B214" t="s">
        <v>1361</v>
      </c>
      <c r="C214" t="s">
        <v>1360</v>
      </c>
      <c r="D214">
        <v>4.6007399999999997E-2</v>
      </c>
      <c r="E214" t="s">
        <v>505</v>
      </c>
      <c r="F214" t="s">
        <v>1362</v>
      </c>
      <c r="G214" t="s">
        <v>1363</v>
      </c>
    </row>
    <row r="215" spans="1:7">
      <c r="A215" t="s">
        <v>30</v>
      </c>
      <c r="B215" t="s">
        <v>2391</v>
      </c>
      <c r="C215" t="s">
        <v>2390</v>
      </c>
      <c r="D215">
        <v>3.9396899999999999E-2</v>
      </c>
      <c r="E215" t="s">
        <v>2392</v>
      </c>
      <c r="F215" t="s">
        <v>2393</v>
      </c>
      <c r="G215" t="s">
        <v>2394</v>
      </c>
    </row>
    <row r="216" spans="1:7">
      <c r="A216" t="s">
        <v>30</v>
      </c>
      <c r="B216" t="s">
        <v>717</v>
      </c>
      <c r="C216" t="s">
        <v>716</v>
      </c>
      <c r="D216">
        <v>3.7518497999999997E-2</v>
      </c>
      <c r="E216" t="s">
        <v>505</v>
      </c>
      <c r="F216" t="s">
        <v>718</v>
      </c>
      <c r="G216" t="s">
        <v>719</v>
      </c>
    </row>
    <row r="217" spans="1:7">
      <c r="A217" t="s">
        <v>30</v>
      </c>
      <c r="B217" t="s">
        <v>820</v>
      </c>
      <c r="C217" t="s">
        <v>819</v>
      </c>
      <c r="D217">
        <v>3.5427302000000001E-2</v>
      </c>
      <c r="E217" t="s">
        <v>821</v>
      </c>
      <c r="F217" t="s">
        <v>822</v>
      </c>
      <c r="G217" t="s">
        <v>823</v>
      </c>
    </row>
    <row r="218" spans="1:7">
      <c r="A218" t="s">
        <v>30</v>
      </c>
      <c r="B218" t="s">
        <v>733</v>
      </c>
      <c r="C218" t="s">
        <v>732</v>
      </c>
      <c r="D218">
        <v>3.4365300000000001E-2</v>
      </c>
      <c r="E218" t="s">
        <v>505</v>
      </c>
      <c r="F218" t="s">
        <v>734</v>
      </c>
      <c r="G218" t="s">
        <v>735</v>
      </c>
    </row>
    <row r="219" spans="1:7">
      <c r="A219" t="s">
        <v>30</v>
      </c>
      <c r="B219" t="s">
        <v>1498</v>
      </c>
      <c r="C219" t="s">
        <v>1497</v>
      </c>
      <c r="D219">
        <v>3.4313499999999997E-2</v>
      </c>
      <c r="E219" t="s">
        <v>1499</v>
      </c>
      <c r="F219" t="s">
        <v>1500</v>
      </c>
      <c r="G219" t="s">
        <v>1501</v>
      </c>
    </row>
    <row r="220" spans="1:7">
      <c r="A220" t="s">
        <v>30</v>
      </c>
      <c r="B220" t="s">
        <v>884</v>
      </c>
      <c r="C220" t="s">
        <v>883</v>
      </c>
      <c r="D220">
        <v>3.3484800000000002E-2</v>
      </c>
      <c r="E220" t="s">
        <v>754</v>
      </c>
      <c r="F220" t="s">
        <v>885</v>
      </c>
      <c r="G220" t="s">
        <v>886</v>
      </c>
    </row>
    <row r="221" spans="1:7">
      <c r="A221" t="s">
        <v>30</v>
      </c>
      <c r="B221" t="s">
        <v>2672</v>
      </c>
      <c r="C221" t="s">
        <v>2671</v>
      </c>
      <c r="D221">
        <v>3.1638897999999999E-2</v>
      </c>
      <c r="E221" t="s">
        <v>489</v>
      </c>
      <c r="F221" t="s">
        <v>490</v>
      </c>
      <c r="G221" t="s">
        <v>490</v>
      </c>
    </row>
    <row r="222" spans="1:7">
      <c r="A222" t="s">
        <v>30</v>
      </c>
      <c r="B222" t="s">
        <v>1373</v>
      </c>
      <c r="C222" t="s">
        <v>1372</v>
      </c>
      <c r="D222">
        <v>3.1473099999999997E-2</v>
      </c>
      <c r="E222" t="s">
        <v>489</v>
      </c>
      <c r="F222" t="s">
        <v>490</v>
      </c>
      <c r="G222" t="s">
        <v>490</v>
      </c>
    </row>
    <row r="223" spans="1:7">
      <c r="A223" t="s">
        <v>31</v>
      </c>
      <c r="B223" t="s">
        <v>1124</v>
      </c>
      <c r="C223" t="s">
        <v>1123</v>
      </c>
      <c r="D223">
        <v>6.0986199999999997E-2</v>
      </c>
      <c r="E223" t="s">
        <v>1028</v>
      </c>
      <c r="F223" t="s">
        <v>1125</v>
      </c>
      <c r="G223" t="s">
        <v>1126</v>
      </c>
    </row>
    <row r="224" spans="1:7">
      <c r="A224" t="s">
        <v>31</v>
      </c>
      <c r="B224" t="s">
        <v>1825</v>
      </c>
      <c r="C224" t="s">
        <v>1824</v>
      </c>
      <c r="D224">
        <v>5.9575000000000003E-2</v>
      </c>
      <c r="E224" t="s">
        <v>792</v>
      </c>
      <c r="F224" t="s">
        <v>1826</v>
      </c>
      <c r="G224" t="s">
        <v>1827</v>
      </c>
    </row>
    <row r="225" spans="1:7">
      <c r="A225" t="s">
        <v>31</v>
      </c>
      <c r="B225" t="s">
        <v>1909</v>
      </c>
      <c r="C225" t="s">
        <v>1908</v>
      </c>
      <c r="D225">
        <v>5.14207E-2</v>
      </c>
      <c r="E225" t="s">
        <v>576</v>
      </c>
      <c r="F225" t="s">
        <v>1910</v>
      </c>
      <c r="G225" t="s">
        <v>1911</v>
      </c>
    </row>
    <row r="226" spans="1:7">
      <c r="A226" t="s">
        <v>31</v>
      </c>
      <c r="B226" t="s">
        <v>529</v>
      </c>
      <c r="C226" t="s">
        <v>528</v>
      </c>
      <c r="D226">
        <v>4.9403599999999999E-2</v>
      </c>
      <c r="E226" t="s">
        <v>489</v>
      </c>
      <c r="F226" t="s">
        <v>490</v>
      </c>
      <c r="G226" t="s">
        <v>490</v>
      </c>
    </row>
    <row r="227" spans="1:7">
      <c r="A227" t="s">
        <v>31</v>
      </c>
      <c r="B227" t="s">
        <v>900</v>
      </c>
      <c r="C227" t="s">
        <v>899</v>
      </c>
      <c r="D227">
        <v>4.8718400000000002E-2</v>
      </c>
      <c r="E227" t="s">
        <v>590</v>
      </c>
      <c r="F227" t="s">
        <v>901</v>
      </c>
      <c r="G227" t="s">
        <v>902</v>
      </c>
    </row>
    <row r="228" spans="1:7">
      <c r="A228" t="s">
        <v>31</v>
      </c>
      <c r="B228" t="s">
        <v>2002</v>
      </c>
      <c r="C228" t="s">
        <v>2001</v>
      </c>
      <c r="D228">
        <v>4.7738799999999998E-2</v>
      </c>
      <c r="E228" t="s">
        <v>1028</v>
      </c>
      <c r="F228" t="s">
        <v>2003</v>
      </c>
      <c r="G228" t="s">
        <v>2004</v>
      </c>
    </row>
    <row r="229" spans="1:7">
      <c r="A229" t="s">
        <v>31</v>
      </c>
      <c r="B229" t="s">
        <v>1142</v>
      </c>
      <c r="C229" t="s">
        <v>1141</v>
      </c>
      <c r="D229">
        <v>4.6887397999999997E-2</v>
      </c>
      <c r="E229" t="s">
        <v>1143</v>
      </c>
      <c r="F229" t="s">
        <v>490</v>
      </c>
      <c r="G229" t="s">
        <v>1144</v>
      </c>
    </row>
    <row r="230" spans="1:7">
      <c r="A230" t="s">
        <v>31</v>
      </c>
      <c r="B230" t="s">
        <v>2061</v>
      </c>
      <c r="C230" t="s">
        <v>2060</v>
      </c>
      <c r="D230">
        <v>4.6101797E-2</v>
      </c>
      <c r="E230" t="s">
        <v>1028</v>
      </c>
      <c r="F230" t="s">
        <v>2062</v>
      </c>
      <c r="G230" t="s">
        <v>2063</v>
      </c>
    </row>
    <row r="231" spans="1:7">
      <c r="A231" t="s">
        <v>31</v>
      </c>
      <c r="B231" t="s">
        <v>442</v>
      </c>
      <c r="C231" t="s">
        <v>441</v>
      </c>
      <c r="D231">
        <v>4.5009899999999999E-2</v>
      </c>
      <c r="E231" t="s">
        <v>443</v>
      </c>
      <c r="F231" t="s">
        <v>444</v>
      </c>
      <c r="G231" t="s">
        <v>445</v>
      </c>
    </row>
    <row r="232" spans="1:7">
      <c r="A232" t="s">
        <v>31</v>
      </c>
      <c r="B232" t="s">
        <v>2120</v>
      </c>
      <c r="C232" t="s">
        <v>2119</v>
      </c>
      <c r="D232">
        <v>4.4784999999999998E-2</v>
      </c>
      <c r="E232" t="s">
        <v>1028</v>
      </c>
      <c r="F232" t="s">
        <v>2121</v>
      </c>
      <c r="G232" t="s">
        <v>2122</v>
      </c>
    </row>
    <row r="233" spans="1:7">
      <c r="A233" t="s">
        <v>32</v>
      </c>
      <c r="B233" t="s">
        <v>1259</v>
      </c>
      <c r="C233" t="s">
        <v>1258</v>
      </c>
      <c r="D233">
        <v>9.2843800000000004E-2</v>
      </c>
      <c r="E233" t="s">
        <v>1055</v>
      </c>
      <c r="F233" t="s">
        <v>1260</v>
      </c>
      <c r="G233" t="s">
        <v>1261</v>
      </c>
    </row>
    <row r="234" spans="1:7">
      <c r="A234" t="s">
        <v>32</v>
      </c>
      <c r="B234" t="s">
        <v>849</v>
      </c>
      <c r="C234" t="s">
        <v>848</v>
      </c>
      <c r="D234">
        <v>9.0188000000000004E-2</v>
      </c>
      <c r="E234" t="s">
        <v>850</v>
      </c>
      <c r="F234" t="s">
        <v>851</v>
      </c>
      <c r="G234" t="s">
        <v>852</v>
      </c>
    </row>
    <row r="235" spans="1:7">
      <c r="A235" t="s">
        <v>32</v>
      </c>
      <c r="B235" t="s">
        <v>1054</v>
      </c>
      <c r="C235" t="s">
        <v>1053</v>
      </c>
      <c r="D235">
        <v>8.9668200000000003E-2</v>
      </c>
      <c r="E235" t="s">
        <v>1055</v>
      </c>
      <c r="F235" t="s">
        <v>1056</v>
      </c>
      <c r="G235" t="s">
        <v>1057</v>
      </c>
    </row>
    <row r="236" spans="1:7">
      <c r="A236" t="s">
        <v>32</v>
      </c>
      <c r="B236" t="s">
        <v>442</v>
      </c>
      <c r="C236" t="s">
        <v>441</v>
      </c>
      <c r="D236">
        <v>8.2639106000000004E-2</v>
      </c>
      <c r="E236" t="s">
        <v>443</v>
      </c>
      <c r="F236" t="s">
        <v>444</v>
      </c>
      <c r="G236" t="s">
        <v>445</v>
      </c>
    </row>
    <row r="237" spans="1:7">
      <c r="A237" t="s">
        <v>32</v>
      </c>
      <c r="B237" t="s">
        <v>1815</v>
      </c>
      <c r="C237" t="s">
        <v>1814</v>
      </c>
      <c r="D237">
        <v>6.13374E-2</v>
      </c>
      <c r="E237" t="s">
        <v>443</v>
      </c>
      <c r="F237" t="s">
        <v>1816</v>
      </c>
      <c r="G237" t="s">
        <v>1817</v>
      </c>
    </row>
    <row r="238" spans="1:7">
      <c r="A238" t="s">
        <v>32</v>
      </c>
      <c r="B238" t="s">
        <v>2203</v>
      </c>
      <c r="C238" t="s">
        <v>2202</v>
      </c>
      <c r="D238">
        <v>4.3162699999999998E-2</v>
      </c>
      <c r="E238" t="s">
        <v>1329</v>
      </c>
      <c r="F238" t="s">
        <v>2204</v>
      </c>
      <c r="G238" t="s">
        <v>2205</v>
      </c>
    </row>
    <row r="239" spans="1:7">
      <c r="A239" t="s">
        <v>32</v>
      </c>
      <c r="B239" t="s">
        <v>2362</v>
      </c>
      <c r="C239" t="s">
        <v>2361</v>
      </c>
      <c r="D239">
        <v>4.0058200000000002E-2</v>
      </c>
      <c r="E239" t="s">
        <v>1055</v>
      </c>
      <c r="F239" t="s">
        <v>2363</v>
      </c>
      <c r="G239" t="s">
        <v>2364</v>
      </c>
    </row>
    <row r="240" spans="1:7">
      <c r="A240" t="s">
        <v>32</v>
      </c>
      <c r="B240" t="s">
        <v>1538</v>
      </c>
      <c r="C240" t="s">
        <v>1537</v>
      </c>
      <c r="D240">
        <v>3.5097400000000001E-2</v>
      </c>
      <c r="E240" t="s">
        <v>1055</v>
      </c>
      <c r="F240" t="s">
        <v>1539</v>
      </c>
      <c r="G240" t="s">
        <v>1540</v>
      </c>
    </row>
    <row r="241" spans="1:7">
      <c r="A241" t="s">
        <v>32</v>
      </c>
      <c r="B241" t="s">
        <v>2813</v>
      </c>
      <c r="C241" t="s">
        <v>2812</v>
      </c>
      <c r="D241">
        <v>2.7233400000000001E-2</v>
      </c>
      <c r="E241" t="s">
        <v>1329</v>
      </c>
      <c r="F241" t="s">
        <v>2814</v>
      </c>
      <c r="G241" t="s">
        <v>2815</v>
      </c>
    </row>
    <row r="242" spans="1:7">
      <c r="A242" t="s">
        <v>32</v>
      </c>
      <c r="B242" t="s">
        <v>1633</v>
      </c>
      <c r="C242" t="s">
        <v>1632</v>
      </c>
      <c r="D242">
        <v>2.4295899999999999E-2</v>
      </c>
      <c r="E242" t="s">
        <v>1055</v>
      </c>
      <c r="F242" t="s">
        <v>1634</v>
      </c>
      <c r="G242" t="s">
        <v>1635</v>
      </c>
    </row>
    <row r="243" spans="1:7">
      <c r="A243" t="s">
        <v>33</v>
      </c>
      <c r="B243" t="s">
        <v>553</v>
      </c>
      <c r="C243" t="s">
        <v>552</v>
      </c>
      <c r="D243">
        <v>7.4520799999999998E-2</v>
      </c>
      <c r="E243" t="s">
        <v>443</v>
      </c>
      <c r="F243" t="s">
        <v>554</v>
      </c>
      <c r="G243" t="s">
        <v>555</v>
      </c>
    </row>
    <row r="244" spans="1:7">
      <c r="A244" t="s">
        <v>33</v>
      </c>
      <c r="B244" t="s">
        <v>500</v>
      </c>
      <c r="C244" t="s">
        <v>499</v>
      </c>
      <c r="D244">
        <v>7.3010995999999995E-2</v>
      </c>
      <c r="E244" t="s">
        <v>443</v>
      </c>
      <c r="F244" t="s">
        <v>501</v>
      </c>
      <c r="G244" t="s">
        <v>502</v>
      </c>
    </row>
    <row r="245" spans="1:7">
      <c r="A245" t="s">
        <v>33</v>
      </c>
      <c r="B245" t="s">
        <v>567</v>
      </c>
      <c r="C245" t="s">
        <v>566</v>
      </c>
      <c r="D245">
        <v>7.2858800000000001E-2</v>
      </c>
      <c r="E245" t="s">
        <v>443</v>
      </c>
      <c r="F245" t="s">
        <v>568</v>
      </c>
      <c r="G245" t="s">
        <v>569</v>
      </c>
    </row>
    <row r="246" spans="1:7">
      <c r="A246" t="s">
        <v>33</v>
      </c>
      <c r="B246" t="s">
        <v>479</v>
      </c>
      <c r="C246" t="s">
        <v>478</v>
      </c>
      <c r="D246">
        <v>6.99433E-2</v>
      </c>
      <c r="E246" t="s">
        <v>443</v>
      </c>
      <c r="F246" t="s">
        <v>480</v>
      </c>
      <c r="G246" t="s">
        <v>481</v>
      </c>
    </row>
    <row r="247" spans="1:7">
      <c r="A247" t="s">
        <v>33</v>
      </c>
      <c r="B247" t="s">
        <v>659</v>
      </c>
      <c r="C247" t="s">
        <v>658</v>
      </c>
      <c r="D247">
        <v>6.4648700000000003E-2</v>
      </c>
      <c r="E247" t="s">
        <v>443</v>
      </c>
      <c r="F247" t="s">
        <v>660</v>
      </c>
      <c r="G247" t="s">
        <v>661</v>
      </c>
    </row>
    <row r="248" spans="1:7">
      <c r="A248" t="s">
        <v>33</v>
      </c>
      <c r="B248" t="s">
        <v>1880</v>
      </c>
      <c r="C248" t="s">
        <v>1879</v>
      </c>
      <c r="D248">
        <v>5.5058195999999997E-2</v>
      </c>
      <c r="E248" t="s">
        <v>489</v>
      </c>
      <c r="F248" t="s">
        <v>490</v>
      </c>
      <c r="G248" t="s">
        <v>490</v>
      </c>
    </row>
    <row r="249" spans="1:7">
      <c r="A249" t="s">
        <v>33</v>
      </c>
      <c r="B249" t="s">
        <v>655</v>
      </c>
      <c r="C249" t="s">
        <v>654</v>
      </c>
      <c r="D249">
        <v>4.9371400000000003E-2</v>
      </c>
      <c r="E249" t="s">
        <v>505</v>
      </c>
      <c r="F249" t="s">
        <v>656</v>
      </c>
      <c r="G249" t="s">
        <v>657</v>
      </c>
    </row>
    <row r="250" spans="1:7">
      <c r="A250" t="s">
        <v>33</v>
      </c>
      <c r="B250" t="s">
        <v>1391</v>
      </c>
      <c r="C250" t="s">
        <v>1390</v>
      </c>
      <c r="D250">
        <v>4.7602802999999999E-2</v>
      </c>
      <c r="E250" t="s">
        <v>489</v>
      </c>
      <c r="F250" t="s">
        <v>490</v>
      </c>
      <c r="G250" t="s">
        <v>490</v>
      </c>
    </row>
    <row r="251" spans="1:7">
      <c r="A251" t="s">
        <v>33</v>
      </c>
      <c r="B251" t="s">
        <v>1095</v>
      </c>
      <c r="C251" t="s">
        <v>1094</v>
      </c>
      <c r="D251">
        <v>4.5124400000000002E-2</v>
      </c>
      <c r="E251" t="s">
        <v>489</v>
      </c>
      <c r="F251" t="s">
        <v>490</v>
      </c>
      <c r="G251" t="s">
        <v>490</v>
      </c>
    </row>
    <row r="252" spans="1:7">
      <c r="A252" t="s">
        <v>33</v>
      </c>
      <c r="B252" t="s">
        <v>2128</v>
      </c>
      <c r="C252" t="s">
        <v>2127</v>
      </c>
      <c r="D252">
        <v>4.4643099999999998E-2</v>
      </c>
      <c r="E252" t="s">
        <v>443</v>
      </c>
      <c r="F252" t="s">
        <v>2129</v>
      </c>
      <c r="G252" t="s">
        <v>2130</v>
      </c>
    </row>
    <row r="253" spans="1:7">
      <c r="A253" t="s">
        <v>34</v>
      </c>
      <c r="B253" t="s">
        <v>517</v>
      </c>
      <c r="C253" t="s">
        <v>516</v>
      </c>
      <c r="D253">
        <v>9.3803789999999998E-2</v>
      </c>
      <c r="E253" t="s">
        <v>443</v>
      </c>
      <c r="F253" t="s">
        <v>518</v>
      </c>
      <c r="G253" t="s">
        <v>519</v>
      </c>
    </row>
    <row r="254" spans="1:7">
      <c r="A254" t="s">
        <v>34</v>
      </c>
      <c r="B254" t="s">
        <v>1682</v>
      </c>
      <c r="C254" t="s">
        <v>1681</v>
      </c>
      <c r="D254">
        <v>9.0500800000000006E-2</v>
      </c>
      <c r="E254" t="s">
        <v>505</v>
      </c>
      <c r="F254" t="s">
        <v>1683</v>
      </c>
      <c r="G254" t="s">
        <v>1684</v>
      </c>
    </row>
    <row r="255" spans="1:7">
      <c r="A255" t="s">
        <v>34</v>
      </c>
      <c r="B255" t="s">
        <v>651</v>
      </c>
      <c r="C255" t="s">
        <v>650</v>
      </c>
      <c r="D255">
        <v>8.9501600000000001E-2</v>
      </c>
      <c r="E255" t="s">
        <v>618</v>
      </c>
      <c r="F255" t="s">
        <v>652</v>
      </c>
      <c r="G255" t="s">
        <v>653</v>
      </c>
    </row>
    <row r="256" spans="1:7">
      <c r="A256" t="s">
        <v>34</v>
      </c>
      <c r="B256" t="s">
        <v>772</v>
      </c>
      <c r="C256" t="s">
        <v>771</v>
      </c>
      <c r="D256">
        <v>8.5210400000000006E-2</v>
      </c>
      <c r="E256" t="s">
        <v>443</v>
      </c>
      <c r="F256" t="s">
        <v>773</v>
      </c>
      <c r="G256" t="s">
        <v>774</v>
      </c>
    </row>
    <row r="257" spans="1:7">
      <c r="A257" t="s">
        <v>34</v>
      </c>
      <c r="B257" t="s">
        <v>1507</v>
      </c>
      <c r="C257" t="s">
        <v>1506</v>
      </c>
      <c r="D257">
        <v>6.3098199999999993E-2</v>
      </c>
      <c r="E257" t="s">
        <v>505</v>
      </c>
      <c r="F257" t="s">
        <v>1508</v>
      </c>
      <c r="G257" t="s">
        <v>1509</v>
      </c>
    </row>
    <row r="258" spans="1:7">
      <c r="A258" t="s">
        <v>34</v>
      </c>
      <c r="B258" t="s">
        <v>1804</v>
      </c>
      <c r="C258" t="s">
        <v>1803</v>
      </c>
      <c r="D258">
        <v>6.2020704000000003E-2</v>
      </c>
      <c r="E258" t="s">
        <v>489</v>
      </c>
      <c r="F258" t="s">
        <v>490</v>
      </c>
      <c r="G258" t="s">
        <v>490</v>
      </c>
    </row>
    <row r="259" spans="1:7">
      <c r="A259" t="s">
        <v>34</v>
      </c>
      <c r="B259" t="s">
        <v>713</v>
      </c>
      <c r="C259" t="s">
        <v>712</v>
      </c>
      <c r="D259">
        <v>5.4485604E-2</v>
      </c>
      <c r="E259" t="s">
        <v>443</v>
      </c>
      <c r="F259" t="s">
        <v>714</v>
      </c>
      <c r="G259" t="s">
        <v>715</v>
      </c>
    </row>
    <row r="260" spans="1:7">
      <c r="A260" t="s">
        <v>34</v>
      </c>
      <c r="B260" t="s">
        <v>1492</v>
      </c>
      <c r="C260" t="s">
        <v>1491</v>
      </c>
      <c r="D260">
        <v>4.5348199999999998E-2</v>
      </c>
      <c r="E260" t="s">
        <v>443</v>
      </c>
      <c r="F260" t="s">
        <v>1493</v>
      </c>
      <c r="G260" t="s">
        <v>1494</v>
      </c>
    </row>
    <row r="261" spans="1:7">
      <c r="A261" t="s">
        <v>34</v>
      </c>
      <c r="B261" t="s">
        <v>2572</v>
      </c>
      <c r="C261" t="s">
        <v>2571</v>
      </c>
      <c r="D261">
        <v>3.4701900000000001E-2</v>
      </c>
      <c r="E261" t="s">
        <v>792</v>
      </c>
      <c r="F261" t="s">
        <v>2573</v>
      </c>
      <c r="G261" t="s">
        <v>2574</v>
      </c>
    </row>
    <row r="262" spans="1:7">
      <c r="A262" t="s">
        <v>34</v>
      </c>
      <c r="B262" t="s">
        <v>2640</v>
      </c>
      <c r="C262" t="s">
        <v>2639</v>
      </c>
      <c r="D262">
        <v>3.2743398E-2</v>
      </c>
      <c r="E262" t="s">
        <v>1055</v>
      </c>
      <c r="F262" t="s">
        <v>2641</v>
      </c>
      <c r="G262" t="s">
        <v>2642</v>
      </c>
    </row>
    <row r="263" spans="1:7">
      <c r="A263" t="s">
        <v>35</v>
      </c>
      <c r="B263" t="s">
        <v>800</v>
      </c>
      <c r="C263" t="s">
        <v>799</v>
      </c>
      <c r="D263">
        <v>3.8621200000000001E-2</v>
      </c>
      <c r="E263" t="s">
        <v>489</v>
      </c>
      <c r="F263" t="s">
        <v>490</v>
      </c>
      <c r="G263" t="s">
        <v>490</v>
      </c>
    </row>
    <row r="264" spans="1:7">
      <c r="A264" t="s">
        <v>35</v>
      </c>
      <c r="B264" t="s">
        <v>647</v>
      </c>
      <c r="C264" t="s">
        <v>646</v>
      </c>
      <c r="D264">
        <v>3.7915600000000001E-2</v>
      </c>
      <c r="E264" t="s">
        <v>443</v>
      </c>
      <c r="F264" t="s">
        <v>648</v>
      </c>
      <c r="G264" t="s">
        <v>649</v>
      </c>
    </row>
    <row r="265" spans="1:7">
      <c r="A265" t="s">
        <v>35</v>
      </c>
      <c r="B265" t="s">
        <v>888</v>
      </c>
      <c r="C265" t="s">
        <v>887</v>
      </c>
      <c r="D265">
        <v>3.6176399999999997E-2</v>
      </c>
      <c r="E265" t="s">
        <v>505</v>
      </c>
      <c r="F265" t="s">
        <v>889</v>
      </c>
      <c r="G265" t="s">
        <v>890</v>
      </c>
    </row>
    <row r="266" spans="1:7">
      <c r="A266" t="s">
        <v>35</v>
      </c>
      <c r="B266" t="s">
        <v>447</v>
      </c>
      <c r="C266" t="s">
        <v>446</v>
      </c>
      <c r="D266">
        <v>3.4722198000000003E-2</v>
      </c>
      <c r="E266" t="s">
        <v>443</v>
      </c>
      <c r="F266" t="s">
        <v>448</v>
      </c>
      <c r="G266" t="s">
        <v>449</v>
      </c>
    </row>
    <row r="267" spans="1:7">
      <c r="A267" t="s">
        <v>35</v>
      </c>
      <c r="B267" t="s">
        <v>525</v>
      </c>
      <c r="C267" t="s">
        <v>524</v>
      </c>
      <c r="D267">
        <v>3.2483600000000001E-2</v>
      </c>
      <c r="E267" t="s">
        <v>443</v>
      </c>
      <c r="F267" t="s">
        <v>526</v>
      </c>
      <c r="G267" t="s">
        <v>527</v>
      </c>
    </row>
    <row r="268" spans="1:7">
      <c r="A268" t="s">
        <v>35</v>
      </c>
      <c r="B268" t="s">
        <v>451</v>
      </c>
      <c r="C268" t="s">
        <v>450</v>
      </c>
      <c r="D268">
        <v>3.1769400000000003E-2</v>
      </c>
      <c r="E268" t="s">
        <v>443</v>
      </c>
      <c r="F268" t="s">
        <v>452</v>
      </c>
      <c r="G268" t="s">
        <v>453</v>
      </c>
    </row>
    <row r="269" spans="1:7">
      <c r="A269" t="s">
        <v>35</v>
      </c>
      <c r="B269" t="s">
        <v>2674</v>
      </c>
      <c r="C269" t="s">
        <v>2673</v>
      </c>
      <c r="D269">
        <v>3.1562399999999997E-2</v>
      </c>
      <c r="E269" t="s">
        <v>489</v>
      </c>
      <c r="F269" t="s">
        <v>490</v>
      </c>
      <c r="G269" t="s">
        <v>490</v>
      </c>
    </row>
    <row r="270" spans="1:7">
      <c r="A270" t="s">
        <v>35</v>
      </c>
      <c r="B270" t="s">
        <v>467</v>
      </c>
      <c r="C270" t="s">
        <v>466</v>
      </c>
      <c r="D270">
        <v>3.0439799999999999E-2</v>
      </c>
      <c r="E270" t="s">
        <v>443</v>
      </c>
      <c r="F270" t="s">
        <v>468</v>
      </c>
      <c r="G270" t="s">
        <v>469</v>
      </c>
    </row>
    <row r="271" spans="1:7">
      <c r="A271" t="s">
        <v>35</v>
      </c>
      <c r="B271" t="s">
        <v>2739</v>
      </c>
      <c r="C271" t="s">
        <v>2738</v>
      </c>
      <c r="D271">
        <v>3.0113000000000001E-2</v>
      </c>
      <c r="E271" t="s">
        <v>2740</v>
      </c>
      <c r="F271" t="s">
        <v>2741</v>
      </c>
      <c r="G271" t="s">
        <v>2742</v>
      </c>
    </row>
    <row r="272" spans="1:7">
      <c r="A272" t="s">
        <v>35</v>
      </c>
      <c r="B272" t="s">
        <v>617</v>
      </c>
      <c r="C272" t="s">
        <v>616</v>
      </c>
      <c r="D272">
        <v>2.8921598999999999E-2</v>
      </c>
      <c r="E272" t="s">
        <v>618</v>
      </c>
      <c r="F272" t="s">
        <v>619</v>
      </c>
      <c r="G272" t="s">
        <v>620</v>
      </c>
    </row>
    <row r="273" spans="1:7">
      <c r="A273" t="s">
        <v>36</v>
      </c>
      <c r="B273" t="s">
        <v>529</v>
      </c>
      <c r="C273" t="s">
        <v>528</v>
      </c>
      <c r="D273">
        <v>8.3094500000000002E-2</v>
      </c>
      <c r="E273" t="s">
        <v>489</v>
      </c>
      <c r="F273" t="s">
        <v>490</v>
      </c>
      <c r="G273" t="s">
        <v>490</v>
      </c>
    </row>
    <row r="274" spans="1:7">
      <c r="A274" t="s">
        <v>36</v>
      </c>
      <c r="B274" t="s">
        <v>1716</v>
      </c>
      <c r="C274" t="s">
        <v>1715</v>
      </c>
      <c r="D274">
        <v>7.4680700000000003E-2</v>
      </c>
      <c r="E274" t="s">
        <v>443</v>
      </c>
      <c r="F274" t="s">
        <v>1717</v>
      </c>
      <c r="G274" t="s">
        <v>1718</v>
      </c>
    </row>
    <row r="275" spans="1:7">
      <c r="A275" t="s">
        <v>36</v>
      </c>
      <c r="B275" t="s">
        <v>1754</v>
      </c>
      <c r="C275" t="s">
        <v>1753</v>
      </c>
      <c r="D275">
        <v>6.9357299999999997E-2</v>
      </c>
      <c r="E275" t="s">
        <v>443</v>
      </c>
      <c r="F275" t="s">
        <v>1755</v>
      </c>
      <c r="G275" t="s">
        <v>1756</v>
      </c>
    </row>
    <row r="276" spans="1:7">
      <c r="A276" t="s">
        <v>36</v>
      </c>
      <c r="B276" t="s">
        <v>463</v>
      </c>
      <c r="C276" t="s">
        <v>462</v>
      </c>
      <c r="D276">
        <v>6.0888900000000003E-2</v>
      </c>
      <c r="E276" t="s">
        <v>443</v>
      </c>
      <c r="F276" t="s">
        <v>464</v>
      </c>
      <c r="G276" t="s">
        <v>465</v>
      </c>
    </row>
    <row r="277" spans="1:7">
      <c r="A277" t="s">
        <v>36</v>
      </c>
      <c r="B277" t="s">
        <v>1882</v>
      </c>
      <c r="C277" t="s">
        <v>1881</v>
      </c>
      <c r="D277">
        <v>5.4860100000000002E-2</v>
      </c>
      <c r="E277" t="s">
        <v>443</v>
      </c>
      <c r="F277" t="s">
        <v>1883</v>
      </c>
      <c r="G277" t="s">
        <v>1884</v>
      </c>
    </row>
    <row r="278" spans="1:7">
      <c r="A278" t="s">
        <v>36</v>
      </c>
      <c r="B278" t="s">
        <v>1073</v>
      </c>
      <c r="C278" t="s">
        <v>1072</v>
      </c>
      <c r="D278">
        <v>5.0896200000000003E-2</v>
      </c>
      <c r="E278" t="s">
        <v>1074</v>
      </c>
      <c r="F278" t="s">
        <v>1075</v>
      </c>
      <c r="G278" t="s">
        <v>1076</v>
      </c>
    </row>
    <row r="279" spans="1:7">
      <c r="A279" t="s">
        <v>36</v>
      </c>
      <c r="B279" t="s">
        <v>939</v>
      </c>
      <c r="C279" t="s">
        <v>938</v>
      </c>
      <c r="D279">
        <v>4.5951699999999998E-2</v>
      </c>
      <c r="E279" t="s">
        <v>489</v>
      </c>
      <c r="F279" t="s">
        <v>490</v>
      </c>
      <c r="G279" t="s">
        <v>490</v>
      </c>
    </row>
    <row r="280" spans="1:7">
      <c r="A280" t="s">
        <v>36</v>
      </c>
      <c r="B280" t="s">
        <v>2103</v>
      </c>
      <c r="C280" t="s">
        <v>2102</v>
      </c>
      <c r="D280">
        <v>4.5110895999999998E-2</v>
      </c>
      <c r="E280" t="s">
        <v>2104</v>
      </c>
      <c r="F280" t="s">
        <v>2105</v>
      </c>
      <c r="G280" t="s">
        <v>2106</v>
      </c>
    </row>
    <row r="281" spans="1:7">
      <c r="A281" t="s">
        <v>36</v>
      </c>
      <c r="B281" t="s">
        <v>2180</v>
      </c>
      <c r="C281" t="s">
        <v>2179</v>
      </c>
      <c r="D281">
        <v>4.3726000000000001E-2</v>
      </c>
      <c r="E281" t="s">
        <v>1074</v>
      </c>
      <c r="F281" t="s">
        <v>2181</v>
      </c>
      <c r="G281" t="s">
        <v>2182</v>
      </c>
    </row>
    <row r="282" spans="1:7">
      <c r="A282" t="s">
        <v>36</v>
      </c>
      <c r="B282" t="s">
        <v>2283</v>
      </c>
      <c r="C282" t="s">
        <v>2282</v>
      </c>
      <c r="D282">
        <v>4.1773100000000001E-2</v>
      </c>
      <c r="E282" t="s">
        <v>489</v>
      </c>
      <c r="F282" t="s">
        <v>490</v>
      </c>
      <c r="G282" t="s">
        <v>490</v>
      </c>
    </row>
    <row r="283" spans="1:7">
      <c r="A283" t="s">
        <v>37</v>
      </c>
      <c r="B283" t="s">
        <v>483</v>
      </c>
      <c r="C283" t="s">
        <v>482</v>
      </c>
      <c r="D283">
        <v>6.1504102999999997E-2</v>
      </c>
      <c r="E283" t="s">
        <v>484</v>
      </c>
      <c r="F283" t="s">
        <v>485</v>
      </c>
      <c r="G283" t="s">
        <v>486</v>
      </c>
    </row>
    <row r="284" spans="1:7">
      <c r="A284" t="s">
        <v>37</v>
      </c>
      <c r="B284" t="s">
        <v>447</v>
      </c>
      <c r="C284" t="s">
        <v>446</v>
      </c>
      <c r="D284">
        <v>6.0457802999999997E-2</v>
      </c>
      <c r="E284" t="s">
        <v>443</v>
      </c>
      <c r="F284" t="s">
        <v>448</v>
      </c>
      <c r="G284" t="s">
        <v>449</v>
      </c>
    </row>
    <row r="285" spans="1:7">
      <c r="A285" t="s">
        <v>37</v>
      </c>
      <c r="B285" t="s">
        <v>442</v>
      </c>
      <c r="C285" t="s">
        <v>441</v>
      </c>
      <c r="D285">
        <v>5.8049402999999999E-2</v>
      </c>
      <c r="E285" t="s">
        <v>443</v>
      </c>
      <c r="F285" t="s">
        <v>444</v>
      </c>
      <c r="G285" t="s">
        <v>445</v>
      </c>
    </row>
    <row r="286" spans="1:7">
      <c r="A286" t="s">
        <v>37</v>
      </c>
      <c r="B286" t="s">
        <v>451</v>
      </c>
      <c r="C286" t="s">
        <v>450</v>
      </c>
      <c r="D286">
        <v>5.7237200000000002E-2</v>
      </c>
      <c r="E286" t="s">
        <v>443</v>
      </c>
      <c r="F286" t="s">
        <v>452</v>
      </c>
      <c r="G286" t="s">
        <v>453</v>
      </c>
    </row>
    <row r="287" spans="1:7">
      <c r="A287" t="s">
        <v>37</v>
      </c>
      <c r="B287" t="s">
        <v>463</v>
      </c>
      <c r="C287" t="s">
        <v>462</v>
      </c>
      <c r="D287">
        <v>5.5856000000000003E-2</v>
      </c>
      <c r="E287" t="s">
        <v>443</v>
      </c>
      <c r="F287" t="s">
        <v>464</v>
      </c>
      <c r="G287" t="s">
        <v>465</v>
      </c>
    </row>
    <row r="288" spans="1:7">
      <c r="A288" t="s">
        <v>37</v>
      </c>
      <c r="B288" t="s">
        <v>2153</v>
      </c>
      <c r="C288" t="s">
        <v>2152</v>
      </c>
      <c r="D288">
        <v>4.4262200000000002E-2</v>
      </c>
      <c r="E288" t="s">
        <v>845</v>
      </c>
      <c r="F288" t="s">
        <v>2154</v>
      </c>
      <c r="G288" t="s">
        <v>2155</v>
      </c>
    </row>
    <row r="289" spans="1:7">
      <c r="A289" t="s">
        <v>37</v>
      </c>
      <c r="B289" t="s">
        <v>689</v>
      </c>
      <c r="C289" t="s">
        <v>688</v>
      </c>
      <c r="D289">
        <v>4.1748899999999999E-2</v>
      </c>
      <c r="E289" t="s">
        <v>623</v>
      </c>
      <c r="F289" t="s">
        <v>690</v>
      </c>
      <c r="G289" t="s">
        <v>691</v>
      </c>
    </row>
    <row r="290" spans="1:7">
      <c r="A290" t="s">
        <v>37</v>
      </c>
      <c r="B290" t="s">
        <v>627</v>
      </c>
      <c r="C290" t="s">
        <v>626</v>
      </c>
      <c r="D290">
        <v>4.0407400000000003E-2</v>
      </c>
      <c r="E290" t="s">
        <v>484</v>
      </c>
      <c r="F290" t="s">
        <v>628</v>
      </c>
      <c r="G290" t="s">
        <v>629</v>
      </c>
    </row>
    <row r="291" spans="1:7">
      <c r="A291" t="s">
        <v>37</v>
      </c>
      <c r="B291" t="s">
        <v>679</v>
      </c>
      <c r="C291" t="s">
        <v>678</v>
      </c>
      <c r="D291">
        <v>3.7863399999999998E-2</v>
      </c>
      <c r="E291" t="s">
        <v>443</v>
      </c>
      <c r="F291" t="s">
        <v>680</v>
      </c>
      <c r="G291" t="s">
        <v>681</v>
      </c>
    </row>
    <row r="292" spans="1:7">
      <c r="A292" t="s">
        <v>37</v>
      </c>
      <c r="B292" t="s">
        <v>1393</v>
      </c>
      <c r="C292" t="s">
        <v>1392</v>
      </c>
      <c r="D292">
        <v>3.7243800000000001E-2</v>
      </c>
      <c r="E292" t="s">
        <v>1055</v>
      </c>
      <c r="F292" t="s">
        <v>1394</v>
      </c>
      <c r="G292" t="s">
        <v>1395</v>
      </c>
    </row>
    <row r="293" spans="1:7">
      <c r="A293" t="s">
        <v>38</v>
      </c>
      <c r="B293" t="s">
        <v>447</v>
      </c>
      <c r="C293" t="s">
        <v>446</v>
      </c>
      <c r="D293">
        <v>6.8207405999999998E-2</v>
      </c>
      <c r="E293" t="s">
        <v>443</v>
      </c>
      <c r="F293" t="s">
        <v>448</v>
      </c>
      <c r="G293" t="s">
        <v>449</v>
      </c>
    </row>
    <row r="294" spans="1:7">
      <c r="A294" t="s">
        <v>38</v>
      </c>
      <c r="B294" t="s">
        <v>483</v>
      </c>
      <c r="C294" t="s">
        <v>482</v>
      </c>
      <c r="D294">
        <v>6.7959900000000004E-2</v>
      </c>
      <c r="E294" t="s">
        <v>484</v>
      </c>
      <c r="F294" t="s">
        <v>485</v>
      </c>
      <c r="G294" t="s">
        <v>486</v>
      </c>
    </row>
    <row r="295" spans="1:7">
      <c r="A295" t="s">
        <v>38</v>
      </c>
      <c r="B295" t="s">
        <v>451</v>
      </c>
      <c r="C295" t="s">
        <v>450</v>
      </c>
      <c r="D295">
        <v>6.4541600000000005E-2</v>
      </c>
      <c r="E295" t="s">
        <v>443</v>
      </c>
      <c r="F295" t="s">
        <v>452</v>
      </c>
      <c r="G295" t="s">
        <v>453</v>
      </c>
    </row>
    <row r="296" spans="1:7">
      <c r="A296" t="s">
        <v>38</v>
      </c>
      <c r="B296" t="s">
        <v>471</v>
      </c>
      <c r="C296" t="s">
        <v>470</v>
      </c>
      <c r="D296">
        <v>5.4850000000000003E-2</v>
      </c>
      <c r="E296" t="s">
        <v>443</v>
      </c>
      <c r="F296" t="s">
        <v>472</v>
      </c>
      <c r="G296" t="s">
        <v>473</v>
      </c>
    </row>
    <row r="297" spans="1:7">
      <c r="A297" t="s">
        <v>38</v>
      </c>
      <c r="B297" t="s">
        <v>496</v>
      </c>
      <c r="C297" t="s">
        <v>495</v>
      </c>
      <c r="D297">
        <v>4.9691100000000002E-2</v>
      </c>
      <c r="E297" t="s">
        <v>443</v>
      </c>
      <c r="F297" t="s">
        <v>497</v>
      </c>
      <c r="G297" t="s">
        <v>498</v>
      </c>
    </row>
    <row r="298" spans="1:7">
      <c r="A298" t="s">
        <v>38</v>
      </c>
      <c r="B298" t="s">
        <v>671</v>
      </c>
      <c r="C298" t="s">
        <v>670</v>
      </c>
      <c r="D298">
        <v>4.2098798E-2</v>
      </c>
      <c r="E298" t="s">
        <v>489</v>
      </c>
      <c r="F298" t="s">
        <v>490</v>
      </c>
      <c r="G298" t="s">
        <v>490</v>
      </c>
    </row>
    <row r="299" spans="1:7">
      <c r="A299" t="s">
        <v>38</v>
      </c>
      <c r="B299" t="s">
        <v>455</v>
      </c>
      <c r="C299" t="s">
        <v>454</v>
      </c>
      <c r="D299">
        <v>3.7196100000000003E-2</v>
      </c>
      <c r="E299" t="s">
        <v>443</v>
      </c>
      <c r="F299" t="s">
        <v>456</v>
      </c>
      <c r="G299" t="s">
        <v>457</v>
      </c>
    </row>
    <row r="300" spans="1:7">
      <c r="A300" t="s">
        <v>38</v>
      </c>
      <c r="B300" t="s">
        <v>584</v>
      </c>
      <c r="C300" t="s">
        <v>583</v>
      </c>
      <c r="D300">
        <v>3.6770697999999997E-2</v>
      </c>
      <c r="E300" t="s">
        <v>585</v>
      </c>
      <c r="F300" t="s">
        <v>586</v>
      </c>
      <c r="G300" t="s">
        <v>587</v>
      </c>
    </row>
    <row r="301" spans="1:7">
      <c r="A301" t="s">
        <v>38</v>
      </c>
      <c r="B301" t="s">
        <v>517</v>
      </c>
      <c r="C301" t="s">
        <v>516</v>
      </c>
      <c r="D301">
        <v>3.635E-2</v>
      </c>
      <c r="E301" t="s">
        <v>443</v>
      </c>
      <c r="F301" t="s">
        <v>518</v>
      </c>
      <c r="G301" t="s">
        <v>519</v>
      </c>
    </row>
    <row r="302" spans="1:7">
      <c r="A302" t="s">
        <v>38</v>
      </c>
      <c r="B302" t="s">
        <v>683</v>
      </c>
      <c r="C302" t="s">
        <v>682</v>
      </c>
      <c r="D302">
        <v>3.6194301999999998E-2</v>
      </c>
      <c r="E302" t="s">
        <v>585</v>
      </c>
      <c r="F302" t="s">
        <v>684</v>
      </c>
      <c r="G302" t="s">
        <v>685</v>
      </c>
    </row>
    <row r="303" spans="1:7">
      <c r="A303" t="s">
        <v>39</v>
      </c>
      <c r="B303" t="s">
        <v>447</v>
      </c>
      <c r="C303" t="s">
        <v>446</v>
      </c>
      <c r="D303">
        <v>9.9227999999999997E-2</v>
      </c>
      <c r="E303" t="s">
        <v>443</v>
      </c>
      <c r="F303" t="s">
        <v>448</v>
      </c>
      <c r="G303" t="s">
        <v>449</v>
      </c>
    </row>
    <row r="304" spans="1:7">
      <c r="A304" t="s">
        <v>39</v>
      </c>
      <c r="B304" t="s">
        <v>483</v>
      </c>
      <c r="C304" t="s">
        <v>482</v>
      </c>
      <c r="D304">
        <v>9.3036999999999995E-2</v>
      </c>
      <c r="E304" t="s">
        <v>484</v>
      </c>
      <c r="F304" t="s">
        <v>485</v>
      </c>
      <c r="G304" t="s">
        <v>486</v>
      </c>
    </row>
    <row r="305" spans="1:7">
      <c r="A305" t="s">
        <v>39</v>
      </c>
      <c r="B305" t="s">
        <v>651</v>
      </c>
      <c r="C305" t="s">
        <v>650</v>
      </c>
      <c r="D305">
        <v>8.2402094999999995E-2</v>
      </c>
      <c r="E305" t="s">
        <v>618</v>
      </c>
      <c r="F305" t="s">
        <v>652</v>
      </c>
      <c r="G305" t="s">
        <v>653</v>
      </c>
    </row>
    <row r="306" spans="1:7">
      <c r="A306" t="s">
        <v>39</v>
      </c>
      <c r="B306" t="s">
        <v>488</v>
      </c>
      <c r="C306" t="s">
        <v>487</v>
      </c>
      <c r="D306">
        <v>7.8370599999999999E-2</v>
      </c>
      <c r="E306" t="s">
        <v>489</v>
      </c>
      <c r="F306" t="s">
        <v>490</v>
      </c>
      <c r="G306" t="s">
        <v>490</v>
      </c>
    </row>
    <row r="307" spans="1:7">
      <c r="A307" t="s">
        <v>39</v>
      </c>
      <c r="B307" t="s">
        <v>471</v>
      </c>
      <c r="C307" t="s">
        <v>470</v>
      </c>
      <c r="D307">
        <v>7.8115699999999996E-2</v>
      </c>
      <c r="E307" t="s">
        <v>443</v>
      </c>
      <c r="F307" t="s">
        <v>472</v>
      </c>
      <c r="G307" t="s">
        <v>473</v>
      </c>
    </row>
    <row r="308" spans="1:7">
      <c r="A308" t="s">
        <v>39</v>
      </c>
      <c r="B308" t="s">
        <v>455</v>
      </c>
      <c r="C308" t="s">
        <v>454</v>
      </c>
      <c r="D308">
        <v>6.8041099999999993E-2</v>
      </c>
      <c r="E308" t="s">
        <v>443</v>
      </c>
      <c r="F308" t="s">
        <v>456</v>
      </c>
      <c r="G308" t="s">
        <v>457</v>
      </c>
    </row>
    <row r="309" spans="1:7">
      <c r="A309" t="s">
        <v>39</v>
      </c>
      <c r="B309" t="s">
        <v>689</v>
      </c>
      <c r="C309" t="s">
        <v>688</v>
      </c>
      <c r="D309">
        <v>6.0798900000000003E-2</v>
      </c>
      <c r="E309" t="s">
        <v>623</v>
      </c>
      <c r="F309" t="s">
        <v>690</v>
      </c>
      <c r="G309" t="s">
        <v>691</v>
      </c>
    </row>
    <row r="310" spans="1:7">
      <c r="A310" t="s">
        <v>39</v>
      </c>
      <c r="B310" t="s">
        <v>442</v>
      </c>
      <c r="C310" t="s">
        <v>441</v>
      </c>
      <c r="D310">
        <v>6.0490299999999997E-2</v>
      </c>
      <c r="E310" t="s">
        <v>443</v>
      </c>
      <c r="F310" t="s">
        <v>444</v>
      </c>
      <c r="G310" t="s">
        <v>445</v>
      </c>
    </row>
    <row r="311" spans="1:7">
      <c r="A311" t="s">
        <v>39</v>
      </c>
      <c r="B311" t="s">
        <v>451</v>
      </c>
      <c r="C311" t="s">
        <v>450</v>
      </c>
      <c r="D311">
        <v>5.2234203E-2</v>
      </c>
      <c r="E311" t="s">
        <v>443</v>
      </c>
      <c r="F311" t="s">
        <v>452</v>
      </c>
      <c r="G311" t="s">
        <v>453</v>
      </c>
    </row>
    <row r="312" spans="1:7">
      <c r="A312" t="s">
        <v>39</v>
      </c>
      <c r="B312" t="s">
        <v>584</v>
      </c>
      <c r="C312" t="s">
        <v>583</v>
      </c>
      <c r="D312">
        <v>4.1387502E-2</v>
      </c>
      <c r="E312" t="s">
        <v>585</v>
      </c>
      <c r="F312" t="s">
        <v>586</v>
      </c>
      <c r="G312" t="s">
        <v>587</v>
      </c>
    </row>
    <row r="313" spans="1:7">
      <c r="A313" t="s">
        <v>40</v>
      </c>
      <c r="B313" t="s">
        <v>689</v>
      </c>
      <c r="C313" t="s">
        <v>688</v>
      </c>
      <c r="D313">
        <v>6.4505000000000007E-2</v>
      </c>
      <c r="E313" t="s">
        <v>623</v>
      </c>
      <c r="F313" t="s">
        <v>690</v>
      </c>
      <c r="G313" t="s">
        <v>691</v>
      </c>
    </row>
    <row r="314" spans="1:7">
      <c r="A314" t="s">
        <v>40</v>
      </c>
      <c r="B314" t="s">
        <v>455</v>
      </c>
      <c r="C314" t="s">
        <v>454</v>
      </c>
      <c r="D314">
        <v>6.0510002E-2</v>
      </c>
      <c r="E314" t="s">
        <v>443</v>
      </c>
      <c r="F314" t="s">
        <v>456</v>
      </c>
      <c r="G314" t="s">
        <v>457</v>
      </c>
    </row>
    <row r="315" spans="1:7">
      <c r="A315" t="s">
        <v>40</v>
      </c>
      <c r="B315" t="s">
        <v>447</v>
      </c>
      <c r="C315" t="s">
        <v>446</v>
      </c>
      <c r="D315">
        <v>5.9268899999999999E-2</v>
      </c>
      <c r="E315" t="s">
        <v>443</v>
      </c>
      <c r="F315" t="s">
        <v>448</v>
      </c>
      <c r="G315" t="s">
        <v>449</v>
      </c>
    </row>
    <row r="316" spans="1:7">
      <c r="A316" t="s">
        <v>40</v>
      </c>
      <c r="B316" t="s">
        <v>509</v>
      </c>
      <c r="C316" t="s">
        <v>508</v>
      </c>
      <c r="D316">
        <v>5.9225699999999999E-2</v>
      </c>
      <c r="E316" t="s">
        <v>443</v>
      </c>
      <c r="F316" t="s">
        <v>510</v>
      </c>
      <c r="G316" t="s">
        <v>511</v>
      </c>
    </row>
    <row r="317" spans="1:7">
      <c r="A317" t="s">
        <v>40</v>
      </c>
      <c r="B317" t="s">
        <v>442</v>
      </c>
      <c r="C317" t="s">
        <v>441</v>
      </c>
      <c r="D317">
        <v>5.7856202000000002E-2</v>
      </c>
      <c r="E317" t="s">
        <v>443</v>
      </c>
      <c r="F317" t="s">
        <v>444</v>
      </c>
      <c r="G317" t="s">
        <v>445</v>
      </c>
    </row>
    <row r="318" spans="1:7">
      <c r="A318" t="s">
        <v>40</v>
      </c>
      <c r="B318" t="s">
        <v>451</v>
      </c>
      <c r="C318" t="s">
        <v>450</v>
      </c>
      <c r="D318">
        <v>5.1932300000000001E-2</v>
      </c>
      <c r="E318" t="s">
        <v>443</v>
      </c>
      <c r="F318" t="s">
        <v>452</v>
      </c>
      <c r="G318" t="s">
        <v>453</v>
      </c>
    </row>
    <row r="319" spans="1:7">
      <c r="A319" t="s">
        <v>40</v>
      </c>
      <c r="B319" t="s">
        <v>471</v>
      </c>
      <c r="C319" t="s">
        <v>470</v>
      </c>
      <c r="D319">
        <v>5.15288E-2</v>
      </c>
      <c r="E319" t="s">
        <v>443</v>
      </c>
      <c r="F319" t="s">
        <v>472</v>
      </c>
      <c r="G319" t="s">
        <v>473</v>
      </c>
    </row>
    <row r="320" spans="1:7">
      <c r="A320" t="s">
        <v>40</v>
      </c>
      <c r="B320" t="s">
        <v>517</v>
      </c>
      <c r="C320" t="s">
        <v>516</v>
      </c>
      <c r="D320">
        <v>5.0679202999999999E-2</v>
      </c>
      <c r="E320" t="s">
        <v>443</v>
      </c>
      <c r="F320" t="s">
        <v>518</v>
      </c>
      <c r="G320" t="s">
        <v>519</v>
      </c>
    </row>
    <row r="321" spans="1:7">
      <c r="A321" t="s">
        <v>40</v>
      </c>
      <c r="B321" t="s">
        <v>2253</v>
      </c>
      <c r="C321" t="s">
        <v>2252</v>
      </c>
      <c r="D321">
        <v>4.2155499999999999E-2</v>
      </c>
      <c r="E321" t="s">
        <v>489</v>
      </c>
      <c r="F321" t="s">
        <v>490</v>
      </c>
      <c r="G321" t="s">
        <v>490</v>
      </c>
    </row>
    <row r="322" spans="1:7">
      <c r="A322" t="s">
        <v>40</v>
      </c>
      <c r="B322" t="s">
        <v>1579</v>
      </c>
      <c r="C322" t="s">
        <v>1578</v>
      </c>
      <c r="D322">
        <v>3.7893200000000002E-2</v>
      </c>
      <c r="E322" t="s">
        <v>489</v>
      </c>
      <c r="F322" t="s">
        <v>490</v>
      </c>
      <c r="G322" t="s">
        <v>490</v>
      </c>
    </row>
    <row r="323" spans="1:7">
      <c r="A323" t="s">
        <v>41</v>
      </c>
      <c r="B323" t="s">
        <v>500</v>
      </c>
      <c r="C323" t="s">
        <v>499</v>
      </c>
      <c r="D323">
        <v>0.10927829999999999</v>
      </c>
      <c r="E323" t="s">
        <v>443</v>
      </c>
      <c r="F323" t="s">
        <v>501</v>
      </c>
      <c r="G323" t="s">
        <v>502</v>
      </c>
    </row>
    <row r="324" spans="1:7">
      <c r="A324" t="s">
        <v>41</v>
      </c>
      <c r="B324" t="s">
        <v>479</v>
      </c>
      <c r="C324" t="s">
        <v>478</v>
      </c>
      <c r="D324">
        <v>0.105185</v>
      </c>
      <c r="E324" t="s">
        <v>443</v>
      </c>
      <c r="F324" t="s">
        <v>480</v>
      </c>
      <c r="G324" t="s">
        <v>481</v>
      </c>
    </row>
    <row r="325" spans="1:7">
      <c r="A325" t="s">
        <v>41</v>
      </c>
      <c r="B325" t="s">
        <v>567</v>
      </c>
      <c r="C325" t="s">
        <v>566</v>
      </c>
      <c r="D325">
        <v>8.8383100000000006E-2</v>
      </c>
      <c r="E325" t="s">
        <v>443</v>
      </c>
      <c r="F325" t="s">
        <v>568</v>
      </c>
      <c r="G325" t="s">
        <v>569</v>
      </c>
    </row>
    <row r="326" spans="1:7">
      <c r="A326" t="s">
        <v>41</v>
      </c>
      <c r="B326" t="s">
        <v>531</v>
      </c>
      <c r="C326" t="s">
        <v>530</v>
      </c>
      <c r="D326">
        <v>8.4272799999999995E-2</v>
      </c>
      <c r="E326" t="s">
        <v>443</v>
      </c>
      <c r="F326" t="s">
        <v>532</v>
      </c>
      <c r="G326" t="s">
        <v>533</v>
      </c>
    </row>
    <row r="327" spans="1:7">
      <c r="A327" t="s">
        <v>41</v>
      </c>
      <c r="B327" t="s">
        <v>455</v>
      </c>
      <c r="C327" t="s">
        <v>454</v>
      </c>
      <c r="D327">
        <v>7.7746099999999999E-2</v>
      </c>
      <c r="E327" t="s">
        <v>443</v>
      </c>
      <c r="F327" t="s">
        <v>456</v>
      </c>
      <c r="G327" t="s">
        <v>457</v>
      </c>
    </row>
    <row r="328" spans="1:7">
      <c r="A328" t="s">
        <v>41</v>
      </c>
      <c r="B328" t="s">
        <v>600</v>
      </c>
      <c r="C328" t="s">
        <v>599</v>
      </c>
      <c r="D328">
        <v>3.9046999999999998E-2</v>
      </c>
      <c r="E328" t="s">
        <v>505</v>
      </c>
      <c r="F328" t="s">
        <v>601</v>
      </c>
      <c r="G328" t="s">
        <v>602</v>
      </c>
    </row>
    <row r="329" spans="1:7">
      <c r="A329" t="s">
        <v>41</v>
      </c>
      <c r="B329" t="s">
        <v>659</v>
      </c>
      <c r="C329" t="s">
        <v>658</v>
      </c>
      <c r="D329">
        <v>3.3890799999999999E-2</v>
      </c>
      <c r="E329" t="s">
        <v>443</v>
      </c>
      <c r="F329" t="s">
        <v>660</v>
      </c>
      <c r="G329" t="s">
        <v>661</v>
      </c>
    </row>
    <row r="330" spans="1:7">
      <c r="A330" t="s">
        <v>41</v>
      </c>
      <c r="B330" t="s">
        <v>535</v>
      </c>
      <c r="C330" t="s">
        <v>534</v>
      </c>
      <c r="D330">
        <v>3.0712900000000001E-2</v>
      </c>
      <c r="E330" t="s">
        <v>443</v>
      </c>
      <c r="F330" t="s">
        <v>536</v>
      </c>
      <c r="G330" t="s">
        <v>537</v>
      </c>
    </row>
    <row r="331" spans="1:7">
      <c r="A331" t="s">
        <v>41</v>
      </c>
      <c r="B331" t="s">
        <v>553</v>
      </c>
      <c r="C331" t="s">
        <v>552</v>
      </c>
      <c r="D331">
        <v>2.98859E-2</v>
      </c>
      <c r="E331" t="s">
        <v>443</v>
      </c>
      <c r="F331" t="s">
        <v>554</v>
      </c>
      <c r="G331" t="s">
        <v>555</v>
      </c>
    </row>
    <row r="332" spans="1:7">
      <c r="A332" t="s">
        <v>41</v>
      </c>
      <c r="B332" t="s">
        <v>705</v>
      </c>
      <c r="C332" t="s">
        <v>704</v>
      </c>
      <c r="D332">
        <v>2.8939300000000001E-2</v>
      </c>
      <c r="E332" t="s">
        <v>443</v>
      </c>
      <c r="F332" t="s">
        <v>706</v>
      </c>
      <c r="G332" t="s">
        <v>707</v>
      </c>
    </row>
    <row r="333" spans="1:7">
      <c r="A333" t="s">
        <v>42</v>
      </c>
      <c r="B333" t="s">
        <v>500</v>
      </c>
      <c r="C333" t="s">
        <v>499</v>
      </c>
      <c r="D333">
        <v>6.2925400000000006E-2</v>
      </c>
      <c r="E333" t="s">
        <v>443</v>
      </c>
      <c r="F333" t="s">
        <v>501</v>
      </c>
      <c r="G333" t="s">
        <v>502</v>
      </c>
    </row>
    <row r="334" spans="1:7">
      <c r="A334" t="s">
        <v>42</v>
      </c>
      <c r="B334" t="s">
        <v>479</v>
      </c>
      <c r="C334" t="s">
        <v>478</v>
      </c>
      <c r="D334">
        <v>5.7275901999999997E-2</v>
      </c>
      <c r="E334" t="s">
        <v>443</v>
      </c>
      <c r="F334" t="s">
        <v>480</v>
      </c>
      <c r="G334" t="s">
        <v>481</v>
      </c>
    </row>
    <row r="335" spans="1:7">
      <c r="A335" t="s">
        <v>42</v>
      </c>
      <c r="B335" t="s">
        <v>521</v>
      </c>
      <c r="C335" t="s">
        <v>520</v>
      </c>
      <c r="D335">
        <v>5.5709399999999999E-2</v>
      </c>
      <c r="E335" t="s">
        <v>505</v>
      </c>
      <c r="F335" t="s">
        <v>522</v>
      </c>
      <c r="G335" t="s">
        <v>523</v>
      </c>
    </row>
    <row r="336" spans="1:7">
      <c r="A336" t="s">
        <v>42</v>
      </c>
      <c r="B336" t="s">
        <v>892</v>
      </c>
      <c r="C336" t="s">
        <v>891</v>
      </c>
      <c r="D336">
        <v>5.5050402999999998E-2</v>
      </c>
      <c r="E336" t="s">
        <v>443</v>
      </c>
      <c r="F336" t="s">
        <v>893</v>
      </c>
      <c r="G336" t="s">
        <v>894</v>
      </c>
    </row>
    <row r="337" spans="1:7">
      <c r="A337" t="s">
        <v>42</v>
      </c>
      <c r="B337" t="s">
        <v>888</v>
      </c>
      <c r="C337" t="s">
        <v>887</v>
      </c>
      <c r="D337">
        <v>4.7253799999999999E-2</v>
      </c>
      <c r="E337" t="s">
        <v>505</v>
      </c>
      <c r="F337" t="s">
        <v>889</v>
      </c>
      <c r="G337" t="s">
        <v>890</v>
      </c>
    </row>
    <row r="338" spans="1:7">
      <c r="A338" t="s">
        <v>42</v>
      </c>
      <c r="B338" t="s">
        <v>467</v>
      </c>
      <c r="C338" t="s">
        <v>466</v>
      </c>
      <c r="D338">
        <v>4.1430302000000002E-2</v>
      </c>
      <c r="E338" t="s">
        <v>443</v>
      </c>
      <c r="F338" t="s">
        <v>468</v>
      </c>
      <c r="G338" t="s">
        <v>469</v>
      </c>
    </row>
    <row r="339" spans="1:7">
      <c r="A339" t="s">
        <v>42</v>
      </c>
      <c r="B339" t="s">
        <v>463</v>
      </c>
      <c r="C339" t="s">
        <v>462</v>
      </c>
      <c r="D339">
        <v>4.0642999999999999E-2</v>
      </c>
      <c r="E339" t="s">
        <v>443</v>
      </c>
      <c r="F339" t="s">
        <v>464</v>
      </c>
      <c r="G339" t="s">
        <v>465</v>
      </c>
    </row>
    <row r="340" spans="1:7">
      <c r="A340" t="s">
        <v>42</v>
      </c>
      <c r="B340" t="s">
        <v>459</v>
      </c>
      <c r="C340" t="s">
        <v>458</v>
      </c>
      <c r="D340">
        <v>3.94645E-2</v>
      </c>
      <c r="E340" t="s">
        <v>443</v>
      </c>
      <c r="F340" t="s">
        <v>460</v>
      </c>
      <c r="G340" t="s">
        <v>461</v>
      </c>
    </row>
    <row r="341" spans="1:7">
      <c r="A341" t="s">
        <v>42</v>
      </c>
      <c r="B341" t="s">
        <v>929</v>
      </c>
      <c r="C341" t="s">
        <v>928</v>
      </c>
      <c r="D341">
        <v>3.80056E-2</v>
      </c>
      <c r="E341" t="s">
        <v>505</v>
      </c>
      <c r="F341" t="s">
        <v>930</v>
      </c>
      <c r="G341" t="s">
        <v>931</v>
      </c>
    </row>
    <row r="342" spans="1:7">
      <c r="A342" t="s">
        <v>42</v>
      </c>
      <c r="B342" t="s">
        <v>1607</v>
      </c>
      <c r="C342" t="s">
        <v>1606</v>
      </c>
      <c r="D342">
        <v>3.7978202000000003E-2</v>
      </c>
      <c r="E342" t="s">
        <v>443</v>
      </c>
      <c r="F342" t="s">
        <v>1608</v>
      </c>
      <c r="G342" t="s">
        <v>1609</v>
      </c>
    </row>
    <row r="343" spans="1:7">
      <c r="A343" t="s">
        <v>43</v>
      </c>
      <c r="B343" t="s">
        <v>608</v>
      </c>
      <c r="C343" t="s">
        <v>607</v>
      </c>
      <c r="D343">
        <v>6.3427200000000003E-2</v>
      </c>
      <c r="E343" t="s">
        <v>489</v>
      </c>
      <c r="F343" t="s">
        <v>490</v>
      </c>
      <c r="G343" t="s">
        <v>490</v>
      </c>
    </row>
    <row r="344" spans="1:7">
      <c r="A344" t="s">
        <v>43</v>
      </c>
      <c r="B344" t="s">
        <v>535</v>
      </c>
      <c r="C344" t="s">
        <v>534</v>
      </c>
      <c r="D344">
        <v>6.3379400000000002E-2</v>
      </c>
      <c r="E344" t="s">
        <v>443</v>
      </c>
      <c r="F344" t="s">
        <v>536</v>
      </c>
      <c r="G344" t="s">
        <v>537</v>
      </c>
    </row>
    <row r="345" spans="1:7">
      <c r="A345" t="s">
        <v>43</v>
      </c>
      <c r="B345" t="s">
        <v>880</v>
      </c>
      <c r="C345" t="s">
        <v>879</v>
      </c>
      <c r="D345">
        <v>5.4776499999999999E-2</v>
      </c>
      <c r="E345" t="s">
        <v>505</v>
      </c>
      <c r="F345" t="s">
        <v>881</v>
      </c>
      <c r="G345" t="s">
        <v>882</v>
      </c>
    </row>
    <row r="346" spans="1:7">
      <c r="A346" t="s">
        <v>43</v>
      </c>
      <c r="B346" t="s">
        <v>659</v>
      </c>
      <c r="C346" t="s">
        <v>658</v>
      </c>
      <c r="D346">
        <v>4.9186399999999998E-2</v>
      </c>
      <c r="E346" t="s">
        <v>443</v>
      </c>
      <c r="F346" t="s">
        <v>660</v>
      </c>
      <c r="G346" t="s">
        <v>661</v>
      </c>
    </row>
    <row r="347" spans="1:7">
      <c r="A347" t="s">
        <v>43</v>
      </c>
      <c r="B347" t="s">
        <v>888</v>
      </c>
      <c r="C347" t="s">
        <v>887</v>
      </c>
      <c r="D347">
        <v>4.7703099999999998E-2</v>
      </c>
      <c r="E347" t="s">
        <v>505</v>
      </c>
      <c r="F347" t="s">
        <v>889</v>
      </c>
      <c r="G347" t="s">
        <v>890</v>
      </c>
    </row>
    <row r="348" spans="1:7">
      <c r="A348" t="s">
        <v>43</v>
      </c>
      <c r="B348" t="s">
        <v>1220</v>
      </c>
      <c r="C348" t="s">
        <v>1219</v>
      </c>
      <c r="D348">
        <v>4.3614199999999999E-2</v>
      </c>
      <c r="E348" t="s">
        <v>489</v>
      </c>
      <c r="F348" t="s">
        <v>490</v>
      </c>
      <c r="G348" t="s">
        <v>490</v>
      </c>
    </row>
    <row r="349" spans="1:7">
      <c r="A349" t="s">
        <v>43</v>
      </c>
      <c r="B349" t="s">
        <v>2349</v>
      </c>
      <c r="C349" t="s">
        <v>2348</v>
      </c>
      <c r="D349">
        <v>4.0454503000000003E-2</v>
      </c>
      <c r="E349" t="s">
        <v>489</v>
      </c>
      <c r="F349" t="s">
        <v>490</v>
      </c>
      <c r="G349" t="s">
        <v>490</v>
      </c>
    </row>
    <row r="350" spans="1:7">
      <c r="A350" t="s">
        <v>43</v>
      </c>
      <c r="B350" t="s">
        <v>600</v>
      </c>
      <c r="C350" t="s">
        <v>599</v>
      </c>
      <c r="D350">
        <v>3.9962900000000003E-2</v>
      </c>
      <c r="E350" t="s">
        <v>505</v>
      </c>
      <c r="F350" t="s">
        <v>601</v>
      </c>
      <c r="G350" t="s">
        <v>602</v>
      </c>
    </row>
    <row r="351" spans="1:7">
      <c r="A351" t="s">
        <v>43</v>
      </c>
      <c r="B351" t="s">
        <v>1571</v>
      </c>
      <c r="C351" t="s">
        <v>1570</v>
      </c>
      <c r="D351">
        <v>3.7319699999999997E-2</v>
      </c>
      <c r="E351" t="s">
        <v>505</v>
      </c>
      <c r="F351" t="s">
        <v>1572</v>
      </c>
      <c r="G351" t="s">
        <v>1573</v>
      </c>
    </row>
    <row r="352" spans="1:7">
      <c r="A352" t="s">
        <v>43</v>
      </c>
      <c r="B352" t="s">
        <v>929</v>
      </c>
      <c r="C352" t="s">
        <v>928</v>
      </c>
      <c r="D352">
        <v>3.6665700000000002E-2</v>
      </c>
      <c r="E352" t="s">
        <v>505</v>
      </c>
      <c r="F352" t="s">
        <v>930</v>
      </c>
      <c r="G352" t="s">
        <v>931</v>
      </c>
    </row>
    <row r="353" spans="1:7">
      <c r="A353" t="s">
        <v>44</v>
      </c>
      <c r="B353" t="s">
        <v>832</v>
      </c>
      <c r="C353" t="s">
        <v>831</v>
      </c>
      <c r="D353">
        <v>6.7742499999999997E-2</v>
      </c>
      <c r="E353" t="s">
        <v>833</v>
      </c>
      <c r="F353" t="s">
        <v>490</v>
      </c>
      <c r="G353" t="s">
        <v>834</v>
      </c>
    </row>
    <row r="354" spans="1:7">
      <c r="A354" t="s">
        <v>46</v>
      </c>
      <c r="B354" t="s">
        <v>513</v>
      </c>
      <c r="C354" t="s">
        <v>512</v>
      </c>
      <c r="D354">
        <v>0.1009236</v>
      </c>
      <c r="E354" t="s">
        <v>443</v>
      </c>
      <c r="F354" t="s">
        <v>514</v>
      </c>
      <c r="G354" t="s">
        <v>515</v>
      </c>
    </row>
    <row r="355" spans="1:7">
      <c r="A355" t="s">
        <v>46</v>
      </c>
      <c r="B355" t="s">
        <v>563</v>
      </c>
      <c r="C355" t="s">
        <v>562</v>
      </c>
      <c r="D355">
        <v>8.9293204000000001E-2</v>
      </c>
      <c r="E355" t="s">
        <v>505</v>
      </c>
      <c r="F355" t="s">
        <v>564</v>
      </c>
      <c r="G355" t="s">
        <v>565</v>
      </c>
    </row>
    <row r="356" spans="1:7">
      <c r="A356" t="s">
        <v>46</v>
      </c>
      <c r="B356" t="s">
        <v>647</v>
      </c>
      <c r="C356" t="s">
        <v>646</v>
      </c>
      <c r="D356">
        <v>5.4545299999999998E-2</v>
      </c>
      <c r="E356" t="s">
        <v>443</v>
      </c>
      <c r="F356" t="s">
        <v>648</v>
      </c>
      <c r="G356" t="s">
        <v>649</v>
      </c>
    </row>
    <row r="357" spans="1:7">
      <c r="A357" t="s">
        <v>46</v>
      </c>
      <c r="B357" t="s">
        <v>758</v>
      </c>
      <c r="C357" t="s">
        <v>757</v>
      </c>
      <c r="D357">
        <v>5.1552199999999999E-2</v>
      </c>
      <c r="E357" t="s">
        <v>505</v>
      </c>
      <c r="F357" t="s">
        <v>759</v>
      </c>
      <c r="G357" t="s">
        <v>760</v>
      </c>
    </row>
    <row r="358" spans="1:7">
      <c r="A358" t="s">
        <v>46</v>
      </c>
      <c r="B358" t="s">
        <v>631</v>
      </c>
      <c r="C358" t="s">
        <v>630</v>
      </c>
      <c r="D358">
        <v>4.9192199999999998E-2</v>
      </c>
      <c r="E358" t="s">
        <v>505</v>
      </c>
      <c r="F358" t="s">
        <v>632</v>
      </c>
      <c r="G358" t="s">
        <v>633</v>
      </c>
    </row>
    <row r="359" spans="1:7">
      <c r="A359" t="s">
        <v>46</v>
      </c>
      <c r="B359" t="s">
        <v>575</v>
      </c>
      <c r="C359" t="s">
        <v>574</v>
      </c>
      <c r="D359">
        <v>4.3214597E-2</v>
      </c>
      <c r="E359" t="s">
        <v>576</v>
      </c>
      <c r="F359" t="s">
        <v>577</v>
      </c>
      <c r="G359" t="s">
        <v>578</v>
      </c>
    </row>
    <row r="360" spans="1:7">
      <c r="A360" t="s">
        <v>46</v>
      </c>
      <c r="B360" t="s">
        <v>697</v>
      </c>
      <c r="C360" t="s">
        <v>696</v>
      </c>
      <c r="D360">
        <v>4.1198100000000001E-2</v>
      </c>
      <c r="E360" t="s">
        <v>489</v>
      </c>
      <c r="F360" t="s">
        <v>490</v>
      </c>
      <c r="G360" t="s">
        <v>490</v>
      </c>
    </row>
    <row r="361" spans="1:7">
      <c r="A361" t="s">
        <v>46</v>
      </c>
      <c r="B361" t="s">
        <v>870</v>
      </c>
      <c r="C361" t="s">
        <v>869</v>
      </c>
      <c r="D361">
        <v>4.0387699999999999E-2</v>
      </c>
      <c r="E361" t="s">
        <v>489</v>
      </c>
      <c r="F361" t="s">
        <v>490</v>
      </c>
      <c r="G361" t="s">
        <v>490</v>
      </c>
    </row>
    <row r="362" spans="1:7">
      <c r="A362" t="s">
        <v>46</v>
      </c>
      <c r="B362" t="s">
        <v>2351</v>
      </c>
      <c r="C362" t="s">
        <v>2350</v>
      </c>
      <c r="D362">
        <v>4.0292099999999997E-2</v>
      </c>
      <c r="E362" t="s">
        <v>443</v>
      </c>
      <c r="F362" t="s">
        <v>2352</v>
      </c>
      <c r="G362" t="s">
        <v>2353</v>
      </c>
    </row>
    <row r="363" spans="1:7">
      <c r="A363" t="s">
        <v>46</v>
      </c>
      <c r="B363" t="s">
        <v>900</v>
      </c>
      <c r="C363" t="s">
        <v>899</v>
      </c>
      <c r="D363">
        <v>3.7379099999999998E-2</v>
      </c>
      <c r="E363" t="s">
        <v>590</v>
      </c>
      <c r="F363" t="s">
        <v>901</v>
      </c>
      <c r="G363" t="s">
        <v>902</v>
      </c>
    </row>
    <row r="364" spans="1:7">
      <c r="A364" t="s">
        <v>47</v>
      </c>
      <c r="B364" t="s">
        <v>832</v>
      </c>
      <c r="C364" t="s">
        <v>831</v>
      </c>
      <c r="D364">
        <v>0.19740379</v>
      </c>
      <c r="E364" t="s">
        <v>833</v>
      </c>
      <c r="F364" t="s">
        <v>490</v>
      </c>
      <c r="G364" t="s">
        <v>834</v>
      </c>
    </row>
    <row r="365" spans="1:7">
      <c r="A365" t="s">
        <v>47</v>
      </c>
      <c r="B365" t="s">
        <v>1643</v>
      </c>
      <c r="C365" t="s">
        <v>1642</v>
      </c>
      <c r="D365">
        <v>0.16966619999999999</v>
      </c>
      <c r="E365" t="s">
        <v>489</v>
      </c>
      <c r="F365" t="s">
        <v>490</v>
      </c>
      <c r="G365" t="s">
        <v>490</v>
      </c>
    </row>
    <row r="366" spans="1:7">
      <c r="A366" t="s">
        <v>47</v>
      </c>
      <c r="B366" t="s">
        <v>1645</v>
      </c>
      <c r="C366" t="s">
        <v>1644</v>
      </c>
      <c r="D366">
        <v>0.16776699</v>
      </c>
      <c r="E366" t="s">
        <v>489</v>
      </c>
      <c r="F366" t="s">
        <v>490</v>
      </c>
      <c r="G366" t="s">
        <v>490</v>
      </c>
    </row>
    <row r="367" spans="1:7">
      <c r="A367" t="s">
        <v>47</v>
      </c>
      <c r="B367" t="s">
        <v>1651</v>
      </c>
      <c r="C367" t="s">
        <v>1650</v>
      </c>
      <c r="D367">
        <v>0.13689889999999999</v>
      </c>
      <c r="E367" t="s">
        <v>1652</v>
      </c>
      <c r="F367" t="s">
        <v>490</v>
      </c>
      <c r="G367" t="s">
        <v>1653</v>
      </c>
    </row>
    <row r="368" spans="1:7">
      <c r="A368" t="s">
        <v>47</v>
      </c>
      <c r="B368" t="s">
        <v>1655</v>
      </c>
      <c r="C368" t="s">
        <v>1654</v>
      </c>
      <c r="D368">
        <v>0.13678290000000001</v>
      </c>
      <c r="E368" t="s">
        <v>1652</v>
      </c>
      <c r="F368" t="s">
        <v>490</v>
      </c>
      <c r="G368" t="s">
        <v>1656</v>
      </c>
    </row>
    <row r="369" spans="1:7">
      <c r="A369" t="s">
        <v>47</v>
      </c>
      <c r="B369" t="s">
        <v>1658</v>
      </c>
      <c r="C369" t="s">
        <v>1657</v>
      </c>
      <c r="D369">
        <v>0.13671079999999999</v>
      </c>
      <c r="E369" t="s">
        <v>1659</v>
      </c>
      <c r="F369" t="s">
        <v>490</v>
      </c>
      <c r="G369" t="s">
        <v>1660</v>
      </c>
    </row>
    <row r="370" spans="1:7">
      <c r="A370" t="s">
        <v>47</v>
      </c>
      <c r="B370" t="s">
        <v>3072</v>
      </c>
      <c r="C370" t="s">
        <v>3071</v>
      </c>
      <c r="D370">
        <v>1.86523E-2</v>
      </c>
      <c r="E370" t="s">
        <v>489</v>
      </c>
      <c r="F370" t="s">
        <v>490</v>
      </c>
      <c r="G370" t="s">
        <v>490</v>
      </c>
    </row>
    <row r="371" spans="1:7">
      <c r="A371" t="s">
        <v>47</v>
      </c>
      <c r="B371" t="s">
        <v>3078</v>
      </c>
      <c r="C371" t="s">
        <v>3077</v>
      </c>
      <c r="D371">
        <v>1.8215701000000001E-2</v>
      </c>
      <c r="E371" t="s">
        <v>489</v>
      </c>
      <c r="F371" t="s">
        <v>490</v>
      </c>
      <c r="G371" t="s">
        <v>490</v>
      </c>
    </row>
    <row r="372" spans="1:7">
      <c r="A372" t="s">
        <v>47</v>
      </c>
      <c r="B372" t="s">
        <v>3080</v>
      </c>
      <c r="C372" t="s">
        <v>3079</v>
      </c>
      <c r="D372">
        <v>1.7986799000000001E-2</v>
      </c>
      <c r="E372" t="s">
        <v>489</v>
      </c>
      <c r="F372" t="s">
        <v>490</v>
      </c>
      <c r="G372" t="s">
        <v>490</v>
      </c>
    </row>
    <row r="373" spans="1:7">
      <c r="A373" t="s">
        <v>48</v>
      </c>
      <c r="B373" t="s">
        <v>483</v>
      </c>
      <c r="C373" t="s">
        <v>482</v>
      </c>
      <c r="D373">
        <v>0.24745020000000001</v>
      </c>
      <c r="E373" t="s">
        <v>484</v>
      </c>
      <c r="F373" t="s">
        <v>485</v>
      </c>
      <c r="G373" t="s">
        <v>486</v>
      </c>
    </row>
    <row r="374" spans="1:7">
      <c r="A374" t="s">
        <v>48</v>
      </c>
      <c r="B374" t="s">
        <v>627</v>
      </c>
      <c r="C374" t="s">
        <v>626</v>
      </c>
      <c r="D374">
        <v>0.16343550000000001</v>
      </c>
      <c r="E374" t="s">
        <v>484</v>
      </c>
      <c r="F374" t="s">
        <v>628</v>
      </c>
      <c r="G374" t="s">
        <v>629</v>
      </c>
    </row>
    <row r="375" spans="1:7">
      <c r="A375" t="s">
        <v>48</v>
      </c>
      <c r="B375" t="s">
        <v>832</v>
      </c>
      <c r="C375" t="s">
        <v>831</v>
      </c>
      <c r="D375">
        <v>0.14903839999999999</v>
      </c>
      <c r="E375" t="s">
        <v>833</v>
      </c>
      <c r="F375" t="s">
        <v>490</v>
      </c>
      <c r="G375" t="s">
        <v>834</v>
      </c>
    </row>
    <row r="376" spans="1:7">
      <c r="A376" t="s">
        <v>48</v>
      </c>
      <c r="B376" t="s">
        <v>1369</v>
      </c>
      <c r="C376" t="s">
        <v>1368</v>
      </c>
      <c r="D376">
        <v>6.5655099999999994E-2</v>
      </c>
      <c r="E376" t="s">
        <v>1055</v>
      </c>
      <c r="F376" t="s">
        <v>1370</v>
      </c>
      <c r="G376" t="s">
        <v>1371</v>
      </c>
    </row>
    <row r="377" spans="1:7">
      <c r="A377" t="s">
        <v>48</v>
      </c>
      <c r="B377" t="s">
        <v>898</v>
      </c>
      <c r="C377" t="s">
        <v>897</v>
      </c>
      <c r="D377">
        <v>5.1114800000000002E-2</v>
      </c>
      <c r="E377" t="s">
        <v>489</v>
      </c>
      <c r="F377" t="s">
        <v>490</v>
      </c>
      <c r="G377" t="s">
        <v>490</v>
      </c>
    </row>
    <row r="378" spans="1:7">
      <c r="A378" t="s">
        <v>48</v>
      </c>
      <c r="B378" t="s">
        <v>447</v>
      </c>
      <c r="C378" t="s">
        <v>446</v>
      </c>
      <c r="D378">
        <v>4.8356099999999999E-2</v>
      </c>
      <c r="E378" t="s">
        <v>443</v>
      </c>
      <c r="F378" t="s">
        <v>448</v>
      </c>
      <c r="G378" t="s">
        <v>449</v>
      </c>
    </row>
    <row r="379" spans="1:7">
      <c r="A379" t="s">
        <v>48</v>
      </c>
      <c r="B379" t="s">
        <v>673</v>
      </c>
      <c r="C379" t="s">
        <v>672</v>
      </c>
      <c r="D379">
        <v>4.18923E-2</v>
      </c>
      <c r="E379" t="s">
        <v>489</v>
      </c>
      <c r="F379" t="s">
        <v>490</v>
      </c>
      <c r="G379" t="s">
        <v>490</v>
      </c>
    </row>
    <row r="380" spans="1:7">
      <c r="A380" t="s">
        <v>49</v>
      </c>
      <c r="B380" t="s">
        <v>1297</v>
      </c>
      <c r="C380" t="s">
        <v>1296</v>
      </c>
      <c r="D380">
        <v>9.8800495000000002E-2</v>
      </c>
      <c r="E380" t="s">
        <v>1028</v>
      </c>
      <c r="F380" t="s">
        <v>1298</v>
      </c>
      <c r="G380" t="s">
        <v>1299</v>
      </c>
    </row>
    <row r="381" spans="1:7">
      <c r="A381" t="s">
        <v>49</v>
      </c>
      <c r="B381" t="s">
        <v>1676</v>
      </c>
      <c r="C381" t="s">
        <v>1675</v>
      </c>
      <c r="D381">
        <v>9.7647700000000004E-2</v>
      </c>
      <c r="E381" t="s">
        <v>1028</v>
      </c>
      <c r="F381" t="s">
        <v>1677</v>
      </c>
      <c r="G381" t="s">
        <v>1678</v>
      </c>
    </row>
    <row r="382" spans="1:7">
      <c r="A382" t="s">
        <v>49</v>
      </c>
      <c r="B382" t="s">
        <v>1686</v>
      </c>
      <c r="C382" t="s">
        <v>1685</v>
      </c>
      <c r="D382">
        <v>8.7865694999999994E-2</v>
      </c>
      <c r="E382" t="s">
        <v>1028</v>
      </c>
      <c r="F382" t="s">
        <v>1687</v>
      </c>
      <c r="G382" t="s">
        <v>1688</v>
      </c>
    </row>
    <row r="383" spans="1:7">
      <c r="A383" t="s">
        <v>49</v>
      </c>
      <c r="B383" t="s">
        <v>1706</v>
      </c>
      <c r="C383" t="s">
        <v>1705</v>
      </c>
      <c r="D383">
        <v>7.9035304000000001E-2</v>
      </c>
      <c r="E383" t="s">
        <v>1028</v>
      </c>
      <c r="F383" t="s">
        <v>1707</v>
      </c>
      <c r="G383" t="s">
        <v>1708</v>
      </c>
    </row>
    <row r="384" spans="1:7">
      <c r="A384" t="s">
        <v>49</v>
      </c>
      <c r="B384" t="s">
        <v>1742</v>
      </c>
      <c r="C384" t="s">
        <v>1741</v>
      </c>
      <c r="D384">
        <v>7.1001499999999995E-2</v>
      </c>
      <c r="E384" t="s">
        <v>1028</v>
      </c>
      <c r="F384" t="s">
        <v>1743</v>
      </c>
      <c r="G384" t="s">
        <v>1744</v>
      </c>
    </row>
    <row r="385" spans="1:7">
      <c r="A385" t="s">
        <v>49</v>
      </c>
      <c r="B385" t="s">
        <v>1073</v>
      </c>
      <c r="C385" t="s">
        <v>1072</v>
      </c>
      <c r="D385">
        <v>6.6018400000000005E-2</v>
      </c>
      <c r="E385" t="s">
        <v>1074</v>
      </c>
      <c r="F385" t="s">
        <v>1075</v>
      </c>
      <c r="G385" t="s">
        <v>1076</v>
      </c>
    </row>
    <row r="386" spans="1:7">
      <c r="A386" t="s">
        <v>49</v>
      </c>
      <c r="B386" t="s">
        <v>1957</v>
      </c>
      <c r="C386" t="s">
        <v>1956</v>
      </c>
      <c r="D386">
        <v>4.9517296000000002E-2</v>
      </c>
      <c r="E386" t="s">
        <v>1329</v>
      </c>
      <c r="F386" t="s">
        <v>1958</v>
      </c>
      <c r="G386" t="s">
        <v>1959</v>
      </c>
    </row>
    <row r="387" spans="1:7">
      <c r="A387" t="s">
        <v>49</v>
      </c>
      <c r="B387" t="s">
        <v>1993</v>
      </c>
      <c r="C387" t="s">
        <v>1992</v>
      </c>
      <c r="D387">
        <v>4.80721E-2</v>
      </c>
      <c r="E387" t="s">
        <v>845</v>
      </c>
      <c r="F387" t="s">
        <v>1994</v>
      </c>
      <c r="G387" t="s">
        <v>1995</v>
      </c>
    </row>
    <row r="388" spans="1:7">
      <c r="A388" t="s">
        <v>49</v>
      </c>
      <c r="B388" t="s">
        <v>2207</v>
      </c>
      <c r="C388" t="s">
        <v>2206</v>
      </c>
      <c r="D388">
        <v>4.3068599999999999E-2</v>
      </c>
      <c r="E388" t="s">
        <v>845</v>
      </c>
      <c r="F388" t="s">
        <v>2208</v>
      </c>
      <c r="G388" t="s">
        <v>2209</v>
      </c>
    </row>
    <row r="389" spans="1:7">
      <c r="A389" t="s">
        <v>49</v>
      </c>
      <c r="B389" t="s">
        <v>2237</v>
      </c>
      <c r="C389" t="s">
        <v>2236</v>
      </c>
      <c r="D389">
        <v>4.2464599999999998E-2</v>
      </c>
      <c r="E389" t="s">
        <v>845</v>
      </c>
      <c r="F389" t="s">
        <v>2238</v>
      </c>
      <c r="G389" t="s">
        <v>2239</v>
      </c>
    </row>
    <row r="390" spans="1:7">
      <c r="A390" t="s">
        <v>50</v>
      </c>
      <c r="B390" t="s">
        <v>471</v>
      </c>
      <c r="C390" t="s">
        <v>470</v>
      </c>
      <c r="D390">
        <v>5.0030600000000001E-2</v>
      </c>
      <c r="E390" t="s">
        <v>443</v>
      </c>
      <c r="F390" t="s">
        <v>472</v>
      </c>
      <c r="G390" t="s">
        <v>473</v>
      </c>
    </row>
    <row r="391" spans="1:7">
      <c r="A391" t="s">
        <v>50</v>
      </c>
      <c r="B391" t="s">
        <v>496</v>
      </c>
      <c r="C391" t="s">
        <v>495</v>
      </c>
      <c r="D391">
        <v>2.91785E-2</v>
      </c>
      <c r="E391" t="s">
        <v>443</v>
      </c>
      <c r="F391" t="s">
        <v>497</v>
      </c>
      <c r="G391" t="s">
        <v>498</v>
      </c>
    </row>
    <row r="392" spans="1:7">
      <c r="A392" t="s">
        <v>50</v>
      </c>
      <c r="B392" t="s">
        <v>442</v>
      </c>
      <c r="C392" t="s">
        <v>441</v>
      </c>
      <c r="D392">
        <v>2.6618801000000001E-2</v>
      </c>
      <c r="E392" t="s">
        <v>443</v>
      </c>
      <c r="F392" t="s">
        <v>444</v>
      </c>
      <c r="G392" t="s">
        <v>445</v>
      </c>
    </row>
    <row r="393" spans="1:7">
      <c r="A393" t="s">
        <v>50</v>
      </c>
      <c r="B393" t="s">
        <v>463</v>
      </c>
      <c r="C393" t="s">
        <v>462</v>
      </c>
      <c r="D393">
        <v>2.6484001E-2</v>
      </c>
      <c r="E393" t="s">
        <v>443</v>
      </c>
      <c r="F393" t="s">
        <v>464</v>
      </c>
      <c r="G393" t="s">
        <v>465</v>
      </c>
    </row>
    <row r="394" spans="1:7">
      <c r="A394" t="s">
        <v>50</v>
      </c>
      <c r="B394" t="s">
        <v>2880</v>
      </c>
      <c r="C394" t="s">
        <v>2879</v>
      </c>
      <c r="D394">
        <v>2.4863E-2</v>
      </c>
      <c r="E394" t="s">
        <v>585</v>
      </c>
      <c r="F394" t="s">
        <v>2881</v>
      </c>
      <c r="G394" t="s">
        <v>2882</v>
      </c>
    </row>
    <row r="395" spans="1:7">
      <c r="A395" t="s">
        <v>50</v>
      </c>
      <c r="B395" t="s">
        <v>825</v>
      </c>
      <c r="C395" t="s">
        <v>824</v>
      </c>
      <c r="D395">
        <v>2.3233699999999999E-2</v>
      </c>
      <c r="E395" t="s">
        <v>826</v>
      </c>
      <c r="F395" t="s">
        <v>827</v>
      </c>
      <c r="G395" t="s">
        <v>828</v>
      </c>
    </row>
    <row r="396" spans="1:7">
      <c r="A396" t="s">
        <v>50</v>
      </c>
      <c r="B396" t="s">
        <v>529</v>
      </c>
      <c r="C396" t="s">
        <v>528</v>
      </c>
      <c r="D396">
        <v>2.2824298999999999E-2</v>
      </c>
      <c r="E396" t="s">
        <v>489</v>
      </c>
      <c r="F396" t="s">
        <v>490</v>
      </c>
      <c r="G396" t="s">
        <v>490</v>
      </c>
    </row>
    <row r="397" spans="1:7">
      <c r="A397" t="s">
        <v>50</v>
      </c>
      <c r="B397" t="s">
        <v>467</v>
      </c>
      <c r="C397" t="s">
        <v>466</v>
      </c>
      <c r="D397">
        <v>2.2410800000000002E-2</v>
      </c>
      <c r="E397" t="s">
        <v>443</v>
      </c>
      <c r="F397" t="s">
        <v>468</v>
      </c>
      <c r="G397" t="s">
        <v>469</v>
      </c>
    </row>
    <row r="398" spans="1:7">
      <c r="A398" t="s">
        <v>50</v>
      </c>
      <c r="B398" t="s">
        <v>1040</v>
      </c>
      <c r="C398" t="s">
        <v>1039</v>
      </c>
      <c r="D398">
        <v>2.2265601999999999E-2</v>
      </c>
      <c r="E398" t="s">
        <v>489</v>
      </c>
      <c r="F398" t="s">
        <v>490</v>
      </c>
      <c r="G398" t="s">
        <v>490</v>
      </c>
    </row>
    <row r="399" spans="1:7">
      <c r="A399" t="s">
        <v>50</v>
      </c>
      <c r="B399" t="s">
        <v>617</v>
      </c>
      <c r="C399" t="s">
        <v>616</v>
      </c>
      <c r="D399">
        <v>2.0902899999999999E-2</v>
      </c>
      <c r="E399" t="s">
        <v>618</v>
      </c>
      <c r="F399" t="s">
        <v>619</v>
      </c>
      <c r="G399" t="s">
        <v>620</v>
      </c>
    </row>
    <row r="400" spans="1:7">
      <c r="A400" t="s">
        <v>51</v>
      </c>
      <c r="B400" t="s">
        <v>721</v>
      </c>
      <c r="C400" t="s">
        <v>720</v>
      </c>
      <c r="D400">
        <v>0.1221652</v>
      </c>
      <c r="E400" t="s">
        <v>443</v>
      </c>
      <c r="F400" t="s">
        <v>722</v>
      </c>
      <c r="G400" t="s">
        <v>723</v>
      </c>
    </row>
    <row r="401" spans="1:7">
      <c r="A401" t="s">
        <v>51</v>
      </c>
      <c r="B401" t="s">
        <v>733</v>
      </c>
      <c r="C401" t="s">
        <v>732</v>
      </c>
      <c r="D401">
        <v>0.1090555</v>
      </c>
      <c r="E401" t="s">
        <v>505</v>
      </c>
      <c r="F401" t="s">
        <v>734</v>
      </c>
      <c r="G401" t="s">
        <v>735</v>
      </c>
    </row>
    <row r="402" spans="1:7">
      <c r="A402" t="s">
        <v>51</v>
      </c>
      <c r="B402" t="s">
        <v>729</v>
      </c>
      <c r="C402" t="s">
        <v>728</v>
      </c>
      <c r="D402">
        <v>9.6271800000000005E-2</v>
      </c>
      <c r="E402" t="s">
        <v>505</v>
      </c>
      <c r="F402" t="s">
        <v>730</v>
      </c>
      <c r="G402" t="s">
        <v>731</v>
      </c>
    </row>
    <row r="403" spans="1:7">
      <c r="A403" t="s">
        <v>51</v>
      </c>
      <c r="B403" t="s">
        <v>958</v>
      </c>
      <c r="C403" t="s">
        <v>957</v>
      </c>
      <c r="D403">
        <v>7.0751400000000006E-2</v>
      </c>
      <c r="E403" t="s">
        <v>505</v>
      </c>
      <c r="F403" t="s">
        <v>959</v>
      </c>
      <c r="G403" t="s">
        <v>960</v>
      </c>
    </row>
    <row r="404" spans="1:7">
      <c r="A404" t="s">
        <v>51</v>
      </c>
      <c r="B404" t="s">
        <v>782</v>
      </c>
      <c r="C404" t="s">
        <v>781</v>
      </c>
      <c r="D404">
        <v>5.2987899999999998E-2</v>
      </c>
      <c r="E404" t="s">
        <v>783</v>
      </c>
      <c r="F404" t="s">
        <v>784</v>
      </c>
      <c r="G404" t="s">
        <v>785</v>
      </c>
    </row>
    <row r="405" spans="1:7">
      <c r="A405" t="s">
        <v>51</v>
      </c>
      <c r="B405" t="s">
        <v>483</v>
      </c>
      <c r="C405" t="s">
        <v>482</v>
      </c>
      <c r="D405">
        <v>4.7166300000000001E-2</v>
      </c>
      <c r="E405" t="s">
        <v>484</v>
      </c>
      <c r="F405" t="s">
        <v>485</v>
      </c>
      <c r="G405" t="s">
        <v>486</v>
      </c>
    </row>
    <row r="406" spans="1:7">
      <c r="A406" t="s">
        <v>51</v>
      </c>
      <c r="B406" t="s">
        <v>2116</v>
      </c>
      <c r="C406" t="s">
        <v>2115</v>
      </c>
      <c r="D406">
        <v>4.4889499999999999E-2</v>
      </c>
      <c r="E406" t="s">
        <v>443</v>
      </c>
      <c r="F406" t="s">
        <v>2117</v>
      </c>
      <c r="G406" t="s">
        <v>2118</v>
      </c>
    </row>
    <row r="407" spans="1:7">
      <c r="A407" t="s">
        <v>51</v>
      </c>
      <c r="B407" t="s">
        <v>447</v>
      </c>
      <c r="C407" t="s">
        <v>446</v>
      </c>
      <c r="D407">
        <v>4.4176600000000003E-2</v>
      </c>
      <c r="E407" t="s">
        <v>443</v>
      </c>
      <c r="F407" t="s">
        <v>448</v>
      </c>
      <c r="G407" t="s">
        <v>449</v>
      </c>
    </row>
    <row r="408" spans="1:7">
      <c r="A408" t="s">
        <v>51</v>
      </c>
      <c r="B408" t="s">
        <v>509</v>
      </c>
      <c r="C408" t="s">
        <v>508</v>
      </c>
      <c r="D408">
        <v>3.8449299999999999E-2</v>
      </c>
      <c r="E408" t="s">
        <v>443</v>
      </c>
      <c r="F408" t="s">
        <v>510</v>
      </c>
      <c r="G408" t="s">
        <v>511</v>
      </c>
    </row>
    <row r="409" spans="1:7">
      <c r="A409" t="s">
        <v>51</v>
      </c>
      <c r="B409" t="s">
        <v>896</v>
      </c>
      <c r="C409" t="s">
        <v>895</v>
      </c>
      <c r="D409">
        <v>3.6243997999999999E-2</v>
      </c>
      <c r="E409" t="s">
        <v>489</v>
      </c>
      <c r="F409" t="s">
        <v>490</v>
      </c>
      <c r="G409" t="s">
        <v>490</v>
      </c>
    </row>
    <row r="410" spans="1:7">
      <c r="A410" t="s">
        <v>52</v>
      </c>
      <c r="B410" t="s">
        <v>525</v>
      </c>
      <c r="C410" t="s">
        <v>524</v>
      </c>
      <c r="D410">
        <v>7.4829005000000004E-2</v>
      </c>
      <c r="E410" t="s">
        <v>443</v>
      </c>
      <c r="F410" t="s">
        <v>526</v>
      </c>
      <c r="G410" t="s">
        <v>527</v>
      </c>
    </row>
    <row r="411" spans="1:7">
      <c r="A411" t="s">
        <v>52</v>
      </c>
      <c r="B411" t="s">
        <v>563</v>
      </c>
      <c r="C411" t="s">
        <v>562</v>
      </c>
      <c r="D411">
        <v>7.1291099999999996E-2</v>
      </c>
      <c r="E411" t="s">
        <v>505</v>
      </c>
      <c r="F411" t="s">
        <v>564</v>
      </c>
      <c r="G411" t="s">
        <v>565</v>
      </c>
    </row>
    <row r="412" spans="1:7">
      <c r="A412" t="s">
        <v>52</v>
      </c>
      <c r="B412" t="s">
        <v>513</v>
      </c>
      <c r="C412" t="s">
        <v>512</v>
      </c>
      <c r="D412">
        <v>7.0566799999999999E-2</v>
      </c>
      <c r="E412" t="s">
        <v>443</v>
      </c>
      <c r="F412" t="s">
        <v>514</v>
      </c>
      <c r="G412" t="s">
        <v>515</v>
      </c>
    </row>
    <row r="413" spans="1:7">
      <c r="A413" t="s">
        <v>52</v>
      </c>
      <c r="B413" t="s">
        <v>745</v>
      </c>
      <c r="C413" t="s">
        <v>744</v>
      </c>
      <c r="D413">
        <v>6.9378300000000004E-2</v>
      </c>
      <c r="E413" t="s">
        <v>505</v>
      </c>
      <c r="F413" t="s">
        <v>746</v>
      </c>
      <c r="G413" t="s">
        <v>747</v>
      </c>
    </row>
    <row r="414" spans="1:7">
      <c r="A414" t="s">
        <v>52</v>
      </c>
      <c r="B414" t="s">
        <v>693</v>
      </c>
      <c r="C414" t="s">
        <v>692</v>
      </c>
      <c r="D414">
        <v>6.9036104000000001E-2</v>
      </c>
      <c r="E414" t="s">
        <v>505</v>
      </c>
      <c r="F414" t="s">
        <v>694</v>
      </c>
      <c r="G414" t="s">
        <v>695</v>
      </c>
    </row>
    <row r="415" spans="1:7">
      <c r="A415" t="s">
        <v>52</v>
      </c>
      <c r="B415" t="s">
        <v>749</v>
      </c>
      <c r="C415" t="s">
        <v>748</v>
      </c>
      <c r="D415">
        <v>6.8386600000000006E-2</v>
      </c>
      <c r="E415" t="s">
        <v>505</v>
      </c>
      <c r="F415" t="s">
        <v>750</v>
      </c>
      <c r="G415" t="s">
        <v>751</v>
      </c>
    </row>
    <row r="416" spans="1:7">
      <c r="A416" t="s">
        <v>52</v>
      </c>
      <c r="B416" t="s">
        <v>500</v>
      </c>
      <c r="C416" t="s">
        <v>499</v>
      </c>
      <c r="D416">
        <v>4.1422100000000003E-2</v>
      </c>
      <c r="E416" t="s">
        <v>443</v>
      </c>
      <c r="F416" t="s">
        <v>501</v>
      </c>
      <c r="G416" t="s">
        <v>502</v>
      </c>
    </row>
    <row r="417" spans="1:7">
      <c r="A417" t="s">
        <v>52</v>
      </c>
      <c r="B417" t="s">
        <v>567</v>
      </c>
      <c r="C417" t="s">
        <v>566</v>
      </c>
      <c r="D417">
        <v>4.1295699999999998E-2</v>
      </c>
      <c r="E417" t="s">
        <v>443</v>
      </c>
      <c r="F417" t="s">
        <v>568</v>
      </c>
      <c r="G417" t="s">
        <v>569</v>
      </c>
    </row>
    <row r="418" spans="1:7">
      <c r="A418" t="s">
        <v>52</v>
      </c>
      <c r="B418" t="s">
        <v>479</v>
      </c>
      <c r="C418" t="s">
        <v>478</v>
      </c>
      <c r="D418">
        <v>4.0109300000000001E-2</v>
      </c>
      <c r="E418" t="s">
        <v>443</v>
      </c>
      <c r="F418" t="s">
        <v>480</v>
      </c>
      <c r="G418" t="s">
        <v>481</v>
      </c>
    </row>
    <row r="419" spans="1:7">
      <c r="A419" t="s">
        <v>52</v>
      </c>
      <c r="B419" t="s">
        <v>553</v>
      </c>
      <c r="C419" t="s">
        <v>552</v>
      </c>
      <c r="D419">
        <v>3.8954999999999997E-2</v>
      </c>
      <c r="E419" t="s">
        <v>443</v>
      </c>
      <c r="F419" t="s">
        <v>554</v>
      </c>
      <c r="G419" t="s">
        <v>555</v>
      </c>
    </row>
    <row r="420" spans="1:7">
      <c r="A420" t="s">
        <v>53</v>
      </c>
      <c r="B420" t="s">
        <v>1977</v>
      </c>
      <c r="C420" t="s">
        <v>1976</v>
      </c>
      <c r="D420">
        <v>4.8544900000000002E-2</v>
      </c>
      <c r="E420" t="s">
        <v>754</v>
      </c>
      <c r="F420" t="s">
        <v>1978</v>
      </c>
      <c r="G420" t="s">
        <v>1979</v>
      </c>
    </row>
    <row r="421" spans="1:7">
      <c r="A421" t="s">
        <v>53</v>
      </c>
      <c r="B421" t="s">
        <v>1341</v>
      </c>
      <c r="C421" t="s">
        <v>1340</v>
      </c>
      <c r="D421">
        <v>4.5093796999999998E-2</v>
      </c>
      <c r="E421" t="s">
        <v>783</v>
      </c>
      <c r="F421" t="s">
        <v>1342</v>
      </c>
      <c r="G421" t="s">
        <v>1343</v>
      </c>
    </row>
    <row r="422" spans="1:7">
      <c r="A422" t="s">
        <v>53</v>
      </c>
      <c r="B422" t="s">
        <v>1447</v>
      </c>
      <c r="C422" t="s">
        <v>1446</v>
      </c>
      <c r="D422">
        <v>4.5029501999999999E-2</v>
      </c>
      <c r="E422" t="s">
        <v>754</v>
      </c>
      <c r="F422" t="s">
        <v>1448</v>
      </c>
      <c r="G422" t="s">
        <v>1449</v>
      </c>
    </row>
    <row r="423" spans="1:7">
      <c r="A423" t="s">
        <v>53</v>
      </c>
      <c r="B423" t="s">
        <v>2136</v>
      </c>
      <c r="C423" t="s">
        <v>2135</v>
      </c>
      <c r="D423">
        <v>4.4548302999999997E-2</v>
      </c>
      <c r="E423" t="s">
        <v>754</v>
      </c>
      <c r="F423" t="s">
        <v>2137</v>
      </c>
      <c r="G423" t="s">
        <v>2138</v>
      </c>
    </row>
    <row r="424" spans="1:7">
      <c r="A424" t="s">
        <v>53</v>
      </c>
      <c r="B424" t="s">
        <v>549</v>
      </c>
      <c r="C424" t="s">
        <v>548</v>
      </c>
      <c r="D424">
        <v>4.4164599999999998E-2</v>
      </c>
      <c r="E424" t="s">
        <v>505</v>
      </c>
      <c r="F424" t="s">
        <v>550</v>
      </c>
      <c r="G424" t="s">
        <v>551</v>
      </c>
    </row>
    <row r="425" spans="1:7">
      <c r="A425" t="s">
        <v>53</v>
      </c>
      <c r="B425" t="s">
        <v>2173</v>
      </c>
      <c r="C425" t="s">
        <v>2172</v>
      </c>
      <c r="D425">
        <v>4.3954401999999997E-2</v>
      </c>
      <c r="E425" t="s">
        <v>2174</v>
      </c>
      <c r="F425" t="s">
        <v>2175</v>
      </c>
      <c r="G425" t="s">
        <v>2176</v>
      </c>
    </row>
    <row r="426" spans="1:7">
      <c r="A426" t="s">
        <v>53</v>
      </c>
      <c r="B426" t="s">
        <v>2201</v>
      </c>
      <c r="C426" t="s">
        <v>2200</v>
      </c>
      <c r="D426">
        <v>4.3192899999999999E-2</v>
      </c>
      <c r="E426" t="s">
        <v>489</v>
      </c>
      <c r="F426" t="s">
        <v>490</v>
      </c>
      <c r="G426" t="s">
        <v>490</v>
      </c>
    </row>
    <row r="427" spans="1:7">
      <c r="A427" t="s">
        <v>53</v>
      </c>
      <c r="B427" t="s">
        <v>1105</v>
      </c>
      <c r="C427" t="s">
        <v>1104</v>
      </c>
      <c r="D427">
        <v>3.9648900000000001E-2</v>
      </c>
      <c r="E427" t="s">
        <v>505</v>
      </c>
      <c r="F427" t="s">
        <v>1106</v>
      </c>
      <c r="G427" t="s">
        <v>1107</v>
      </c>
    </row>
    <row r="428" spans="1:7">
      <c r="A428" t="s">
        <v>53</v>
      </c>
      <c r="B428" t="s">
        <v>2460</v>
      </c>
      <c r="C428" t="s">
        <v>2459</v>
      </c>
      <c r="D428">
        <v>3.7655000000000001E-2</v>
      </c>
      <c r="E428" t="s">
        <v>1028</v>
      </c>
      <c r="F428" t="s">
        <v>2461</v>
      </c>
      <c r="G428" t="s">
        <v>2462</v>
      </c>
    </row>
    <row r="429" spans="1:7">
      <c r="A429" t="s">
        <v>53</v>
      </c>
      <c r="B429" t="s">
        <v>2507</v>
      </c>
      <c r="C429" t="s">
        <v>2506</v>
      </c>
      <c r="D429">
        <v>3.6165900000000001E-2</v>
      </c>
      <c r="E429" t="s">
        <v>1470</v>
      </c>
      <c r="F429" t="s">
        <v>2508</v>
      </c>
      <c r="G429" t="s">
        <v>2509</v>
      </c>
    </row>
    <row r="430" spans="1:7">
      <c r="A430" t="s">
        <v>54</v>
      </c>
      <c r="B430" t="s">
        <v>1187</v>
      </c>
      <c r="C430" t="s">
        <v>1186</v>
      </c>
      <c r="D430">
        <v>5.5759000000000003E-2</v>
      </c>
      <c r="E430" t="s">
        <v>443</v>
      </c>
      <c r="F430" t="s">
        <v>1188</v>
      </c>
      <c r="G430" t="s">
        <v>1189</v>
      </c>
    </row>
    <row r="431" spans="1:7">
      <c r="A431" t="s">
        <v>54</v>
      </c>
      <c r="B431" t="s">
        <v>459</v>
      </c>
      <c r="C431" t="s">
        <v>458</v>
      </c>
      <c r="D431">
        <v>5.5089302E-2</v>
      </c>
      <c r="E431" t="s">
        <v>443</v>
      </c>
      <c r="F431" t="s">
        <v>460</v>
      </c>
      <c r="G431" t="s">
        <v>461</v>
      </c>
    </row>
    <row r="432" spans="1:7">
      <c r="A432" t="s">
        <v>54</v>
      </c>
      <c r="B432" t="s">
        <v>1511</v>
      </c>
      <c r="C432" t="s">
        <v>1510</v>
      </c>
      <c r="D432">
        <v>4.8121200000000003E-2</v>
      </c>
      <c r="E432" t="s">
        <v>505</v>
      </c>
      <c r="F432" t="s">
        <v>1512</v>
      </c>
      <c r="G432" t="s">
        <v>1513</v>
      </c>
    </row>
    <row r="433" spans="1:7">
      <c r="A433" t="s">
        <v>54</v>
      </c>
      <c r="B433" t="s">
        <v>2016</v>
      </c>
      <c r="C433" t="s">
        <v>2015</v>
      </c>
      <c r="D433">
        <v>4.7459399999999999E-2</v>
      </c>
      <c r="E433" t="s">
        <v>489</v>
      </c>
      <c r="F433" t="s">
        <v>490</v>
      </c>
      <c r="G433" t="s">
        <v>490</v>
      </c>
    </row>
    <row r="434" spans="1:7">
      <c r="A434" t="s">
        <v>54</v>
      </c>
      <c r="B434" t="s">
        <v>2032</v>
      </c>
      <c r="C434" t="s">
        <v>2031</v>
      </c>
      <c r="D434">
        <v>4.6560301999999998E-2</v>
      </c>
      <c r="E434" t="s">
        <v>1074</v>
      </c>
      <c r="F434" t="s">
        <v>2033</v>
      </c>
      <c r="G434" t="s">
        <v>2034</v>
      </c>
    </row>
    <row r="435" spans="1:7">
      <c r="A435" t="s">
        <v>54</v>
      </c>
      <c r="B435" t="s">
        <v>2049</v>
      </c>
      <c r="C435" t="s">
        <v>2048</v>
      </c>
      <c r="D435">
        <v>4.6215300000000001E-2</v>
      </c>
      <c r="E435" t="s">
        <v>968</v>
      </c>
      <c r="F435" t="s">
        <v>2050</v>
      </c>
      <c r="G435" t="s">
        <v>2051</v>
      </c>
    </row>
    <row r="436" spans="1:7">
      <c r="A436" t="s">
        <v>54</v>
      </c>
      <c r="B436" t="s">
        <v>1558</v>
      </c>
      <c r="C436" t="s">
        <v>1557</v>
      </c>
      <c r="D436">
        <v>4.3579503999999998E-2</v>
      </c>
      <c r="E436" t="s">
        <v>1559</v>
      </c>
      <c r="F436" t="s">
        <v>1560</v>
      </c>
      <c r="G436" t="s">
        <v>1561</v>
      </c>
    </row>
    <row r="437" spans="1:7">
      <c r="A437" t="s">
        <v>54</v>
      </c>
      <c r="B437" t="s">
        <v>1563</v>
      </c>
      <c r="C437" t="s">
        <v>1562</v>
      </c>
      <c r="D437">
        <v>4.2565095999999997E-2</v>
      </c>
      <c r="E437" t="s">
        <v>1074</v>
      </c>
      <c r="F437" t="s">
        <v>1564</v>
      </c>
      <c r="G437" t="s">
        <v>1565</v>
      </c>
    </row>
    <row r="438" spans="1:7">
      <c r="A438" t="s">
        <v>54</v>
      </c>
      <c r="B438" t="s">
        <v>972</v>
      </c>
      <c r="C438" t="s">
        <v>971</v>
      </c>
      <c r="D438">
        <v>3.8968797999999999E-2</v>
      </c>
      <c r="E438" t="s">
        <v>973</v>
      </c>
      <c r="F438" t="s">
        <v>974</v>
      </c>
      <c r="G438" t="s">
        <v>975</v>
      </c>
    </row>
    <row r="439" spans="1:7">
      <c r="A439" t="s">
        <v>54</v>
      </c>
      <c r="B439" t="s">
        <v>933</v>
      </c>
      <c r="C439" t="s">
        <v>932</v>
      </c>
      <c r="D439">
        <v>3.8864803000000003E-2</v>
      </c>
      <c r="E439" t="s">
        <v>443</v>
      </c>
      <c r="F439" t="s">
        <v>934</v>
      </c>
      <c r="G439" t="s">
        <v>935</v>
      </c>
    </row>
    <row r="440" spans="1:7">
      <c r="A440" t="s">
        <v>55</v>
      </c>
      <c r="B440" t="s">
        <v>2788</v>
      </c>
      <c r="C440" t="s">
        <v>2787</v>
      </c>
      <c r="D440">
        <v>2.8549700000000001E-2</v>
      </c>
      <c r="E440" t="s">
        <v>505</v>
      </c>
      <c r="F440" t="s">
        <v>2789</v>
      </c>
      <c r="G440" t="s">
        <v>2790</v>
      </c>
    </row>
    <row r="441" spans="1:7">
      <c r="A441" t="s">
        <v>55</v>
      </c>
      <c r="B441" t="s">
        <v>2911</v>
      </c>
      <c r="C441" t="s">
        <v>2910</v>
      </c>
      <c r="D441">
        <v>2.3701300000000002E-2</v>
      </c>
      <c r="E441" t="s">
        <v>505</v>
      </c>
      <c r="F441" t="s">
        <v>2912</v>
      </c>
      <c r="G441" t="s">
        <v>2913</v>
      </c>
    </row>
    <row r="442" spans="1:7">
      <c r="A442" t="s">
        <v>55</v>
      </c>
      <c r="B442" t="s">
        <v>2928</v>
      </c>
      <c r="C442" t="s">
        <v>2927</v>
      </c>
      <c r="D442">
        <v>2.3193800000000001E-2</v>
      </c>
      <c r="E442" t="s">
        <v>505</v>
      </c>
      <c r="F442" t="s">
        <v>2929</v>
      </c>
      <c r="G442" t="s">
        <v>2930</v>
      </c>
    </row>
    <row r="443" spans="1:7">
      <c r="A443" t="s">
        <v>55</v>
      </c>
      <c r="B443" t="s">
        <v>2941</v>
      </c>
      <c r="C443" t="s">
        <v>2940</v>
      </c>
      <c r="D443">
        <v>2.3083099999999999E-2</v>
      </c>
      <c r="E443" t="s">
        <v>505</v>
      </c>
      <c r="F443" t="s">
        <v>2942</v>
      </c>
      <c r="G443" t="s">
        <v>2943</v>
      </c>
    </row>
    <row r="444" spans="1:7">
      <c r="A444" t="s">
        <v>55</v>
      </c>
      <c r="B444" t="s">
        <v>2967</v>
      </c>
      <c r="C444" t="s">
        <v>2966</v>
      </c>
      <c r="D444">
        <v>2.2776597999999999E-2</v>
      </c>
      <c r="E444" t="s">
        <v>443</v>
      </c>
      <c r="F444" t="s">
        <v>2968</v>
      </c>
      <c r="G444" t="s">
        <v>2969</v>
      </c>
    </row>
    <row r="445" spans="1:7">
      <c r="A445" t="s">
        <v>55</v>
      </c>
      <c r="B445" t="s">
        <v>549</v>
      </c>
      <c r="C445" t="s">
        <v>548</v>
      </c>
      <c r="D445">
        <v>2.27418E-2</v>
      </c>
      <c r="E445" t="s">
        <v>505</v>
      </c>
      <c r="F445" t="s">
        <v>550</v>
      </c>
      <c r="G445" t="s">
        <v>551</v>
      </c>
    </row>
    <row r="446" spans="1:7">
      <c r="A446" t="s">
        <v>55</v>
      </c>
      <c r="B446" t="s">
        <v>2971</v>
      </c>
      <c r="C446" t="s">
        <v>2970</v>
      </c>
      <c r="D446">
        <v>2.2668500000000001E-2</v>
      </c>
      <c r="E446" t="s">
        <v>443</v>
      </c>
      <c r="F446" t="s">
        <v>2972</v>
      </c>
      <c r="G446" t="s">
        <v>2973</v>
      </c>
    </row>
    <row r="447" spans="1:7">
      <c r="A447" t="s">
        <v>55</v>
      </c>
      <c r="B447" t="s">
        <v>3026</v>
      </c>
      <c r="C447" t="s">
        <v>3025</v>
      </c>
      <c r="D447">
        <v>2.1081900000000001E-2</v>
      </c>
      <c r="E447" t="s">
        <v>489</v>
      </c>
      <c r="F447" t="s">
        <v>490</v>
      </c>
      <c r="G447" t="s">
        <v>490</v>
      </c>
    </row>
    <row r="448" spans="1:7">
      <c r="A448" t="s">
        <v>55</v>
      </c>
      <c r="B448" t="s">
        <v>1611</v>
      </c>
      <c r="C448" t="s">
        <v>1610</v>
      </c>
      <c r="D448">
        <v>2.0749099999999999E-2</v>
      </c>
      <c r="E448" t="s">
        <v>505</v>
      </c>
      <c r="F448" t="s">
        <v>1612</v>
      </c>
      <c r="G448" t="s">
        <v>1613</v>
      </c>
    </row>
    <row r="449" spans="1:7">
      <c r="A449" t="s">
        <v>55</v>
      </c>
      <c r="B449" t="s">
        <v>1175</v>
      </c>
      <c r="C449" t="s">
        <v>1174</v>
      </c>
      <c r="D449">
        <v>2.0419E-2</v>
      </c>
      <c r="E449" t="s">
        <v>443</v>
      </c>
      <c r="F449" t="s">
        <v>1176</v>
      </c>
      <c r="G449" t="s">
        <v>1177</v>
      </c>
    </row>
    <row r="450" spans="1:7">
      <c r="A450" t="s">
        <v>56</v>
      </c>
      <c r="B450" t="s">
        <v>683</v>
      </c>
      <c r="C450" t="s">
        <v>682</v>
      </c>
      <c r="D450">
        <v>0.15159059999999999</v>
      </c>
      <c r="E450" t="s">
        <v>585</v>
      </c>
      <c r="F450" t="s">
        <v>684</v>
      </c>
      <c r="G450" t="s">
        <v>685</v>
      </c>
    </row>
    <row r="451" spans="1:7">
      <c r="A451" t="s">
        <v>56</v>
      </c>
      <c r="B451" t="s">
        <v>627</v>
      </c>
      <c r="C451" t="s">
        <v>626</v>
      </c>
      <c r="D451">
        <v>8.1379610000000005E-2</v>
      </c>
      <c r="E451" t="s">
        <v>484</v>
      </c>
      <c r="F451" t="s">
        <v>628</v>
      </c>
      <c r="G451" t="s">
        <v>629</v>
      </c>
    </row>
    <row r="452" spans="1:7">
      <c r="A452" t="s">
        <v>56</v>
      </c>
      <c r="B452" t="s">
        <v>483</v>
      </c>
      <c r="C452" t="s">
        <v>482</v>
      </c>
      <c r="D452">
        <v>6.8598699999999999E-2</v>
      </c>
      <c r="E452" t="s">
        <v>484</v>
      </c>
      <c r="F452" t="s">
        <v>485</v>
      </c>
      <c r="G452" t="s">
        <v>486</v>
      </c>
    </row>
    <row r="453" spans="1:7">
      <c r="A453" t="s">
        <v>56</v>
      </c>
      <c r="B453" t="s">
        <v>854</v>
      </c>
      <c r="C453" t="s">
        <v>853</v>
      </c>
      <c r="D453">
        <v>2.8459300999999999E-2</v>
      </c>
      <c r="E453" t="s">
        <v>845</v>
      </c>
      <c r="F453" t="s">
        <v>855</v>
      </c>
      <c r="G453" t="s">
        <v>856</v>
      </c>
    </row>
    <row r="454" spans="1:7">
      <c r="A454" t="s">
        <v>56</v>
      </c>
      <c r="B454" t="s">
        <v>844</v>
      </c>
      <c r="C454" t="s">
        <v>843</v>
      </c>
      <c r="D454">
        <v>2.0287400000000001E-2</v>
      </c>
      <c r="E454" t="s">
        <v>845</v>
      </c>
      <c r="F454" t="s">
        <v>846</v>
      </c>
      <c r="G454" t="s">
        <v>847</v>
      </c>
    </row>
    <row r="455" spans="1:7">
      <c r="A455" t="s">
        <v>56</v>
      </c>
      <c r="B455" t="s">
        <v>584</v>
      </c>
      <c r="C455" t="s">
        <v>583</v>
      </c>
      <c r="D455">
        <v>1.796E-2</v>
      </c>
      <c r="E455" t="s">
        <v>585</v>
      </c>
      <c r="F455" t="s">
        <v>586</v>
      </c>
      <c r="G455" t="s">
        <v>587</v>
      </c>
    </row>
    <row r="456" spans="1:7">
      <c r="A456" t="s">
        <v>56</v>
      </c>
      <c r="B456" t="s">
        <v>1233</v>
      </c>
      <c r="C456" t="s">
        <v>1232</v>
      </c>
      <c r="D456">
        <v>1.3160099999999999E-2</v>
      </c>
      <c r="E456" t="s">
        <v>585</v>
      </c>
      <c r="F456" t="s">
        <v>1234</v>
      </c>
      <c r="G456" t="s">
        <v>1235</v>
      </c>
    </row>
    <row r="457" spans="1:7">
      <c r="A457" t="s">
        <v>56</v>
      </c>
      <c r="B457" t="s">
        <v>3154</v>
      </c>
      <c r="C457" t="s">
        <v>3153</v>
      </c>
      <c r="D457">
        <v>9.7336000000000002E-3</v>
      </c>
      <c r="E457" t="s">
        <v>585</v>
      </c>
      <c r="F457" t="s">
        <v>3155</v>
      </c>
      <c r="G457" t="s">
        <v>3156</v>
      </c>
    </row>
    <row r="458" spans="1:7">
      <c r="A458" t="s">
        <v>56</v>
      </c>
      <c r="B458" t="s">
        <v>3163</v>
      </c>
      <c r="C458" t="s">
        <v>3162</v>
      </c>
      <c r="D458">
        <v>8.8155000000000004E-3</v>
      </c>
      <c r="E458" t="s">
        <v>489</v>
      </c>
      <c r="F458" t="s">
        <v>490</v>
      </c>
      <c r="G458" t="s">
        <v>490</v>
      </c>
    </row>
    <row r="459" spans="1:7">
      <c r="A459" t="s">
        <v>56</v>
      </c>
      <c r="B459" t="s">
        <v>3167</v>
      </c>
      <c r="C459" t="s">
        <v>3166</v>
      </c>
      <c r="D459">
        <v>8.6040999999999999E-3</v>
      </c>
      <c r="E459" t="s">
        <v>489</v>
      </c>
      <c r="F459" t="s">
        <v>490</v>
      </c>
      <c r="G459" t="s">
        <v>490</v>
      </c>
    </row>
    <row r="460" spans="1:7">
      <c r="A460" t="s">
        <v>57</v>
      </c>
      <c r="B460" t="s">
        <v>2686</v>
      </c>
      <c r="C460" t="s">
        <v>2685</v>
      </c>
      <c r="D460">
        <v>3.0986E-2</v>
      </c>
      <c r="E460" t="s">
        <v>1790</v>
      </c>
      <c r="F460" t="s">
        <v>2687</v>
      </c>
      <c r="G460" t="s">
        <v>2688</v>
      </c>
    </row>
    <row r="461" spans="1:7">
      <c r="A461" t="s">
        <v>57</v>
      </c>
      <c r="B461" t="s">
        <v>3092</v>
      </c>
      <c r="C461" t="s">
        <v>3091</v>
      </c>
      <c r="D461">
        <v>1.5942600000000001E-2</v>
      </c>
      <c r="E461" t="s">
        <v>754</v>
      </c>
      <c r="F461" t="s">
        <v>3093</v>
      </c>
      <c r="G461" t="s">
        <v>3094</v>
      </c>
    </row>
    <row r="462" spans="1:7">
      <c r="A462" t="s">
        <v>57</v>
      </c>
      <c r="B462" t="s">
        <v>3100</v>
      </c>
      <c r="C462" t="s">
        <v>3099</v>
      </c>
      <c r="D462">
        <v>1.46315005E-2</v>
      </c>
      <c r="E462" t="s">
        <v>850</v>
      </c>
      <c r="F462" t="s">
        <v>3101</v>
      </c>
      <c r="G462" t="s">
        <v>3102</v>
      </c>
    </row>
    <row r="463" spans="1:7">
      <c r="A463" t="s">
        <v>57</v>
      </c>
      <c r="B463" t="s">
        <v>3106</v>
      </c>
      <c r="C463" t="s">
        <v>3105</v>
      </c>
      <c r="D463">
        <v>1.42582E-2</v>
      </c>
      <c r="E463" t="s">
        <v>754</v>
      </c>
      <c r="F463" t="s">
        <v>3107</v>
      </c>
      <c r="G463" t="s">
        <v>3108</v>
      </c>
    </row>
    <row r="464" spans="1:7">
      <c r="A464" t="s">
        <v>57</v>
      </c>
      <c r="B464" t="s">
        <v>3114</v>
      </c>
      <c r="C464" t="s">
        <v>3113</v>
      </c>
      <c r="D464">
        <v>1.4166700000000001E-2</v>
      </c>
      <c r="E464" t="s">
        <v>850</v>
      </c>
      <c r="F464" t="s">
        <v>3115</v>
      </c>
      <c r="G464" t="s">
        <v>3116</v>
      </c>
    </row>
    <row r="465" spans="1:7">
      <c r="A465" t="s">
        <v>57</v>
      </c>
      <c r="B465" t="s">
        <v>3118</v>
      </c>
      <c r="C465" t="s">
        <v>3117</v>
      </c>
      <c r="D465">
        <v>1.29458E-2</v>
      </c>
      <c r="E465" t="s">
        <v>850</v>
      </c>
      <c r="F465" t="s">
        <v>3119</v>
      </c>
      <c r="G465" t="s">
        <v>3120</v>
      </c>
    </row>
    <row r="466" spans="1:7">
      <c r="A466" t="s">
        <v>57</v>
      </c>
      <c r="B466" t="s">
        <v>1226</v>
      </c>
      <c r="C466" t="s">
        <v>1225</v>
      </c>
      <c r="D466">
        <v>1.18256E-2</v>
      </c>
      <c r="E466" t="s">
        <v>489</v>
      </c>
      <c r="F466" t="s">
        <v>490</v>
      </c>
      <c r="G466" t="s">
        <v>490</v>
      </c>
    </row>
    <row r="467" spans="1:7">
      <c r="A467" t="s">
        <v>57</v>
      </c>
      <c r="B467" t="s">
        <v>3140</v>
      </c>
      <c r="C467" t="s">
        <v>3139</v>
      </c>
      <c r="D467">
        <v>1.05000995E-2</v>
      </c>
      <c r="E467" t="s">
        <v>1055</v>
      </c>
      <c r="F467" t="s">
        <v>3141</v>
      </c>
      <c r="G467" t="s">
        <v>3142</v>
      </c>
    </row>
    <row r="468" spans="1:7">
      <c r="A468" t="s">
        <v>57</v>
      </c>
      <c r="B468" t="s">
        <v>3150</v>
      </c>
      <c r="C468" t="s">
        <v>3149</v>
      </c>
      <c r="D468">
        <v>9.8212000000000004E-3</v>
      </c>
      <c r="E468" t="s">
        <v>783</v>
      </c>
      <c r="F468" t="s">
        <v>3151</v>
      </c>
      <c r="G468" t="s">
        <v>3152</v>
      </c>
    </row>
    <row r="469" spans="1:7">
      <c r="A469" t="s">
        <v>57</v>
      </c>
      <c r="B469" t="s">
        <v>1337</v>
      </c>
      <c r="C469" t="s">
        <v>1336</v>
      </c>
      <c r="D469">
        <v>9.3533000000000002E-3</v>
      </c>
      <c r="E469" t="s">
        <v>489</v>
      </c>
      <c r="F469" t="s">
        <v>490</v>
      </c>
      <c r="G469" t="s">
        <v>490</v>
      </c>
    </row>
    <row r="470" spans="1:7">
      <c r="A470" t="s">
        <v>58</v>
      </c>
      <c r="B470" t="s">
        <v>1373</v>
      </c>
      <c r="C470" t="s">
        <v>1372</v>
      </c>
      <c r="D470">
        <v>6.5501900000000002E-2</v>
      </c>
      <c r="E470" t="s">
        <v>489</v>
      </c>
      <c r="F470" t="s">
        <v>490</v>
      </c>
      <c r="G470" t="s">
        <v>490</v>
      </c>
    </row>
    <row r="471" spans="1:7">
      <c r="A471" t="s">
        <v>58</v>
      </c>
      <c r="B471" t="s">
        <v>1798</v>
      </c>
      <c r="C471" t="s">
        <v>1797</v>
      </c>
      <c r="D471">
        <v>6.3786399999999993E-2</v>
      </c>
      <c r="E471" t="s">
        <v>489</v>
      </c>
      <c r="F471" t="s">
        <v>490</v>
      </c>
      <c r="G471" t="s">
        <v>490</v>
      </c>
    </row>
    <row r="472" spans="1:7">
      <c r="A472" t="s">
        <v>58</v>
      </c>
      <c r="B472" t="s">
        <v>1832</v>
      </c>
      <c r="C472" t="s">
        <v>1831</v>
      </c>
      <c r="D472">
        <v>5.9330102000000003E-2</v>
      </c>
      <c r="E472" t="s">
        <v>489</v>
      </c>
      <c r="F472" t="s">
        <v>490</v>
      </c>
      <c r="G472" t="s">
        <v>490</v>
      </c>
    </row>
    <row r="473" spans="1:7">
      <c r="A473" t="s">
        <v>58</v>
      </c>
      <c r="B473" t="s">
        <v>1891</v>
      </c>
      <c r="C473" t="s">
        <v>1890</v>
      </c>
      <c r="D473">
        <v>5.4138400000000003E-2</v>
      </c>
      <c r="E473" t="s">
        <v>489</v>
      </c>
      <c r="F473" t="s">
        <v>490</v>
      </c>
      <c r="G473" t="s">
        <v>490</v>
      </c>
    </row>
    <row r="474" spans="1:7">
      <c r="A474" t="s">
        <v>58</v>
      </c>
      <c r="B474" t="s">
        <v>1895</v>
      </c>
      <c r="C474" t="s">
        <v>1894</v>
      </c>
      <c r="D474">
        <v>5.3960800000000003E-2</v>
      </c>
      <c r="E474" t="s">
        <v>489</v>
      </c>
      <c r="F474" t="s">
        <v>490</v>
      </c>
      <c r="G474" t="s">
        <v>490</v>
      </c>
    </row>
    <row r="475" spans="1:7">
      <c r="A475" t="s">
        <v>58</v>
      </c>
      <c r="B475" t="s">
        <v>1361</v>
      </c>
      <c r="C475" t="s">
        <v>1360</v>
      </c>
      <c r="D475">
        <v>5.2262000000000003E-2</v>
      </c>
      <c r="E475" t="s">
        <v>505</v>
      </c>
      <c r="F475" t="s">
        <v>1362</v>
      </c>
      <c r="G475" t="s">
        <v>1363</v>
      </c>
    </row>
    <row r="476" spans="1:7">
      <c r="A476" t="s">
        <v>58</v>
      </c>
      <c r="B476" t="s">
        <v>2396</v>
      </c>
      <c r="C476" t="s">
        <v>2395</v>
      </c>
      <c r="D476">
        <v>3.9344203000000001E-2</v>
      </c>
      <c r="E476" t="s">
        <v>505</v>
      </c>
      <c r="F476" t="s">
        <v>2397</v>
      </c>
      <c r="G476" t="s">
        <v>2398</v>
      </c>
    </row>
    <row r="477" spans="1:7">
      <c r="A477" t="s">
        <v>58</v>
      </c>
      <c r="B477" t="s">
        <v>1428</v>
      </c>
      <c r="C477" t="s">
        <v>1427</v>
      </c>
      <c r="D477">
        <v>3.7394999999999998E-2</v>
      </c>
      <c r="E477" t="s">
        <v>489</v>
      </c>
      <c r="F477" t="s">
        <v>490</v>
      </c>
      <c r="G477" t="s">
        <v>490</v>
      </c>
    </row>
    <row r="478" spans="1:7">
      <c r="A478" t="s">
        <v>58</v>
      </c>
      <c r="B478" t="s">
        <v>2515</v>
      </c>
      <c r="C478" t="s">
        <v>2514</v>
      </c>
      <c r="D478">
        <v>3.6015499999999999E-2</v>
      </c>
      <c r="E478" t="s">
        <v>489</v>
      </c>
      <c r="F478" t="s">
        <v>490</v>
      </c>
      <c r="G478" t="s">
        <v>490</v>
      </c>
    </row>
    <row r="479" spans="1:7">
      <c r="A479" t="s">
        <v>58</v>
      </c>
      <c r="B479" t="s">
        <v>2660</v>
      </c>
      <c r="C479" t="s">
        <v>2659</v>
      </c>
      <c r="D479">
        <v>3.2075899999999997E-2</v>
      </c>
      <c r="E479" t="s">
        <v>1229</v>
      </c>
      <c r="F479" t="s">
        <v>2661</v>
      </c>
      <c r="G479" t="s">
        <v>2662</v>
      </c>
    </row>
    <row r="480" spans="1:7">
      <c r="A480" t="s">
        <v>59</v>
      </c>
      <c r="B480" t="s">
        <v>996</v>
      </c>
      <c r="C480" t="s">
        <v>995</v>
      </c>
      <c r="D480">
        <v>1.7421800000000001E-2</v>
      </c>
      <c r="E480" t="s">
        <v>489</v>
      </c>
      <c r="F480" t="s">
        <v>490</v>
      </c>
      <c r="G480" t="s">
        <v>490</v>
      </c>
    </row>
    <row r="481" spans="1:7">
      <c r="A481" t="s">
        <v>59</v>
      </c>
      <c r="B481" t="s">
        <v>937</v>
      </c>
      <c r="C481" t="s">
        <v>936</v>
      </c>
      <c r="D481">
        <v>1.6487499999999999E-2</v>
      </c>
      <c r="E481" t="s">
        <v>489</v>
      </c>
      <c r="F481" t="s">
        <v>490</v>
      </c>
      <c r="G481" t="s">
        <v>490</v>
      </c>
    </row>
    <row r="482" spans="1:7">
      <c r="A482" t="s">
        <v>59</v>
      </c>
      <c r="B482" t="s">
        <v>504</v>
      </c>
      <c r="C482" t="s">
        <v>503</v>
      </c>
      <c r="D482">
        <v>1.48439E-2</v>
      </c>
      <c r="E482" t="s">
        <v>505</v>
      </c>
      <c r="F482" t="s">
        <v>506</v>
      </c>
      <c r="G482" t="s">
        <v>507</v>
      </c>
    </row>
    <row r="483" spans="1:7">
      <c r="A483" t="s">
        <v>59</v>
      </c>
      <c r="B483" t="s">
        <v>1134</v>
      </c>
      <c r="C483" t="s">
        <v>1133</v>
      </c>
      <c r="D483">
        <v>1.3563199999999999E-2</v>
      </c>
      <c r="E483" t="s">
        <v>443</v>
      </c>
      <c r="F483" t="s">
        <v>1135</v>
      </c>
      <c r="G483" t="s">
        <v>1136</v>
      </c>
    </row>
    <row r="484" spans="1:7">
      <c r="A484" t="s">
        <v>59</v>
      </c>
      <c r="B484" t="s">
        <v>862</v>
      </c>
      <c r="C484" t="s">
        <v>861</v>
      </c>
      <c r="D484">
        <v>1.3171E-2</v>
      </c>
      <c r="E484" t="s">
        <v>576</v>
      </c>
      <c r="F484" t="s">
        <v>863</v>
      </c>
      <c r="G484" t="s">
        <v>864</v>
      </c>
    </row>
    <row r="485" spans="1:7">
      <c r="A485" t="s">
        <v>59</v>
      </c>
      <c r="B485" t="s">
        <v>3122</v>
      </c>
      <c r="C485" t="s">
        <v>3121</v>
      </c>
      <c r="D485">
        <v>1.2725498999999999E-2</v>
      </c>
      <c r="E485" t="s">
        <v>576</v>
      </c>
      <c r="F485" t="s">
        <v>3123</v>
      </c>
      <c r="G485" t="s">
        <v>3124</v>
      </c>
    </row>
    <row r="486" spans="1:7">
      <c r="A486" t="s">
        <v>59</v>
      </c>
      <c r="B486" t="s">
        <v>643</v>
      </c>
      <c r="C486" t="s">
        <v>642</v>
      </c>
      <c r="D486">
        <v>1.27247E-2</v>
      </c>
      <c r="E486" t="s">
        <v>443</v>
      </c>
      <c r="F486" t="s">
        <v>644</v>
      </c>
      <c r="G486" t="s">
        <v>645</v>
      </c>
    </row>
    <row r="487" spans="1:7">
      <c r="A487" t="s">
        <v>59</v>
      </c>
      <c r="B487" t="s">
        <v>1228</v>
      </c>
      <c r="C487" t="s">
        <v>1227</v>
      </c>
      <c r="D487">
        <v>1.27108E-2</v>
      </c>
      <c r="E487" t="s">
        <v>1229</v>
      </c>
      <c r="F487" t="s">
        <v>1230</v>
      </c>
      <c r="G487" t="s">
        <v>1231</v>
      </c>
    </row>
    <row r="488" spans="1:7">
      <c r="A488" t="s">
        <v>59</v>
      </c>
      <c r="B488" t="s">
        <v>945</v>
      </c>
      <c r="C488" t="s">
        <v>944</v>
      </c>
      <c r="D488">
        <v>1.2259600000000001E-2</v>
      </c>
      <c r="E488" t="s">
        <v>505</v>
      </c>
      <c r="F488" t="s">
        <v>946</v>
      </c>
      <c r="G488" t="s">
        <v>947</v>
      </c>
    </row>
    <row r="489" spans="1:7">
      <c r="A489" t="s">
        <v>59</v>
      </c>
      <c r="B489" t="s">
        <v>3134</v>
      </c>
      <c r="C489" t="s">
        <v>3133</v>
      </c>
      <c r="D489">
        <v>1.2203800000000001E-2</v>
      </c>
      <c r="E489" t="s">
        <v>576</v>
      </c>
      <c r="F489" t="s">
        <v>3135</v>
      </c>
      <c r="G489" t="s">
        <v>3136</v>
      </c>
    </row>
    <row r="490" spans="1:7">
      <c r="A490" t="s">
        <v>60</v>
      </c>
      <c r="B490" t="s">
        <v>991</v>
      </c>
      <c r="C490" t="s">
        <v>990</v>
      </c>
      <c r="D490">
        <v>0.10243969999999999</v>
      </c>
      <c r="E490" t="s">
        <v>992</v>
      </c>
      <c r="F490" t="s">
        <v>993</v>
      </c>
      <c r="G490" t="s">
        <v>994</v>
      </c>
    </row>
    <row r="491" spans="1:7">
      <c r="A491" t="s">
        <v>60</v>
      </c>
      <c r="B491" t="s">
        <v>1702</v>
      </c>
      <c r="C491" t="s">
        <v>1701</v>
      </c>
      <c r="D491">
        <v>8.0378400000000003E-2</v>
      </c>
      <c r="E491" t="s">
        <v>489</v>
      </c>
      <c r="F491" t="s">
        <v>490</v>
      </c>
      <c r="G491" t="s">
        <v>490</v>
      </c>
    </row>
    <row r="492" spans="1:7">
      <c r="A492" t="s">
        <v>60</v>
      </c>
      <c r="B492" t="s">
        <v>1704</v>
      </c>
      <c r="C492" t="s">
        <v>1703</v>
      </c>
      <c r="D492">
        <v>7.9484799999999994E-2</v>
      </c>
      <c r="E492" t="s">
        <v>489</v>
      </c>
      <c r="F492" t="s">
        <v>490</v>
      </c>
      <c r="G492" t="s">
        <v>490</v>
      </c>
    </row>
    <row r="493" spans="1:7">
      <c r="A493" t="s">
        <v>60</v>
      </c>
      <c r="B493" t="s">
        <v>1823</v>
      </c>
      <c r="C493" t="s">
        <v>1822</v>
      </c>
      <c r="D493">
        <v>5.9601698000000002E-2</v>
      </c>
      <c r="E493" t="s">
        <v>489</v>
      </c>
      <c r="F493" t="s">
        <v>490</v>
      </c>
      <c r="G493" t="s">
        <v>490</v>
      </c>
    </row>
    <row r="494" spans="1:7">
      <c r="A494" t="s">
        <v>60</v>
      </c>
      <c r="B494" t="s">
        <v>1850</v>
      </c>
      <c r="C494" t="s">
        <v>1849</v>
      </c>
      <c r="D494">
        <v>5.7574899999999998E-2</v>
      </c>
      <c r="E494" t="s">
        <v>1283</v>
      </c>
      <c r="F494" t="s">
        <v>1851</v>
      </c>
      <c r="G494" t="s">
        <v>1852</v>
      </c>
    </row>
    <row r="495" spans="1:7">
      <c r="A495" t="s">
        <v>60</v>
      </c>
      <c r="B495" t="s">
        <v>1868</v>
      </c>
      <c r="C495" t="s">
        <v>1867</v>
      </c>
      <c r="D495">
        <v>5.6239400000000002E-2</v>
      </c>
      <c r="E495" t="s">
        <v>992</v>
      </c>
      <c r="F495" t="s">
        <v>1869</v>
      </c>
      <c r="G495" t="s">
        <v>1870</v>
      </c>
    </row>
    <row r="496" spans="1:7">
      <c r="A496" t="s">
        <v>60</v>
      </c>
      <c r="B496" t="s">
        <v>2036</v>
      </c>
      <c r="C496" t="s">
        <v>2035</v>
      </c>
      <c r="D496">
        <v>4.6427099999999999E-2</v>
      </c>
      <c r="E496" t="s">
        <v>2037</v>
      </c>
      <c r="F496" t="s">
        <v>2038</v>
      </c>
      <c r="G496" t="s">
        <v>2039</v>
      </c>
    </row>
    <row r="497" spans="1:7">
      <c r="A497" t="s">
        <v>60</v>
      </c>
      <c r="B497" t="s">
        <v>2311</v>
      </c>
      <c r="C497" t="s">
        <v>2310</v>
      </c>
      <c r="D497">
        <v>4.1146103000000003E-2</v>
      </c>
      <c r="E497" t="s">
        <v>2312</v>
      </c>
      <c r="F497" t="s">
        <v>2313</v>
      </c>
      <c r="G497" t="s">
        <v>2314</v>
      </c>
    </row>
    <row r="498" spans="1:7">
      <c r="A498" t="s">
        <v>60</v>
      </c>
      <c r="B498" t="s">
        <v>2448</v>
      </c>
      <c r="C498" t="s">
        <v>2447</v>
      </c>
      <c r="D498">
        <v>3.7899299999999997E-2</v>
      </c>
      <c r="E498" t="s">
        <v>845</v>
      </c>
      <c r="F498" t="s">
        <v>2449</v>
      </c>
      <c r="G498" t="s">
        <v>2450</v>
      </c>
    </row>
    <row r="499" spans="1:7">
      <c r="A499" t="s">
        <v>60</v>
      </c>
      <c r="B499" t="s">
        <v>2482</v>
      </c>
      <c r="C499" t="s">
        <v>2481</v>
      </c>
      <c r="D499">
        <v>3.7248900000000001E-2</v>
      </c>
      <c r="E499" t="s">
        <v>2483</v>
      </c>
      <c r="F499" t="s">
        <v>2484</v>
      </c>
      <c r="G499" t="s">
        <v>2485</v>
      </c>
    </row>
    <row r="500" spans="1:7">
      <c r="A500" t="s">
        <v>61</v>
      </c>
      <c r="B500" t="s">
        <v>639</v>
      </c>
      <c r="C500" t="s">
        <v>638</v>
      </c>
      <c r="D500">
        <v>7.3822595000000005E-2</v>
      </c>
      <c r="E500" t="s">
        <v>505</v>
      </c>
      <c r="F500" t="s">
        <v>640</v>
      </c>
      <c r="G500" t="s">
        <v>641</v>
      </c>
    </row>
    <row r="501" spans="1:7">
      <c r="A501" t="s">
        <v>61</v>
      </c>
      <c r="B501" t="s">
        <v>836</v>
      </c>
      <c r="C501" t="s">
        <v>835</v>
      </c>
      <c r="D501">
        <v>7.0761400000000002E-2</v>
      </c>
      <c r="E501" t="s">
        <v>505</v>
      </c>
      <c r="F501" t="s">
        <v>837</v>
      </c>
      <c r="G501" t="s">
        <v>838</v>
      </c>
    </row>
    <row r="502" spans="1:7">
      <c r="A502" t="s">
        <v>61</v>
      </c>
      <c r="B502" t="s">
        <v>2006</v>
      </c>
      <c r="C502" t="s">
        <v>2005</v>
      </c>
      <c r="D502">
        <v>4.7719497E-2</v>
      </c>
      <c r="E502" t="s">
        <v>833</v>
      </c>
      <c r="F502" t="s">
        <v>490</v>
      </c>
      <c r="G502" t="s">
        <v>834</v>
      </c>
    </row>
    <row r="503" spans="1:7">
      <c r="A503" t="s">
        <v>61</v>
      </c>
      <c r="B503" t="s">
        <v>1036</v>
      </c>
      <c r="C503" t="s">
        <v>1035</v>
      </c>
      <c r="D503">
        <v>4.0686796999999997E-2</v>
      </c>
      <c r="E503" t="s">
        <v>505</v>
      </c>
      <c r="F503" t="s">
        <v>1037</v>
      </c>
      <c r="G503" t="s">
        <v>1038</v>
      </c>
    </row>
    <row r="504" spans="1:7">
      <c r="A504" t="s">
        <v>61</v>
      </c>
      <c r="B504" t="s">
        <v>1097</v>
      </c>
      <c r="C504" t="s">
        <v>1096</v>
      </c>
      <c r="D504">
        <v>3.99751E-2</v>
      </c>
      <c r="E504" t="s">
        <v>443</v>
      </c>
      <c r="F504" t="s">
        <v>1098</v>
      </c>
      <c r="G504" t="s">
        <v>1099</v>
      </c>
    </row>
    <row r="505" spans="1:7">
      <c r="A505" t="s">
        <v>61</v>
      </c>
      <c r="B505" t="s">
        <v>858</v>
      </c>
      <c r="C505" t="s">
        <v>857</v>
      </c>
      <c r="D505">
        <v>3.6175800000000001E-2</v>
      </c>
      <c r="E505" t="s">
        <v>505</v>
      </c>
      <c r="F505" t="s">
        <v>859</v>
      </c>
      <c r="G505" t="s">
        <v>860</v>
      </c>
    </row>
    <row r="506" spans="1:7">
      <c r="A506" t="s">
        <v>61</v>
      </c>
      <c r="B506" t="s">
        <v>2562</v>
      </c>
      <c r="C506" t="s">
        <v>2561</v>
      </c>
      <c r="D506">
        <v>3.4763000000000002E-2</v>
      </c>
      <c r="E506" t="s">
        <v>505</v>
      </c>
      <c r="F506" t="s">
        <v>2563</v>
      </c>
      <c r="G506" t="s">
        <v>2564</v>
      </c>
    </row>
    <row r="507" spans="1:7">
      <c r="A507" t="s">
        <v>61</v>
      </c>
      <c r="B507" t="s">
        <v>1218</v>
      </c>
      <c r="C507" t="s">
        <v>1217</v>
      </c>
      <c r="D507">
        <v>2.6397E-2</v>
      </c>
      <c r="E507" t="s">
        <v>489</v>
      </c>
      <c r="F507" t="s">
        <v>490</v>
      </c>
      <c r="G507" t="s">
        <v>490</v>
      </c>
    </row>
    <row r="508" spans="1:7">
      <c r="A508" t="s">
        <v>61</v>
      </c>
      <c r="B508" t="s">
        <v>2884</v>
      </c>
      <c r="C508" t="s">
        <v>2883</v>
      </c>
      <c r="D508">
        <v>2.4767699000000001E-2</v>
      </c>
      <c r="E508" t="s">
        <v>505</v>
      </c>
      <c r="F508" t="s">
        <v>2885</v>
      </c>
      <c r="G508" t="s">
        <v>2886</v>
      </c>
    </row>
    <row r="509" spans="1:7">
      <c r="A509" t="s">
        <v>61</v>
      </c>
      <c r="B509" t="s">
        <v>1109</v>
      </c>
      <c r="C509" t="s">
        <v>1108</v>
      </c>
      <c r="D509">
        <v>2.3286900999999999E-2</v>
      </c>
      <c r="E509" t="s">
        <v>505</v>
      </c>
      <c r="F509" t="s">
        <v>1110</v>
      </c>
      <c r="G509" t="s">
        <v>1111</v>
      </c>
    </row>
    <row r="510" spans="1:7">
      <c r="A510" t="s">
        <v>62</v>
      </c>
      <c r="B510" t="s">
        <v>972</v>
      </c>
      <c r="C510" t="s">
        <v>971</v>
      </c>
      <c r="D510">
        <v>8.3653900000000003E-2</v>
      </c>
      <c r="E510" t="s">
        <v>973</v>
      </c>
      <c r="F510" t="s">
        <v>974</v>
      </c>
      <c r="G510" t="s">
        <v>975</v>
      </c>
    </row>
    <row r="511" spans="1:7">
      <c r="A511" t="s">
        <v>62</v>
      </c>
      <c r="B511" t="s">
        <v>953</v>
      </c>
      <c r="C511" t="s">
        <v>952</v>
      </c>
      <c r="D511">
        <v>8.1112206000000006E-2</v>
      </c>
      <c r="E511" t="s">
        <v>954</v>
      </c>
      <c r="F511" t="s">
        <v>955</v>
      </c>
      <c r="G511" t="s">
        <v>956</v>
      </c>
    </row>
    <row r="512" spans="1:7">
      <c r="A512" t="s">
        <v>62</v>
      </c>
      <c r="B512" t="s">
        <v>844</v>
      </c>
      <c r="C512" t="s">
        <v>843</v>
      </c>
      <c r="D512">
        <v>6.7597599999999994E-2</v>
      </c>
      <c r="E512" t="s">
        <v>845</v>
      </c>
      <c r="F512" t="s">
        <v>846</v>
      </c>
      <c r="G512" t="s">
        <v>847</v>
      </c>
    </row>
    <row r="513" spans="1:7">
      <c r="A513" t="s">
        <v>62</v>
      </c>
      <c r="B513" t="s">
        <v>1002</v>
      </c>
      <c r="C513" t="s">
        <v>1001</v>
      </c>
      <c r="D513">
        <v>6.2027100000000002E-2</v>
      </c>
      <c r="E513" t="s">
        <v>1003</v>
      </c>
      <c r="F513" t="s">
        <v>1004</v>
      </c>
      <c r="G513" t="s">
        <v>1005</v>
      </c>
    </row>
    <row r="514" spans="1:7">
      <c r="A514" t="s">
        <v>62</v>
      </c>
      <c r="B514" t="s">
        <v>1308</v>
      </c>
      <c r="C514" t="s">
        <v>1307</v>
      </c>
      <c r="D514">
        <v>6.0487899999999997E-2</v>
      </c>
      <c r="E514" t="s">
        <v>489</v>
      </c>
      <c r="F514" t="s">
        <v>490</v>
      </c>
      <c r="G514" t="s">
        <v>490</v>
      </c>
    </row>
    <row r="515" spans="1:7">
      <c r="A515" t="s">
        <v>62</v>
      </c>
      <c r="B515" t="s">
        <v>854</v>
      </c>
      <c r="C515" t="s">
        <v>853</v>
      </c>
      <c r="D515">
        <v>5.9183202999999997E-2</v>
      </c>
      <c r="E515" t="s">
        <v>845</v>
      </c>
      <c r="F515" t="s">
        <v>855</v>
      </c>
      <c r="G515" t="s">
        <v>856</v>
      </c>
    </row>
    <row r="516" spans="1:7">
      <c r="A516" t="s">
        <v>62</v>
      </c>
      <c r="B516" t="s">
        <v>1282</v>
      </c>
      <c r="C516" t="s">
        <v>1281</v>
      </c>
      <c r="D516">
        <v>5.6335499999999997E-2</v>
      </c>
      <c r="E516" t="s">
        <v>1283</v>
      </c>
      <c r="F516" t="s">
        <v>1284</v>
      </c>
      <c r="G516" t="s">
        <v>1285</v>
      </c>
    </row>
    <row r="517" spans="1:7">
      <c r="A517" t="s">
        <v>62</v>
      </c>
      <c r="B517" t="s">
        <v>1021</v>
      </c>
      <c r="C517" t="s">
        <v>1020</v>
      </c>
      <c r="D517">
        <v>4.0436502999999999E-2</v>
      </c>
      <c r="E517" t="s">
        <v>845</v>
      </c>
      <c r="F517" t="s">
        <v>1022</v>
      </c>
      <c r="G517" t="s">
        <v>1023</v>
      </c>
    </row>
    <row r="518" spans="1:7">
      <c r="A518" t="s">
        <v>62</v>
      </c>
      <c r="B518" t="s">
        <v>1032</v>
      </c>
      <c r="C518" t="s">
        <v>1031</v>
      </c>
      <c r="D518">
        <v>3.4476699999999999E-2</v>
      </c>
      <c r="E518" t="s">
        <v>845</v>
      </c>
      <c r="F518" t="s">
        <v>1033</v>
      </c>
      <c r="G518" t="s">
        <v>1034</v>
      </c>
    </row>
    <row r="519" spans="1:7">
      <c r="A519" t="s">
        <v>62</v>
      </c>
      <c r="B519" t="s">
        <v>1469</v>
      </c>
      <c r="C519" t="s">
        <v>1468</v>
      </c>
      <c r="D519">
        <v>3.3289800000000001E-2</v>
      </c>
      <c r="E519" t="s">
        <v>1470</v>
      </c>
      <c r="F519" t="s">
        <v>1471</v>
      </c>
      <c r="G519" t="s">
        <v>1472</v>
      </c>
    </row>
    <row r="520" spans="1:7">
      <c r="A520" t="s">
        <v>63</v>
      </c>
      <c r="B520" t="s">
        <v>635</v>
      </c>
      <c r="C520" t="s">
        <v>634</v>
      </c>
      <c r="D520">
        <v>8.3405400000000005E-2</v>
      </c>
      <c r="E520" t="s">
        <v>590</v>
      </c>
      <c r="F520" t="s">
        <v>636</v>
      </c>
      <c r="G520" t="s">
        <v>637</v>
      </c>
    </row>
    <row r="521" spans="1:7">
      <c r="A521" t="s">
        <v>63</v>
      </c>
      <c r="B521" t="s">
        <v>639</v>
      </c>
      <c r="C521" t="s">
        <v>638</v>
      </c>
      <c r="D521">
        <v>7.9435303999999998E-2</v>
      </c>
      <c r="E521" t="s">
        <v>505</v>
      </c>
      <c r="F521" t="s">
        <v>640</v>
      </c>
      <c r="G521" t="s">
        <v>641</v>
      </c>
    </row>
    <row r="522" spans="1:7">
      <c r="A522" t="s">
        <v>63</v>
      </c>
      <c r="B522" t="s">
        <v>836</v>
      </c>
      <c r="C522" t="s">
        <v>835</v>
      </c>
      <c r="D522">
        <v>7.1430099999999996E-2</v>
      </c>
      <c r="E522" t="s">
        <v>505</v>
      </c>
      <c r="F522" t="s">
        <v>837</v>
      </c>
      <c r="G522" t="s">
        <v>838</v>
      </c>
    </row>
    <row r="523" spans="1:7">
      <c r="A523" t="s">
        <v>63</v>
      </c>
      <c r="B523" t="s">
        <v>539</v>
      </c>
      <c r="C523" t="s">
        <v>538</v>
      </c>
      <c r="D523">
        <v>6.0615602999999997E-2</v>
      </c>
      <c r="E523" t="s">
        <v>489</v>
      </c>
      <c r="F523" t="s">
        <v>490</v>
      </c>
      <c r="G523" t="s">
        <v>490</v>
      </c>
    </row>
    <row r="524" spans="1:7">
      <c r="A524" t="s">
        <v>63</v>
      </c>
      <c r="B524" t="s">
        <v>598</v>
      </c>
      <c r="C524" t="s">
        <v>597</v>
      </c>
      <c r="D524">
        <v>5.2954998000000003E-2</v>
      </c>
      <c r="E524" t="s">
        <v>489</v>
      </c>
      <c r="F524" t="s">
        <v>490</v>
      </c>
      <c r="G524" t="s">
        <v>490</v>
      </c>
    </row>
    <row r="525" spans="1:7">
      <c r="A525" t="s">
        <v>63</v>
      </c>
      <c r="B525" t="s">
        <v>1097</v>
      </c>
      <c r="C525" t="s">
        <v>1096</v>
      </c>
      <c r="D525">
        <v>5.2242298E-2</v>
      </c>
      <c r="E525" t="s">
        <v>443</v>
      </c>
      <c r="F525" t="s">
        <v>1098</v>
      </c>
      <c r="G525" t="s">
        <v>1099</v>
      </c>
    </row>
    <row r="526" spans="1:7">
      <c r="A526" t="s">
        <v>63</v>
      </c>
      <c r="B526" t="s">
        <v>687</v>
      </c>
      <c r="C526" t="s">
        <v>686</v>
      </c>
      <c r="D526">
        <v>5.2146703000000003E-2</v>
      </c>
      <c r="E526" t="s">
        <v>489</v>
      </c>
      <c r="F526" t="s">
        <v>490</v>
      </c>
      <c r="G526" t="s">
        <v>490</v>
      </c>
    </row>
    <row r="527" spans="1:7">
      <c r="A527" t="s">
        <v>63</v>
      </c>
      <c r="B527" t="s">
        <v>1082</v>
      </c>
      <c r="C527" t="s">
        <v>1081</v>
      </c>
      <c r="D527">
        <v>5.1771200000000003E-2</v>
      </c>
      <c r="E527" t="s">
        <v>590</v>
      </c>
      <c r="F527" t="s">
        <v>1083</v>
      </c>
      <c r="G527" t="s">
        <v>1084</v>
      </c>
    </row>
    <row r="528" spans="1:7">
      <c r="A528" t="s">
        <v>63</v>
      </c>
      <c r="B528" t="s">
        <v>872</v>
      </c>
      <c r="C528" t="s">
        <v>871</v>
      </c>
      <c r="D528">
        <v>5.1009499999999999E-2</v>
      </c>
      <c r="E528" t="s">
        <v>505</v>
      </c>
      <c r="F528" t="s">
        <v>873</v>
      </c>
      <c r="G528" t="s">
        <v>874</v>
      </c>
    </row>
    <row r="529" spans="1:7">
      <c r="A529" t="s">
        <v>63</v>
      </c>
      <c r="B529" t="s">
        <v>1013</v>
      </c>
      <c r="C529" t="s">
        <v>1012</v>
      </c>
      <c r="D529">
        <v>4.8859899999999998E-2</v>
      </c>
      <c r="E529" t="s">
        <v>505</v>
      </c>
      <c r="F529" t="s">
        <v>1014</v>
      </c>
      <c r="G529" t="s">
        <v>1015</v>
      </c>
    </row>
    <row r="530" spans="1:7">
      <c r="A530" t="s">
        <v>64</v>
      </c>
      <c r="B530" t="s">
        <v>442</v>
      </c>
      <c r="C530" t="s">
        <v>441</v>
      </c>
      <c r="D530">
        <v>7.5015499999999999E-2</v>
      </c>
      <c r="E530" t="s">
        <v>443</v>
      </c>
      <c r="F530" t="s">
        <v>444</v>
      </c>
      <c r="G530" t="s">
        <v>445</v>
      </c>
    </row>
    <row r="531" spans="1:7">
      <c r="A531" t="s">
        <v>64</v>
      </c>
      <c r="B531" t="s">
        <v>475</v>
      </c>
      <c r="C531" t="s">
        <v>474</v>
      </c>
      <c r="D531">
        <v>6.85283E-2</v>
      </c>
      <c r="E531" t="s">
        <v>443</v>
      </c>
      <c r="F531" t="s">
        <v>476</v>
      </c>
      <c r="G531" t="s">
        <v>477</v>
      </c>
    </row>
    <row r="532" spans="1:7">
      <c r="A532" t="s">
        <v>64</v>
      </c>
      <c r="B532" t="s">
        <v>467</v>
      </c>
      <c r="C532" t="s">
        <v>466</v>
      </c>
      <c r="D532">
        <v>5.3053599999999999E-2</v>
      </c>
      <c r="E532" t="s">
        <v>443</v>
      </c>
      <c r="F532" t="s">
        <v>468</v>
      </c>
      <c r="G532" t="s">
        <v>469</v>
      </c>
    </row>
    <row r="533" spans="1:7">
      <c r="A533" t="s">
        <v>64</v>
      </c>
      <c r="B533" t="s">
        <v>459</v>
      </c>
      <c r="C533" t="s">
        <v>458</v>
      </c>
      <c r="D533">
        <v>4.2520799999999997E-2</v>
      </c>
      <c r="E533" t="s">
        <v>443</v>
      </c>
      <c r="F533" t="s">
        <v>460</v>
      </c>
      <c r="G533" t="s">
        <v>461</v>
      </c>
    </row>
    <row r="534" spans="1:7">
      <c r="A534" t="s">
        <v>64</v>
      </c>
      <c r="B534" t="s">
        <v>463</v>
      </c>
      <c r="C534" t="s">
        <v>462</v>
      </c>
      <c r="D534">
        <v>3.3952299999999998E-2</v>
      </c>
      <c r="E534" t="s">
        <v>443</v>
      </c>
      <c r="F534" t="s">
        <v>464</v>
      </c>
      <c r="G534" t="s">
        <v>465</v>
      </c>
    </row>
    <row r="535" spans="1:7">
      <c r="A535" t="s">
        <v>64</v>
      </c>
      <c r="B535" t="s">
        <v>455</v>
      </c>
      <c r="C535" t="s">
        <v>454</v>
      </c>
      <c r="D535">
        <v>3.1108301000000001E-2</v>
      </c>
      <c r="E535" t="s">
        <v>443</v>
      </c>
      <c r="F535" t="s">
        <v>456</v>
      </c>
      <c r="G535" t="s">
        <v>457</v>
      </c>
    </row>
    <row r="536" spans="1:7">
      <c r="A536" t="s">
        <v>64</v>
      </c>
      <c r="B536" t="s">
        <v>541</v>
      </c>
      <c r="C536" t="s">
        <v>540</v>
      </c>
      <c r="D536">
        <v>2.5538498999999999E-2</v>
      </c>
      <c r="E536" t="s">
        <v>443</v>
      </c>
      <c r="F536" t="s">
        <v>542</v>
      </c>
      <c r="G536" t="s">
        <v>543</v>
      </c>
    </row>
    <row r="537" spans="1:7">
      <c r="A537" t="s">
        <v>64</v>
      </c>
      <c r="B537" t="s">
        <v>492</v>
      </c>
      <c r="C537" t="s">
        <v>491</v>
      </c>
      <c r="D537">
        <v>2.2585198000000001E-2</v>
      </c>
      <c r="E537" t="s">
        <v>443</v>
      </c>
      <c r="F537" t="s">
        <v>493</v>
      </c>
      <c r="G537" t="s">
        <v>494</v>
      </c>
    </row>
    <row r="538" spans="1:7">
      <c r="A538" t="s">
        <v>64</v>
      </c>
      <c r="B538" t="s">
        <v>447</v>
      </c>
      <c r="C538" t="s">
        <v>446</v>
      </c>
      <c r="D538">
        <v>2.25367E-2</v>
      </c>
      <c r="E538" t="s">
        <v>443</v>
      </c>
      <c r="F538" t="s">
        <v>448</v>
      </c>
      <c r="G538" t="s">
        <v>449</v>
      </c>
    </row>
    <row r="539" spans="1:7">
      <c r="A539" t="s">
        <v>64</v>
      </c>
      <c r="B539" t="s">
        <v>529</v>
      </c>
      <c r="C539" t="s">
        <v>528</v>
      </c>
      <c r="D539">
        <v>1.63389E-2</v>
      </c>
      <c r="E539" t="s">
        <v>489</v>
      </c>
      <c r="F539" t="s">
        <v>490</v>
      </c>
      <c r="G539" t="s">
        <v>490</v>
      </c>
    </row>
    <row r="540" spans="1:7">
      <c r="A540" t="s">
        <v>65</v>
      </c>
      <c r="B540" t="s">
        <v>766</v>
      </c>
      <c r="C540" t="s">
        <v>765</v>
      </c>
      <c r="D540">
        <v>4.4234299999999997E-2</v>
      </c>
      <c r="E540" t="s">
        <v>489</v>
      </c>
      <c r="F540" t="s">
        <v>490</v>
      </c>
      <c r="G540" t="s">
        <v>490</v>
      </c>
    </row>
    <row r="541" spans="1:7">
      <c r="A541" t="s">
        <v>65</v>
      </c>
      <c r="B541" t="s">
        <v>557</v>
      </c>
      <c r="C541" t="s">
        <v>556</v>
      </c>
      <c r="D541">
        <v>4.3602399999999999E-2</v>
      </c>
      <c r="E541" t="s">
        <v>489</v>
      </c>
      <c r="F541" t="s">
        <v>490</v>
      </c>
      <c r="G541" t="s">
        <v>490</v>
      </c>
    </row>
    <row r="542" spans="1:7">
      <c r="A542" t="s">
        <v>65</v>
      </c>
      <c r="B542" t="s">
        <v>2255</v>
      </c>
      <c r="C542" t="s">
        <v>2254</v>
      </c>
      <c r="D542">
        <v>4.2077496999999998E-2</v>
      </c>
      <c r="E542" t="s">
        <v>443</v>
      </c>
      <c r="F542" t="s">
        <v>2256</v>
      </c>
      <c r="G542" t="s">
        <v>2257</v>
      </c>
    </row>
    <row r="543" spans="1:7">
      <c r="A543" t="s">
        <v>65</v>
      </c>
      <c r="B543" t="s">
        <v>772</v>
      </c>
      <c r="C543" t="s">
        <v>771</v>
      </c>
      <c r="D543">
        <v>3.9729399999999998E-2</v>
      </c>
      <c r="E543" t="s">
        <v>443</v>
      </c>
      <c r="F543" t="s">
        <v>773</v>
      </c>
      <c r="G543" t="s">
        <v>774</v>
      </c>
    </row>
    <row r="544" spans="1:7">
      <c r="A544" t="s">
        <v>65</v>
      </c>
      <c r="B544" t="s">
        <v>517</v>
      </c>
      <c r="C544" t="s">
        <v>516</v>
      </c>
      <c r="D544">
        <v>3.8507199999999998E-2</v>
      </c>
      <c r="E544" t="s">
        <v>443</v>
      </c>
      <c r="F544" t="s">
        <v>518</v>
      </c>
      <c r="G544" t="s">
        <v>519</v>
      </c>
    </row>
    <row r="545" spans="1:7">
      <c r="A545" t="s">
        <v>65</v>
      </c>
      <c r="B545" t="s">
        <v>488</v>
      </c>
      <c r="C545" t="s">
        <v>487</v>
      </c>
      <c r="D545">
        <v>3.6343201999999998E-2</v>
      </c>
      <c r="E545" t="s">
        <v>489</v>
      </c>
      <c r="F545" t="s">
        <v>490</v>
      </c>
      <c r="G545" t="s">
        <v>490</v>
      </c>
    </row>
    <row r="546" spans="1:7">
      <c r="A546" t="s">
        <v>65</v>
      </c>
      <c r="B546" t="s">
        <v>1210</v>
      </c>
      <c r="C546" t="s">
        <v>1209</v>
      </c>
      <c r="D546">
        <v>3.5017100000000002E-2</v>
      </c>
      <c r="E546" t="s">
        <v>505</v>
      </c>
      <c r="F546" t="s">
        <v>1211</v>
      </c>
      <c r="G546" t="s">
        <v>1212</v>
      </c>
    </row>
    <row r="547" spans="1:7">
      <c r="A547" t="s">
        <v>65</v>
      </c>
      <c r="B547" t="s">
        <v>2558</v>
      </c>
      <c r="C547" t="s">
        <v>2557</v>
      </c>
      <c r="D547">
        <v>3.4768800000000002E-2</v>
      </c>
      <c r="E547" t="s">
        <v>443</v>
      </c>
      <c r="F547" t="s">
        <v>2559</v>
      </c>
      <c r="G547" t="s">
        <v>2560</v>
      </c>
    </row>
    <row r="548" spans="1:7">
      <c r="A548" t="s">
        <v>65</v>
      </c>
      <c r="B548" t="s">
        <v>651</v>
      </c>
      <c r="C548" t="s">
        <v>650</v>
      </c>
      <c r="D548">
        <v>3.4443799999999997E-2</v>
      </c>
      <c r="E548" t="s">
        <v>618</v>
      </c>
      <c r="F548" t="s">
        <v>652</v>
      </c>
      <c r="G548" t="s">
        <v>653</v>
      </c>
    </row>
    <row r="549" spans="1:7">
      <c r="A549" t="s">
        <v>65</v>
      </c>
      <c r="B549" t="s">
        <v>1550</v>
      </c>
      <c r="C549" t="s">
        <v>1549</v>
      </c>
      <c r="D549">
        <v>3.3789596999999998E-2</v>
      </c>
      <c r="E549" t="s">
        <v>505</v>
      </c>
      <c r="F549" t="s">
        <v>1551</v>
      </c>
      <c r="G549" t="s">
        <v>1552</v>
      </c>
    </row>
    <row r="550" spans="1:7">
      <c r="A550" t="s">
        <v>67</v>
      </c>
      <c r="B550" t="s">
        <v>580</v>
      </c>
      <c r="C550" t="s">
        <v>579</v>
      </c>
      <c r="D550">
        <v>4.11061E-2</v>
      </c>
      <c r="E550" t="s">
        <v>505</v>
      </c>
      <c r="F550" t="s">
        <v>581</v>
      </c>
      <c r="G550" t="s">
        <v>582</v>
      </c>
    </row>
    <row r="551" spans="1:7">
      <c r="A551" t="s">
        <v>67</v>
      </c>
      <c r="B551" t="s">
        <v>594</v>
      </c>
      <c r="C551" t="s">
        <v>593</v>
      </c>
      <c r="D551">
        <v>3.4250299999999997E-2</v>
      </c>
      <c r="E551" t="s">
        <v>505</v>
      </c>
      <c r="F551" t="s">
        <v>595</v>
      </c>
      <c r="G551" t="s">
        <v>596</v>
      </c>
    </row>
    <row r="552" spans="1:7">
      <c r="A552" t="s">
        <v>67</v>
      </c>
      <c r="B552" t="s">
        <v>559</v>
      </c>
      <c r="C552" t="s">
        <v>558</v>
      </c>
      <c r="D552">
        <v>2.6324699E-2</v>
      </c>
      <c r="E552" t="s">
        <v>505</v>
      </c>
      <c r="F552" t="s">
        <v>560</v>
      </c>
      <c r="G552" t="s">
        <v>561</v>
      </c>
    </row>
    <row r="553" spans="1:7">
      <c r="A553" t="s">
        <v>67</v>
      </c>
      <c r="B553" t="s">
        <v>571</v>
      </c>
      <c r="C553" t="s">
        <v>570</v>
      </c>
      <c r="D553">
        <v>2.4332399000000001E-2</v>
      </c>
      <c r="E553" t="s">
        <v>505</v>
      </c>
      <c r="F553" t="s">
        <v>572</v>
      </c>
      <c r="G553" t="s">
        <v>573</v>
      </c>
    </row>
    <row r="554" spans="1:7">
      <c r="A554" t="s">
        <v>67</v>
      </c>
      <c r="B554" t="s">
        <v>1226</v>
      </c>
      <c r="C554" t="s">
        <v>1225</v>
      </c>
      <c r="D554">
        <v>2.3380499999999999E-2</v>
      </c>
      <c r="E554" t="s">
        <v>489</v>
      </c>
      <c r="F554" t="s">
        <v>490</v>
      </c>
      <c r="G554" t="s">
        <v>490</v>
      </c>
    </row>
    <row r="555" spans="1:7">
      <c r="A555" t="s">
        <v>67</v>
      </c>
      <c r="B555" t="s">
        <v>545</v>
      </c>
      <c r="C555" t="s">
        <v>544</v>
      </c>
      <c r="D555">
        <v>1.83264E-2</v>
      </c>
      <c r="E555" t="s">
        <v>505</v>
      </c>
      <c r="F555" t="s">
        <v>546</v>
      </c>
      <c r="G555" t="s">
        <v>547</v>
      </c>
    </row>
    <row r="556" spans="1:7">
      <c r="A556" t="s">
        <v>67</v>
      </c>
      <c r="B556" t="s">
        <v>3086</v>
      </c>
      <c r="C556" t="s">
        <v>3085</v>
      </c>
      <c r="D556">
        <v>1.7168800000000001E-2</v>
      </c>
      <c r="E556" t="s">
        <v>489</v>
      </c>
      <c r="F556" t="s">
        <v>490</v>
      </c>
      <c r="G556" t="s">
        <v>490</v>
      </c>
    </row>
    <row r="557" spans="1:7">
      <c r="A557" t="s">
        <v>67</v>
      </c>
      <c r="B557" t="s">
        <v>849</v>
      </c>
      <c r="C557" t="s">
        <v>848</v>
      </c>
      <c r="D557">
        <v>1.6697500000000001E-2</v>
      </c>
      <c r="E557" t="s">
        <v>850</v>
      </c>
      <c r="F557" t="s">
        <v>851</v>
      </c>
      <c r="G557" t="s">
        <v>852</v>
      </c>
    </row>
    <row r="558" spans="1:7">
      <c r="A558" t="s">
        <v>67</v>
      </c>
      <c r="B558" t="s">
        <v>612</v>
      </c>
      <c r="C558" t="s">
        <v>611</v>
      </c>
      <c r="D558">
        <v>1.57103E-2</v>
      </c>
      <c r="E558" t="s">
        <v>613</v>
      </c>
      <c r="F558" t="s">
        <v>614</v>
      </c>
      <c r="G558" t="s">
        <v>615</v>
      </c>
    </row>
    <row r="559" spans="1:7">
      <c r="A559" t="s">
        <v>67</v>
      </c>
      <c r="B559" t="s">
        <v>610</v>
      </c>
      <c r="C559" t="s">
        <v>609</v>
      </c>
      <c r="D559">
        <v>1.5697099999999999E-2</v>
      </c>
      <c r="E559" t="s">
        <v>489</v>
      </c>
      <c r="F559" t="s">
        <v>490</v>
      </c>
      <c r="G559" t="s">
        <v>490</v>
      </c>
    </row>
    <row r="560" spans="1:7">
      <c r="A560" t="s">
        <v>68</v>
      </c>
      <c r="B560" t="s">
        <v>455</v>
      </c>
      <c r="C560" t="s">
        <v>454</v>
      </c>
      <c r="D560">
        <v>7.6842300000000002E-2</v>
      </c>
      <c r="E560" t="s">
        <v>443</v>
      </c>
      <c r="F560" t="s">
        <v>456</v>
      </c>
      <c r="G560" t="s">
        <v>457</v>
      </c>
    </row>
    <row r="561" spans="1:7">
      <c r="A561" t="s">
        <v>68</v>
      </c>
      <c r="B561" t="s">
        <v>447</v>
      </c>
      <c r="C561" t="s">
        <v>446</v>
      </c>
      <c r="D561">
        <v>7.1683499999999997E-2</v>
      </c>
      <c r="E561" t="s">
        <v>443</v>
      </c>
      <c r="F561" t="s">
        <v>448</v>
      </c>
      <c r="G561" t="s">
        <v>449</v>
      </c>
    </row>
    <row r="562" spans="1:7">
      <c r="A562" t="s">
        <v>68</v>
      </c>
      <c r="B562" t="s">
        <v>459</v>
      </c>
      <c r="C562" t="s">
        <v>458</v>
      </c>
      <c r="D562">
        <v>6.9808505000000007E-2</v>
      </c>
      <c r="E562" t="s">
        <v>443</v>
      </c>
      <c r="F562" t="s">
        <v>460</v>
      </c>
      <c r="G562" t="s">
        <v>461</v>
      </c>
    </row>
    <row r="563" spans="1:7">
      <c r="A563" t="s">
        <v>68</v>
      </c>
      <c r="B563" t="s">
        <v>463</v>
      </c>
      <c r="C563" t="s">
        <v>462</v>
      </c>
      <c r="D563">
        <v>6.9603200000000004E-2</v>
      </c>
      <c r="E563" t="s">
        <v>443</v>
      </c>
      <c r="F563" t="s">
        <v>464</v>
      </c>
      <c r="G563" t="s">
        <v>465</v>
      </c>
    </row>
    <row r="564" spans="1:7">
      <c r="A564" t="s">
        <v>68</v>
      </c>
      <c r="B564" t="s">
        <v>467</v>
      </c>
      <c r="C564" t="s">
        <v>466</v>
      </c>
      <c r="D564">
        <v>6.5245800000000007E-2</v>
      </c>
      <c r="E564" t="s">
        <v>443</v>
      </c>
      <c r="F564" t="s">
        <v>468</v>
      </c>
      <c r="G564" t="s">
        <v>469</v>
      </c>
    </row>
    <row r="565" spans="1:7">
      <c r="A565" t="s">
        <v>68</v>
      </c>
      <c r="B565" t="s">
        <v>483</v>
      </c>
      <c r="C565" t="s">
        <v>482</v>
      </c>
      <c r="D565">
        <v>6.5174999999999997E-2</v>
      </c>
      <c r="E565" t="s">
        <v>484</v>
      </c>
      <c r="F565" t="s">
        <v>485</v>
      </c>
      <c r="G565" t="s">
        <v>486</v>
      </c>
    </row>
    <row r="566" spans="1:7">
      <c r="A566" t="s">
        <v>68</v>
      </c>
      <c r="B566" t="s">
        <v>442</v>
      </c>
      <c r="C566" t="s">
        <v>441</v>
      </c>
      <c r="D566">
        <v>6.44063E-2</v>
      </c>
      <c r="E566" t="s">
        <v>443</v>
      </c>
      <c r="F566" t="s">
        <v>444</v>
      </c>
      <c r="G566" t="s">
        <v>445</v>
      </c>
    </row>
    <row r="567" spans="1:7">
      <c r="A567" t="s">
        <v>68</v>
      </c>
      <c r="B567" t="s">
        <v>451</v>
      </c>
      <c r="C567" t="s">
        <v>450</v>
      </c>
      <c r="D567">
        <v>6.4210000000000003E-2</v>
      </c>
      <c r="E567" t="s">
        <v>443</v>
      </c>
      <c r="F567" t="s">
        <v>452</v>
      </c>
      <c r="G567" t="s">
        <v>453</v>
      </c>
    </row>
    <row r="568" spans="1:7">
      <c r="A568" t="s">
        <v>68</v>
      </c>
      <c r="B568" t="s">
        <v>521</v>
      </c>
      <c r="C568" t="s">
        <v>520</v>
      </c>
      <c r="D568">
        <v>4.1736599999999999E-2</v>
      </c>
      <c r="E568" t="s">
        <v>505</v>
      </c>
      <c r="F568" t="s">
        <v>522</v>
      </c>
      <c r="G568" t="s">
        <v>523</v>
      </c>
    </row>
    <row r="569" spans="1:7">
      <c r="A569" t="s">
        <v>68</v>
      </c>
      <c r="B569" t="s">
        <v>683</v>
      </c>
      <c r="C569" t="s">
        <v>682</v>
      </c>
      <c r="D569">
        <v>3.5961899999999998E-2</v>
      </c>
      <c r="E569" t="s">
        <v>585</v>
      </c>
      <c r="F569" t="s">
        <v>684</v>
      </c>
      <c r="G569" t="s">
        <v>685</v>
      </c>
    </row>
    <row r="570" spans="1:7">
      <c r="A570" t="s">
        <v>69</v>
      </c>
      <c r="B570" t="s">
        <v>1071</v>
      </c>
      <c r="C570" t="s">
        <v>1070</v>
      </c>
      <c r="D570">
        <v>8.2520800000000005E-2</v>
      </c>
      <c r="E570" t="s">
        <v>489</v>
      </c>
      <c r="F570" t="s">
        <v>490</v>
      </c>
      <c r="G570" t="s">
        <v>490</v>
      </c>
    </row>
    <row r="571" spans="1:7">
      <c r="A571" t="s">
        <v>69</v>
      </c>
      <c r="B571" t="s">
        <v>1263</v>
      </c>
      <c r="C571" t="s">
        <v>1262</v>
      </c>
      <c r="D571">
        <v>8.1481499999999998E-2</v>
      </c>
      <c r="E571" t="s">
        <v>1264</v>
      </c>
      <c r="F571" t="s">
        <v>1265</v>
      </c>
      <c r="G571" t="s">
        <v>1266</v>
      </c>
    </row>
    <row r="572" spans="1:7">
      <c r="A572" t="s">
        <v>69</v>
      </c>
      <c r="B572" t="s">
        <v>1736</v>
      </c>
      <c r="C572" t="s">
        <v>1735</v>
      </c>
      <c r="D572">
        <v>7.1513800000000002E-2</v>
      </c>
      <c r="E572" t="s">
        <v>826</v>
      </c>
      <c r="F572" t="s">
        <v>1737</v>
      </c>
      <c r="G572" t="s">
        <v>1738</v>
      </c>
    </row>
    <row r="573" spans="1:7">
      <c r="A573" t="s">
        <v>69</v>
      </c>
      <c r="B573" t="s">
        <v>1303</v>
      </c>
      <c r="C573" t="s">
        <v>1302</v>
      </c>
      <c r="D573">
        <v>6.6058000000000006E-2</v>
      </c>
      <c r="E573" t="s">
        <v>1304</v>
      </c>
      <c r="F573" t="s">
        <v>1305</v>
      </c>
      <c r="G573" t="s">
        <v>1306</v>
      </c>
    </row>
    <row r="574" spans="1:7">
      <c r="A574" t="s">
        <v>69</v>
      </c>
      <c r="B574" t="s">
        <v>1834</v>
      </c>
      <c r="C574" t="s">
        <v>1833</v>
      </c>
      <c r="D574">
        <v>5.8500200000000002E-2</v>
      </c>
      <c r="E574" t="s">
        <v>590</v>
      </c>
      <c r="F574" t="s">
        <v>1835</v>
      </c>
      <c r="G574" t="s">
        <v>1836</v>
      </c>
    </row>
    <row r="575" spans="1:7">
      <c r="A575" t="s">
        <v>69</v>
      </c>
      <c r="B575" t="s">
        <v>962</v>
      </c>
      <c r="C575" t="s">
        <v>961</v>
      </c>
      <c r="D575">
        <v>5.8043196999999998E-2</v>
      </c>
      <c r="E575" t="s">
        <v>963</v>
      </c>
      <c r="F575" t="s">
        <v>964</v>
      </c>
      <c r="G575" t="s">
        <v>965</v>
      </c>
    </row>
    <row r="576" spans="1:7">
      <c r="A576" t="s">
        <v>69</v>
      </c>
      <c r="B576" t="s">
        <v>2656</v>
      </c>
      <c r="C576" t="s">
        <v>2655</v>
      </c>
      <c r="D576">
        <v>3.2080900000000002E-2</v>
      </c>
      <c r="E576" t="s">
        <v>590</v>
      </c>
      <c r="F576" t="s">
        <v>2657</v>
      </c>
      <c r="G576" t="s">
        <v>2658</v>
      </c>
    </row>
    <row r="577" spans="1:7">
      <c r="A577" t="s">
        <v>69</v>
      </c>
      <c r="B577" t="s">
        <v>1503</v>
      </c>
      <c r="C577" t="s">
        <v>1502</v>
      </c>
      <c r="D577">
        <v>3.0416100000000001E-2</v>
      </c>
      <c r="E577" t="s">
        <v>963</v>
      </c>
      <c r="F577" t="s">
        <v>1504</v>
      </c>
      <c r="G577" t="s">
        <v>1505</v>
      </c>
    </row>
    <row r="578" spans="1:7">
      <c r="A578" t="s">
        <v>69</v>
      </c>
      <c r="B578" t="s">
        <v>2835</v>
      </c>
      <c r="C578" t="s">
        <v>2834</v>
      </c>
      <c r="D578">
        <v>2.6935302000000001E-2</v>
      </c>
      <c r="E578" t="s">
        <v>489</v>
      </c>
      <c r="F578" t="s">
        <v>490</v>
      </c>
      <c r="G578" t="s">
        <v>490</v>
      </c>
    </row>
    <row r="579" spans="1:7">
      <c r="A579" t="s">
        <v>69</v>
      </c>
      <c r="B579" t="s">
        <v>2839</v>
      </c>
      <c r="C579" t="s">
        <v>2838</v>
      </c>
      <c r="D579">
        <v>2.6889199999999999E-2</v>
      </c>
      <c r="E579" t="s">
        <v>1439</v>
      </c>
      <c r="F579" t="s">
        <v>2840</v>
      </c>
      <c r="G579" t="s">
        <v>2841</v>
      </c>
    </row>
    <row r="580" spans="1:7">
      <c r="A580" t="s">
        <v>70</v>
      </c>
      <c r="B580" t="s">
        <v>683</v>
      </c>
      <c r="C580" t="s">
        <v>682</v>
      </c>
      <c r="D580">
        <v>6.6426200000000005E-2</v>
      </c>
      <c r="E580" t="s">
        <v>585</v>
      </c>
      <c r="F580" t="s">
        <v>684</v>
      </c>
      <c r="G580" t="s">
        <v>685</v>
      </c>
    </row>
    <row r="581" spans="1:7">
      <c r="A581" t="s">
        <v>70</v>
      </c>
      <c r="B581" t="s">
        <v>766</v>
      </c>
      <c r="C581" t="s">
        <v>765</v>
      </c>
      <c r="D581">
        <v>5.8732300000000001E-2</v>
      </c>
      <c r="E581" t="s">
        <v>489</v>
      </c>
      <c r="F581" t="s">
        <v>490</v>
      </c>
      <c r="G581" t="s">
        <v>490</v>
      </c>
    </row>
    <row r="582" spans="1:7">
      <c r="A582" t="s">
        <v>70</v>
      </c>
      <c r="B582" t="s">
        <v>442</v>
      </c>
      <c r="C582" t="s">
        <v>441</v>
      </c>
      <c r="D582">
        <v>4.5993399999999997E-2</v>
      </c>
      <c r="E582" t="s">
        <v>443</v>
      </c>
      <c r="F582" t="s">
        <v>444</v>
      </c>
      <c r="G582" t="s">
        <v>445</v>
      </c>
    </row>
    <row r="583" spans="1:7">
      <c r="A583" t="s">
        <v>70</v>
      </c>
      <c r="B583" t="s">
        <v>675</v>
      </c>
      <c r="C583" t="s">
        <v>674</v>
      </c>
      <c r="D583">
        <v>4.2696699999999997E-2</v>
      </c>
      <c r="E583" t="s">
        <v>505</v>
      </c>
      <c r="F583" t="s">
        <v>676</v>
      </c>
      <c r="G583" t="s">
        <v>677</v>
      </c>
    </row>
    <row r="584" spans="1:7">
      <c r="A584" t="s">
        <v>70</v>
      </c>
      <c r="B584" t="s">
        <v>1575</v>
      </c>
      <c r="C584" t="s">
        <v>1574</v>
      </c>
      <c r="D584">
        <v>3.5564598000000003E-2</v>
      </c>
      <c r="E584" t="s">
        <v>1055</v>
      </c>
      <c r="F584" t="s">
        <v>1576</v>
      </c>
      <c r="G584" t="s">
        <v>1577</v>
      </c>
    </row>
    <row r="585" spans="1:7">
      <c r="A585" t="s">
        <v>70</v>
      </c>
      <c r="B585" t="s">
        <v>2607</v>
      </c>
      <c r="C585" t="s">
        <v>2606</v>
      </c>
      <c r="D585">
        <v>3.3981299999999999E-2</v>
      </c>
      <c r="E585" t="s">
        <v>443</v>
      </c>
      <c r="F585" t="s">
        <v>2608</v>
      </c>
      <c r="G585" t="s">
        <v>2609</v>
      </c>
    </row>
    <row r="586" spans="1:7">
      <c r="A586" t="s">
        <v>70</v>
      </c>
      <c r="B586" t="s">
        <v>1538</v>
      </c>
      <c r="C586" t="s">
        <v>1537</v>
      </c>
      <c r="D586">
        <v>3.3481999999999998E-2</v>
      </c>
      <c r="E586" t="s">
        <v>1055</v>
      </c>
      <c r="F586" t="s">
        <v>1539</v>
      </c>
      <c r="G586" t="s">
        <v>1540</v>
      </c>
    </row>
    <row r="587" spans="1:7">
      <c r="A587" t="s">
        <v>70</v>
      </c>
      <c r="B587" t="s">
        <v>1226</v>
      </c>
      <c r="C587" t="s">
        <v>1225</v>
      </c>
      <c r="D587">
        <v>3.1470202000000003E-2</v>
      </c>
      <c r="E587" t="s">
        <v>489</v>
      </c>
      <c r="F587" t="s">
        <v>490</v>
      </c>
      <c r="G587" t="s">
        <v>490</v>
      </c>
    </row>
    <row r="588" spans="1:7">
      <c r="A588" t="s">
        <v>70</v>
      </c>
      <c r="B588" t="s">
        <v>525</v>
      </c>
      <c r="C588" t="s">
        <v>524</v>
      </c>
      <c r="D588">
        <v>3.1354600000000003E-2</v>
      </c>
      <c r="E588" t="s">
        <v>443</v>
      </c>
      <c r="F588" t="s">
        <v>526</v>
      </c>
      <c r="G588" t="s">
        <v>527</v>
      </c>
    </row>
    <row r="589" spans="1:7">
      <c r="A589" t="s">
        <v>70</v>
      </c>
      <c r="B589" t="s">
        <v>541</v>
      </c>
      <c r="C589" t="s">
        <v>540</v>
      </c>
      <c r="D589">
        <v>3.1190699999999998E-2</v>
      </c>
      <c r="E589" t="s">
        <v>443</v>
      </c>
      <c r="F589" t="s">
        <v>542</v>
      </c>
      <c r="G589" t="s">
        <v>543</v>
      </c>
    </row>
    <row r="590" spans="1:7">
      <c r="A590" t="s">
        <v>71</v>
      </c>
      <c r="B590" t="s">
        <v>459</v>
      </c>
      <c r="C590" t="s">
        <v>458</v>
      </c>
      <c r="D590">
        <v>0.109956</v>
      </c>
      <c r="E590" t="s">
        <v>443</v>
      </c>
      <c r="F590" t="s">
        <v>460</v>
      </c>
      <c r="G590" t="s">
        <v>461</v>
      </c>
    </row>
    <row r="591" spans="1:7">
      <c r="A591" t="s">
        <v>71</v>
      </c>
      <c r="B591" t="s">
        <v>531</v>
      </c>
      <c r="C591" t="s">
        <v>530</v>
      </c>
      <c r="D591">
        <v>8.6937903999999996E-2</v>
      </c>
      <c r="E591" t="s">
        <v>443</v>
      </c>
      <c r="F591" t="s">
        <v>532</v>
      </c>
      <c r="G591" t="s">
        <v>533</v>
      </c>
    </row>
    <row r="592" spans="1:7">
      <c r="A592" t="s">
        <v>71</v>
      </c>
      <c r="B592" t="s">
        <v>492</v>
      </c>
      <c r="C592" t="s">
        <v>491</v>
      </c>
      <c r="D592">
        <v>8.3448893999999996E-2</v>
      </c>
      <c r="E592" t="s">
        <v>443</v>
      </c>
      <c r="F592" t="s">
        <v>493</v>
      </c>
      <c r="G592" t="s">
        <v>494</v>
      </c>
    </row>
    <row r="593" spans="1:7">
      <c r="A593" t="s">
        <v>71</v>
      </c>
      <c r="B593" t="s">
        <v>1357</v>
      </c>
      <c r="C593" t="s">
        <v>1356</v>
      </c>
      <c r="D593">
        <v>6.6364995999999996E-2</v>
      </c>
      <c r="E593" t="s">
        <v>443</v>
      </c>
      <c r="F593" t="s">
        <v>1358</v>
      </c>
      <c r="G593" t="s">
        <v>1359</v>
      </c>
    </row>
    <row r="594" spans="1:7">
      <c r="A594" t="s">
        <v>71</v>
      </c>
      <c r="B594" t="s">
        <v>463</v>
      </c>
      <c r="C594" t="s">
        <v>462</v>
      </c>
      <c r="D594">
        <v>5.9053300000000003E-2</v>
      </c>
      <c r="E594" t="s">
        <v>443</v>
      </c>
      <c r="F594" t="s">
        <v>464</v>
      </c>
      <c r="G594" t="s">
        <v>465</v>
      </c>
    </row>
    <row r="595" spans="1:7">
      <c r="A595" t="s">
        <v>71</v>
      </c>
      <c r="B595" t="s">
        <v>541</v>
      </c>
      <c r="C595" t="s">
        <v>540</v>
      </c>
      <c r="D595">
        <v>4.6949100000000001E-2</v>
      </c>
      <c r="E595" t="s">
        <v>443</v>
      </c>
      <c r="F595" t="s">
        <v>542</v>
      </c>
      <c r="G595" t="s">
        <v>543</v>
      </c>
    </row>
    <row r="596" spans="1:7">
      <c r="A596" t="s">
        <v>71</v>
      </c>
      <c r="B596" t="s">
        <v>816</v>
      </c>
      <c r="C596" t="s">
        <v>815</v>
      </c>
      <c r="D596">
        <v>4.4851799999999997E-2</v>
      </c>
      <c r="E596" t="s">
        <v>505</v>
      </c>
      <c r="F596" t="s">
        <v>817</v>
      </c>
      <c r="G596" t="s">
        <v>818</v>
      </c>
    </row>
    <row r="597" spans="1:7">
      <c r="A597" t="s">
        <v>71</v>
      </c>
      <c r="B597" t="s">
        <v>929</v>
      </c>
      <c r="C597" t="s">
        <v>928</v>
      </c>
      <c r="D597">
        <v>3.8271199999999998E-2</v>
      </c>
      <c r="E597" t="s">
        <v>505</v>
      </c>
      <c r="F597" t="s">
        <v>930</v>
      </c>
      <c r="G597" t="s">
        <v>931</v>
      </c>
    </row>
    <row r="598" spans="1:7">
      <c r="A598" t="s">
        <v>71</v>
      </c>
      <c r="B598" t="s">
        <v>608</v>
      </c>
      <c r="C598" t="s">
        <v>607</v>
      </c>
      <c r="D598">
        <v>3.8096298000000001E-2</v>
      </c>
      <c r="E598" t="s">
        <v>489</v>
      </c>
      <c r="F598" t="s">
        <v>490</v>
      </c>
      <c r="G598" t="s">
        <v>490</v>
      </c>
    </row>
    <row r="599" spans="1:7">
      <c r="A599" t="s">
        <v>71</v>
      </c>
      <c r="B599" t="s">
        <v>933</v>
      </c>
      <c r="C599" t="s">
        <v>932</v>
      </c>
      <c r="D599">
        <v>3.7648800000000003E-2</v>
      </c>
      <c r="E599" t="s">
        <v>443</v>
      </c>
      <c r="F599" t="s">
        <v>934</v>
      </c>
      <c r="G599" t="s">
        <v>935</v>
      </c>
    </row>
    <row r="600" spans="1:7">
      <c r="A600" t="s">
        <v>72</v>
      </c>
      <c r="B600" t="s">
        <v>985</v>
      </c>
      <c r="C600" t="s">
        <v>984</v>
      </c>
      <c r="D600">
        <v>9.8148695999999994E-2</v>
      </c>
      <c r="E600" t="s">
        <v>489</v>
      </c>
      <c r="F600" t="s">
        <v>490</v>
      </c>
      <c r="G600" t="s">
        <v>490</v>
      </c>
    </row>
    <row r="601" spans="1:7">
      <c r="A601" t="s">
        <v>72</v>
      </c>
      <c r="B601" t="s">
        <v>844</v>
      </c>
      <c r="C601" t="s">
        <v>843</v>
      </c>
      <c r="D601">
        <v>9.6511096000000005E-2</v>
      </c>
      <c r="E601" t="s">
        <v>845</v>
      </c>
      <c r="F601" t="s">
        <v>846</v>
      </c>
      <c r="G601" t="s">
        <v>847</v>
      </c>
    </row>
    <row r="602" spans="1:7">
      <c r="A602" t="s">
        <v>72</v>
      </c>
      <c r="B602" t="s">
        <v>854</v>
      </c>
      <c r="C602" t="s">
        <v>853</v>
      </c>
      <c r="D602">
        <v>8.2344299999999995E-2</v>
      </c>
      <c r="E602" t="s">
        <v>845</v>
      </c>
      <c r="F602" t="s">
        <v>855</v>
      </c>
      <c r="G602" t="s">
        <v>856</v>
      </c>
    </row>
    <row r="603" spans="1:7">
      <c r="A603" t="s">
        <v>72</v>
      </c>
      <c r="B603" t="s">
        <v>1339</v>
      </c>
      <c r="C603" t="s">
        <v>1338</v>
      </c>
      <c r="D603">
        <v>8.2239999999999994E-2</v>
      </c>
      <c r="E603" t="s">
        <v>489</v>
      </c>
      <c r="F603" t="s">
        <v>490</v>
      </c>
      <c r="G603" t="s">
        <v>490</v>
      </c>
    </row>
    <row r="604" spans="1:7">
      <c r="A604" t="s">
        <v>72</v>
      </c>
      <c r="B604" t="s">
        <v>1789</v>
      </c>
      <c r="C604" t="s">
        <v>1788</v>
      </c>
      <c r="D604">
        <v>6.4046900000000004E-2</v>
      </c>
      <c r="E604" t="s">
        <v>1790</v>
      </c>
      <c r="F604" t="s">
        <v>1791</v>
      </c>
      <c r="G604" t="s">
        <v>1792</v>
      </c>
    </row>
    <row r="605" spans="1:7">
      <c r="A605" t="s">
        <v>72</v>
      </c>
      <c r="B605" t="s">
        <v>1032</v>
      </c>
      <c r="C605" t="s">
        <v>1031</v>
      </c>
      <c r="D605">
        <v>4.6988099999999998E-2</v>
      </c>
      <c r="E605" t="s">
        <v>845</v>
      </c>
      <c r="F605" t="s">
        <v>1033</v>
      </c>
      <c r="G605" t="s">
        <v>1034</v>
      </c>
    </row>
    <row r="606" spans="1:7">
      <c r="A606" t="s">
        <v>72</v>
      </c>
      <c r="B606" t="s">
        <v>1365</v>
      </c>
      <c r="C606" t="s">
        <v>1364</v>
      </c>
      <c r="D606">
        <v>4.6079202999999999E-2</v>
      </c>
      <c r="E606" t="s">
        <v>845</v>
      </c>
      <c r="F606" t="s">
        <v>1366</v>
      </c>
      <c r="G606" t="s">
        <v>1367</v>
      </c>
    </row>
    <row r="607" spans="1:7">
      <c r="A607" t="s">
        <v>72</v>
      </c>
      <c r="B607" t="s">
        <v>1021</v>
      </c>
      <c r="C607" t="s">
        <v>1020</v>
      </c>
      <c r="D607">
        <v>4.5404199999999999E-2</v>
      </c>
      <c r="E607" t="s">
        <v>845</v>
      </c>
      <c r="F607" t="s">
        <v>1022</v>
      </c>
      <c r="G607" t="s">
        <v>1023</v>
      </c>
    </row>
    <row r="608" spans="1:7">
      <c r="A608" t="s">
        <v>72</v>
      </c>
      <c r="B608" t="s">
        <v>1469</v>
      </c>
      <c r="C608" t="s">
        <v>1468</v>
      </c>
      <c r="D608">
        <v>4.44769E-2</v>
      </c>
      <c r="E608" t="s">
        <v>1470</v>
      </c>
      <c r="F608" t="s">
        <v>1471</v>
      </c>
      <c r="G608" t="s">
        <v>1472</v>
      </c>
    </row>
    <row r="609" spans="1:7">
      <c r="A609" t="s">
        <v>72</v>
      </c>
      <c r="B609" t="s">
        <v>1383</v>
      </c>
      <c r="C609" t="s">
        <v>1382</v>
      </c>
      <c r="D609">
        <v>4.1005699999999999E-2</v>
      </c>
      <c r="E609" t="s">
        <v>845</v>
      </c>
      <c r="F609" t="s">
        <v>1384</v>
      </c>
      <c r="G609" t="s">
        <v>1385</v>
      </c>
    </row>
    <row r="610" spans="1:7">
      <c r="A610" t="s">
        <v>73</v>
      </c>
      <c r="B610" t="s">
        <v>447</v>
      </c>
      <c r="C610" t="s">
        <v>446</v>
      </c>
      <c r="D610">
        <v>9.3635800000000005E-2</v>
      </c>
      <c r="E610" t="s">
        <v>443</v>
      </c>
      <c r="F610" t="s">
        <v>448</v>
      </c>
      <c r="G610" t="s">
        <v>449</v>
      </c>
    </row>
    <row r="611" spans="1:7">
      <c r="A611" t="s">
        <v>73</v>
      </c>
      <c r="B611" t="s">
        <v>509</v>
      </c>
      <c r="C611" t="s">
        <v>508</v>
      </c>
      <c r="D611">
        <v>8.0610799999999996E-2</v>
      </c>
      <c r="E611" t="s">
        <v>443</v>
      </c>
      <c r="F611" t="s">
        <v>510</v>
      </c>
      <c r="G611" t="s">
        <v>511</v>
      </c>
    </row>
    <row r="612" spans="1:7">
      <c r="A612" t="s">
        <v>73</v>
      </c>
      <c r="B612" t="s">
        <v>488</v>
      </c>
      <c r="C612" t="s">
        <v>487</v>
      </c>
      <c r="D612">
        <v>5.99909E-2</v>
      </c>
      <c r="E612" t="s">
        <v>489</v>
      </c>
      <c r="F612" t="s">
        <v>490</v>
      </c>
      <c r="G612" t="s">
        <v>490</v>
      </c>
    </row>
    <row r="613" spans="1:7">
      <c r="A613" t="s">
        <v>73</v>
      </c>
      <c r="B613" t="s">
        <v>442</v>
      </c>
      <c r="C613" t="s">
        <v>441</v>
      </c>
      <c r="D613">
        <v>4.6232599999999999E-2</v>
      </c>
      <c r="E613" t="s">
        <v>443</v>
      </c>
      <c r="F613" t="s">
        <v>444</v>
      </c>
      <c r="G613" t="s">
        <v>445</v>
      </c>
    </row>
    <row r="614" spans="1:7">
      <c r="A614" t="s">
        <v>73</v>
      </c>
      <c r="B614" t="s">
        <v>584</v>
      </c>
      <c r="C614" t="s">
        <v>583</v>
      </c>
      <c r="D614">
        <v>4.6089100000000001E-2</v>
      </c>
      <c r="E614" t="s">
        <v>585</v>
      </c>
      <c r="F614" t="s">
        <v>586</v>
      </c>
      <c r="G614" t="s">
        <v>587</v>
      </c>
    </row>
    <row r="615" spans="1:7">
      <c r="A615" t="s">
        <v>73</v>
      </c>
      <c r="B615" t="s">
        <v>673</v>
      </c>
      <c r="C615" t="s">
        <v>672</v>
      </c>
      <c r="D615">
        <v>4.0430899999999999E-2</v>
      </c>
      <c r="E615" t="s">
        <v>489</v>
      </c>
      <c r="F615" t="s">
        <v>490</v>
      </c>
      <c r="G615" t="s">
        <v>490</v>
      </c>
    </row>
    <row r="616" spans="1:7">
      <c r="A616" t="s">
        <v>73</v>
      </c>
      <c r="B616" t="s">
        <v>459</v>
      </c>
      <c r="C616" t="s">
        <v>458</v>
      </c>
      <c r="D616">
        <v>4.0059999999999998E-2</v>
      </c>
      <c r="E616" t="s">
        <v>443</v>
      </c>
      <c r="F616" t="s">
        <v>460</v>
      </c>
      <c r="G616" t="s">
        <v>461</v>
      </c>
    </row>
    <row r="617" spans="1:7">
      <c r="A617" t="s">
        <v>73</v>
      </c>
      <c r="B617" t="s">
        <v>913</v>
      </c>
      <c r="C617" t="s">
        <v>912</v>
      </c>
      <c r="D617">
        <v>3.9985399999999997E-2</v>
      </c>
      <c r="E617" t="s">
        <v>489</v>
      </c>
      <c r="F617" t="s">
        <v>490</v>
      </c>
      <c r="G617" t="s">
        <v>490</v>
      </c>
    </row>
    <row r="618" spans="1:7">
      <c r="A618" t="s">
        <v>73</v>
      </c>
      <c r="B618" t="s">
        <v>467</v>
      </c>
      <c r="C618" t="s">
        <v>466</v>
      </c>
      <c r="D618">
        <v>3.79023E-2</v>
      </c>
      <c r="E618" t="s">
        <v>443</v>
      </c>
      <c r="F618" t="s">
        <v>468</v>
      </c>
      <c r="G618" t="s">
        <v>469</v>
      </c>
    </row>
    <row r="619" spans="1:7">
      <c r="A619" t="s">
        <v>73</v>
      </c>
      <c r="B619" t="s">
        <v>945</v>
      </c>
      <c r="C619" t="s">
        <v>944</v>
      </c>
      <c r="D619">
        <v>3.7477999999999997E-2</v>
      </c>
      <c r="E619" t="s">
        <v>505</v>
      </c>
      <c r="F619" t="s">
        <v>946</v>
      </c>
      <c r="G619" t="s">
        <v>947</v>
      </c>
    </row>
    <row r="620" spans="1:7">
      <c r="A620" t="s">
        <v>74</v>
      </c>
      <c r="B620" t="s">
        <v>830</v>
      </c>
      <c r="C620" t="s">
        <v>829</v>
      </c>
      <c r="D620">
        <v>0.21068999999999999</v>
      </c>
      <c r="E620" t="s">
        <v>489</v>
      </c>
      <c r="F620" t="s">
        <v>490</v>
      </c>
      <c r="G620" t="s">
        <v>490</v>
      </c>
    </row>
    <row r="621" spans="1:7">
      <c r="A621" t="s">
        <v>74</v>
      </c>
      <c r="B621" t="s">
        <v>725</v>
      </c>
      <c r="C621" t="s">
        <v>724</v>
      </c>
      <c r="D621">
        <v>0.1454627</v>
      </c>
      <c r="E621" t="s">
        <v>505</v>
      </c>
      <c r="F621" t="s">
        <v>726</v>
      </c>
      <c r="G621" t="s">
        <v>727</v>
      </c>
    </row>
    <row r="622" spans="1:7">
      <c r="A622" t="s">
        <v>74</v>
      </c>
      <c r="B622" t="s">
        <v>981</v>
      </c>
      <c r="C622" t="s">
        <v>980</v>
      </c>
      <c r="D622">
        <v>5.8721599999999999E-2</v>
      </c>
      <c r="E622" t="s">
        <v>505</v>
      </c>
      <c r="F622" t="s">
        <v>982</v>
      </c>
      <c r="G622" t="s">
        <v>983</v>
      </c>
    </row>
    <row r="623" spans="1:7">
      <c r="A623" t="s">
        <v>74</v>
      </c>
      <c r="B623" t="s">
        <v>539</v>
      </c>
      <c r="C623" t="s">
        <v>538</v>
      </c>
      <c r="D623">
        <v>3.6040700000000002E-2</v>
      </c>
      <c r="E623" t="s">
        <v>489</v>
      </c>
      <c r="F623" t="s">
        <v>490</v>
      </c>
      <c r="G623" t="s">
        <v>490</v>
      </c>
    </row>
    <row r="624" spans="1:7">
      <c r="A624" t="s">
        <v>74</v>
      </c>
      <c r="B624" t="s">
        <v>1122</v>
      </c>
      <c r="C624" t="s">
        <v>1121</v>
      </c>
      <c r="D624">
        <v>3.3749800000000003E-2</v>
      </c>
      <c r="E624" t="s">
        <v>489</v>
      </c>
      <c r="F624" t="s">
        <v>490</v>
      </c>
      <c r="G624" t="s">
        <v>490</v>
      </c>
    </row>
    <row r="625" spans="1:7">
      <c r="A625" t="s">
        <v>74</v>
      </c>
      <c r="B625" t="s">
        <v>919</v>
      </c>
      <c r="C625" t="s">
        <v>918</v>
      </c>
      <c r="D625">
        <v>3.1503099999999999E-2</v>
      </c>
      <c r="E625" t="s">
        <v>489</v>
      </c>
      <c r="F625" t="s">
        <v>490</v>
      </c>
      <c r="G625" t="s">
        <v>490</v>
      </c>
    </row>
    <row r="626" spans="1:7">
      <c r="A626" t="s">
        <v>74</v>
      </c>
      <c r="B626" t="s">
        <v>796</v>
      </c>
      <c r="C626" t="s">
        <v>795</v>
      </c>
      <c r="D626">
        <v>3.1360399999999997E-2</v>
      </c>
      <c r="E626" t="s">
        <v>505</v>
      </c>
      <c r="F626" t="s">
        <v>797</v>
      </c>
      <c r="G626" t="s">
        <v>798</v>
      </c>
    </row>
    <row r="627" spans="1:7">
      <c r="A627" t="s">
        <v>74</v>
      </c>
      <c r="B627" t="s">
        <v>1138</v>
      </c>
      <c r="C627" t="s">
        <v>1137</v>
      </c>
      <c r="D627">
        <v>3.0023402000000001E-2</v>
      </c>
      <c r="E627" t="s">
        <v>505</v>
      </c>
      <c r="F627" t="s">
        <v>1139</v>
      </c>
      <c r="G627" t="s">
        <v>1140</v>
      </c>
    </row>
    <row r="628" spans="1:7">
      <c r="A628" t="s">
        <v>74</v>
      </c>
      <c r="B628" t="s">
        <v>1165</v>
      </c>
      <c r="C628" t="s">
        <v>1164</v>
      </c>
      <c r="D628">
        <v>2.9432298999999999E-2</v>
      </c>
      <c r="E628" t="s">
        <v>505</v>
      </c>
      <c r="F628" t="s">
        <v>1166</v>
      </c>
      <c r="G628" t="s">
        <v>1167</v>
      </c>
    </row>
    <row r="629" spans="1:7">
      <c r="A629" t="s">
        <v>74</v>
      </c>
      <c r="B629" t="s">
        <v>925</v>
      </c>
      <c r="C629" t="s">
        <v>924</v>
      </c>
      <c r="D629">
        <v>2.6184900000000001E-2</v>
      </c>
      <c r="E629" t="s">
        <v>443</v>
      </c>
      <c r="F629" t="s">
        <v>926</v>
      </c>
      <c r="G629" t="s">
        <v>927</v>
      </c>
    </row>
    <row r="630" spans="1:7">
      <c r="A630" t="s">
        <v>75</v>
      </c>
      <c r="B630" t="s">
        <v>622</v>
      </c>
      <c r="C630" t="s">
        <v>621</v>
      </c>
      <c r="D630">
        <v>0.1487453</v>
      </c>
      <c r="E630" t="s">
        <v>623</v>
      </c>
      <c r="F630" t="s">
        <v>624</v>
      </c>
      <c r="G630" t="s">
        <v>625</v>
      </c>
    </row>
    <row r="631" spans="1:7">
      <c r="A631" t="s">
        <v>75</v>
      </c>
      <c r="B631" t="s">
        <v>737</v>
      </c>
      <c r="C631" t="s">
        <v>736</v>
      </c>
      <c r="D631">
        <v>7.6698500000000003E-2</v>
      </c>
      <c r="E631" t="s">
        <v>505</v>
      </c>
      <c r="F631" t="s">
        <v>738</v>
      </c>
      <c r="G631" t="s">
        <v>739</v>
      </c>
    </row>
    <row r="632" spans="1:7">
      <c r="A632" t="s">
        <v>75</v>
      </c>
      <c r="B632" t="s">
        <v>549</v>
      </c>
      <c r="C632" t="s">
        <v>548</v>
      </c>
      <c r="D632">
        <v>6.0392197000000002E-2</v>
      </c>
      <c r="E632" t="s">
        <v>505</v>
      </c>
      <c r="F632" t="s">
        <v>550</v>
      </c>
      <c r="G632" t="s">
        <v>551</v>
      </c>
    </row>
    <row r="633" spans="1:7">
      <c r="A633" t="s">
        <v>75</v>
      </c>
      <c r="B633" t="s">
        <v>667</v>
      </c>
      <c r="C633" t="s">
        <v>666</v>
      </c>
      <c r="D633">
        <v>4.6671999999999998E-2</v>
      </c>
      <c r="E633" t="s">
        <v>613</v>
      </c>
      <c r="F633" t="s">
        <v>668</v>
      </c>
      <c r="G633" t="s">
        <v>669</v>
      </c>
    </row>
    <row r="634" spans="1:7">
      <c r="A634" t="s">
        <v>75</v>
      </c>
      <c r="B634" t="s">
        <v>1093</v>
      </c>
      <c r="C634" t="s">
        <v>1092</v>
      </c>
      <c r="D634">
        <v>4.5798402000000002E-2</v>
      </c>
      <c r="E634" t="s">
        <v>489</v>
      </c>
      <c r="F634" t="s">
        <v>490</v>
      </c>
      <c r="G634" t="s">
        <v>490</v>
      </c>
    </row>
    <row r="635" spans="1:7">
      <c r="A635" t="s">
        <v>75</v>
      </c>
      <c r="B635" t="s">
        <v>1059</v>
      </c>
      <c r="C635" t="s">
        <v>1058</v>
      </c>
      <c r="D635">
        <v>4.1768298000000002E-2</v>
      </c>
      <c r="E635" t="s">
        <v>505</v>
      </c>
      <c r="F635" t="s">
        <v>1060</v>
      </c>
      <c r="G635" t="s">
        <v>1061</v>
      </c>
    </row>
    <row r="636" spans="1:7">
      <c r="A636" t="s">
        <v>75</v>
      </c>
      <c r="B636" t="s">
        <v>810</v>
      </c>
      <c r="C636" t="s">
        <v>809</v>
      </c>
      <c r="D636">
        <v>3.9694599999999997E-2</v>
      </c>
      <c r="E636" t="s">
        <v>505</v>
      </c>
      <c r="F636" t="s">
        <v>811</v>
      </c>
      <c r="G636" t="s">
        <v>812</v>
      </c>
    </row>
    <row r="637" spans="1:7">
      <c r="A637" t="s">
        <v>75</v>
      </c>
      <c r="B637" t="s">
        <v>663</v>
      </c>
      <c r="C637" t="s">
        <v>662</v>
      </c>
      <c r="D637">
        <v>3.662E-2</v>
      </c>
      <c r="E637" t="s">
        <v>505</v>
      </c>
      <c r="F637" t="s">
        <v>664</v>
      </c>
      <c r="G637" t="s">
        <v>665</v>
      </c>
    </row>
    <row r="638" spans="1:7">
      <c r="A638" t="s">
        <v>75</v>
      </c>
      <c r="B638" t="s">
        <v>921</v>
      </c>
      <c r="C638" t="s">
        <v>920</v>
      </c>
      <c r="D638">
        <v>3.3856400000000002E-2</v>
      </c>
      <c r="E638" t="s">
        <v>505</v>
      </c>
      <c r="F638" t="s">
        <v>922</v>
      </c>
      <c r="G638" t="s">
        <v>923</v>
      </c>
    </row>
    <row r="639" spans="1:7">
      <c r="A639" t="s">
        <v>75</v>
      </c>
      <c r="B639" t="s">
        <v>814</v>
      </c>
      <c r="C639" t="s">
        <v>813</v>
      </c>
      <c r="D639">
        <v>2.3927E-2</v>
      </c>
      <c r="E639" t="s">
        <v>489</v>
      </c>
      <c r="F639" t="s">
        <v>490</v>
      </c>
      <c r="G639" t="s">
        <v>490</v>
      </c>
    </row>
    <row r="640" spans="1:7">
      <c r="A640" t="s">
        <v>76</v>
      </c>
      <c r="B640" t="s">
        <v>1253</v>
      </c>
      <c r="C640" t="s">
        <v>1252</v>
      </c>
      <c r="D640">
        <v>8.2201700000000003E-2</v>
      </c>
      <c r="E640" t="s">
        <v>489</v>
      </c>
      <c r="F640" t="s">
        <v>490</v>
      </c>
      <c r="G640" t="s">
        <v>490</v>
      </c>
    </row>
    <row r="641" spans="1:7">
      <c r="A641" t="s">
        <v>76</v>
      </c>
      <c r="B641" t="s">
        <v>972</v>
      </c>
      <c r="C641" t="s">
        <v>971</v>
      </c>
      <c r="D641">
        <v>8.1424200000000002E-2</v>
      </c>
      <c r="E641" t="s">
        <v>973</v>
      </c>
      <c r="F641" t="s">
        <v>974</v>
      </c>
      <c r="G641" t="s">
        <v>975</v>
      </c>
    </row>
    <row r="642" spans="1:7">
      <c r="A642" t="s">
        <v>76</v>
      </c>
      <c r="B642" t="s">
        <v>953</v>
      </c>
      <c r="C642" t="s">
        <v>952</v>
      </c>
      <c r="D642">
        <v>7.9144999999999993E-2</v>
      </c>
      <c r="E642" t="s">
        <v>954</v>
      </c>
      <c r="F642" t="s">
        <v>955</v>
      </c>
      <c r="G642" t="s">
        <v>956</v>
      </c>
    </row>
    <row r="643" spans="1:7">
      <c r="A643" t="s">
        <v>76</v>
      </c>
      <c r="B643" t="s">
        <v>1268</v>
      </c>
      <c r="C643" t="s">
        <v>1267</v>
      </c>
      <c r="D643">
        <v>7.8400999999999998E-2</v>
      </c>
      <c r="E643" t="s">
        <v>1269</v>
      </c>
      <c r="F643" t="s">
        <v>1270</v>
      </c>
      <c r="G643" t="s">
        <v>1271</v>
      </c>
    </row>
    <row r="644" spans="1:7">
      <c r="A644" t="s">
        <v>76</v>
      </c>
      <c r="B644" t="s">
        <v>1282</v>
      </c>
      <c r="C644" t="s">
        <v>1281</v>
      </c>
      <c r="D644">
        <v>7.5068495999999998E-2</v>
      </c>
      <c r="E644" t="s">
        <v>1283</v>
      </c>
      <c r="F644" t="s">
        <v>1284</v>
      </c>
      <c r="G644" t="s">
        <v>1285</v>
      </c>
    </row>
    <row r="645" spans="1:7">
      <c r="A645" t="s">
        <v>76</v>
      </c>
      <c r="B645" t="s">
        <v>1308</v>
      </c>
      <c r="C645" t="s">
        <v>1307</v>
      </c>
      <c r="D645">
        <v>6.4777896000000001E-2</v>
      </c>
      <c r="E645" t="s">
        <v>489</v>
      </c>
      <c r="F645" t="s">
        <v>490</v>
      </c>
      <c r="G645" t="s">
        <v>490</v>
      </c>
    </row>
    <row r="646" spans="1:7">
      <c r="A646" t="s">
        <v>76</v>
      </c>
      <c r="B646" t="s">
        <v>1784</v>
      </c>
      <c r="C646" t="s">
        <v>1783</v>
      </c>
      <c r="D646">
        <v>6.4375500000000002E-2</v>
      </c>
      <c r="E646" t="s">
        <v>1785</v>
      </c>
      <c r="F646" t="s">
        <v>1786</v>
      </c>
      <c r="G646" t="s">
        <v>1787</v>
      </c>
    </row>
    <row r="647" spans="1:7">
      <c r="A647" t="s">
        <v>76</v>
      </c>
      <c r="B647" t="s">
        <v>2377</v>
      </c>
      <c r="C647" t="s">
        <v>2376</v>
      </c>
      <c r="D647">
        <v>3.96595E-2</v>
      </c>
      <c r="E647" t="s">
        <v>2378</v>
      </c>
      <c r="F647" t="s">
        <v>2379</v>
      </c>
      <c r="G647" t="s">
        <v>1509</v>
      </c>
    </row>
    <row r="648" spans="1:7">
      <c r="A648" t="s">
        <v>76</v>
      </c>
      <c r="B648" t="s">
        <v>1375</v>
      </c>
      <c r="C648" t="s">
        <v>1374</v>
      </c>
      <c r="D648">
        <v>3.7973699999999999E-2</v>
      </c>
      <c r="E648" t="s">
        <v>1269</v>
      </c>
      <c r="F648" t="s">
        <v>1376</v>
      </c>
      <c r="G648" t="s">
        <v>1377</v>
      </c>
    </row>
    <row r="649" spans="1:7">
      <c r="A649" t="s">
        <v>76</v>
      </c>
      <c r="B649" t="s">
        <v>2544</v>
      </c>
      <c r="C649" t="s">
        <v>2543</v>
      </c>
      <c r="D649">
        <v>3.5409200000000002E-2</v>
      </c>
      <c r="E649" t="s">
        <v>484</v>
      </c>
      <c r="F649" t="s">
        <v>2545</v>
      </c>
      <c r="G649" t="s">
        <v>2546</v>
      </c>
    </row>
    <row r="650" spans="1:7">
      <c r="A650" t="s">
        <v>77</v>
      </c>
      <c r="B650" t="s">
        <v>442</v>
      </c>
      <c r="C650" t="s">
        <v>441</v>
      </c>
      <c r="D650">
        <v>0.1673298</v>
      </c>
      <c r="E650" t="s">
        <v>443</v>
      </c>
      <c r="F650" t="s">
        <v>444</v>
      </c>
      <c r="G650" t="s">
        <v>445</v>
      </c>
    </row>
    <row r="651" spans="1:7">
      <c r="A651" t="s">
        <v>77</v>
      </c>
      <c r="B651" t="s">
        <v>475</v>
      </c>
      <c r="C651" t="s">
        <v>474</v>
      </c>
      <c r="D651">
        <v>0.1448933</v>
      </c>
      <c r="E651" t="s">
        <v>443</v>
      </c>
      <c r="F651" t="s">
        <v>476</v>
      </c>
      <c r="G651" t="s">
        <v>477</v>
      </c>
    </row>
    <row r="652" spans="1:7">
      <c r="A652" t="s">
        <v>77</v>
      </c>
      <c r="B652" t="s">
        <v>467</v>
      </c>
      <c r="C652" t="s">
        <v>466</v>
      </c>
      <c r="D652">
        <v>9.4024090000000005E-2</v>
      </c>
      <c r="E652" t="s">
        <v>443</v>
      </c>
      <c r="F652" t="s">
        <v>468</v>
      </c>
      <c r="G652" t="s">
        <v>469</v>
      </c>
    </row>
    <row r="653" spans="1:7">
      <c r="A653" t="s">
        <v>77</v>
      </c>
      <c r="B653" t="s">
        <v>447</v>
      </c>
      <c r="C653" t="s">
        <v>446</v>
      </c>
      <c r="D653">
        <v>4.1924200000000002E-2</v>
      </c>
      <c r="E653" t="s">
        <v>443</v>
      </c>
      <c r="F653" t="s">
        <v>448</v>
      </c>
      <c r="G653" t="s">
        <v>449</v>
      </c>
    </row>
    <row r="654" spans="1:7">
      <c r="A654" t="s">
        <v>77</v>
      </c>
      <c r="B654" t="s">
        <v>455</v>
      </c>
      <c r="C654" t="s">
        <v>454</v>
      </c>
      <c r="D654">
        <v>4.1836400000000003E-2</v>
      </c>
      <c r="E654" t="s">
        <v>443</v>
      </c>
      <c r="F654" t="s">
        <v>456</v>
      </c>
      <c r="G654" t="s">
        <v>457</v>
      </c>
    </row>
    <row r="655" spans="1:7">
      <c r="A655" t="s">
        <v>77</v>
      </c>
      <c r="B655" t="s">
        <v>451</v>
      </c>
      <c r="C655" t="s">
        <v>450</v>
      </c>
      <c r="D655">
        <v>3.2094900000000003E-2</v>
      </c>
      <c r="E655" t="s">
        <v>443</v>
      </c>
      <c r="F655" t="s">
        <v>452</v>
      </c>
      <c r="G655" t="s">
        <v>453</v>
      </c>
    </row>
    <row r="656" spans="1:7">
      <c r="A656" t="s">
        <v>77</v>
      </c>
      <c r="B656" t="s">
        <v>471</v>
      </c>
      <c r="C656" t="s">
        <v>470</v>
      </c>
      <c r="D656">
        <v>2.0304500999999999E-2</v>
      </c>
      <c r="E656" t="s">
        <v>443</v>
      </c>
      <c r="F656" t="s">
        <v>472</v>
      </c>
      <c r="G656" t="s">
        <v>473</v>
      </c>
    </row>
    <row r="657" spans="1:7">
      <c r="A657" t="s">
        <v>77</v>
      </c>
      <c r="B657" t="s">
        <v>531</v>
      </c>
      <c r="C657" t="s">
        <v>530</v>
      </c>
      <c r="D657">
        <v>1.8505299999999999E-2</v>
      </c>
      <c r="E657" t="s">
        <v>443</v>
      </c>
      <c r="F657" t="s">
        <v>532</v>
      </c>
      <c r="G657" t="s">
        <v>533</v>
      </c>
    </row>
    <row r="658" spans="1:7">
      <c r="A658" t="s">
        <v>77</v>
      </c>
      <c r="B658" t="s">
        <v>517</v>
      </c>
      <c r="C658" t="s">
        <v>516</v>
      </c>
      <c r="D658">
        <v>1.55764995E-2</v>
      </c>
      <c r="E658" t="s">
        <v>443</v>
      </c>
      <c r="F658" t="s">
        <v>518</v>
      </c>
      <c r="G658" t="s">
        <v>519</v>
      </c>
    </row>
    <row r="659" spans="1:7">
      <c r="A659" t="s">
        <v>77</v>
      </c>
      <c r="B659" t="s">
        <v>521</v>
      </c>
      <c r="C659" t="s">
        <v>520</v>
      </c>
      <c r="D659">
        <v>1.4536999E-2</v>
      </c>
      <c r="E659" t="s">
        <v>505</v>
      </c>
      <c r="F659" t="s">
        <v>522</v>
      </c>
      <c r="G659" t="s">
        <v>523</v>
      </c>
    </row>
    <row r="660" spans="1:7">
      <c r="A660" t="s">
        <v>78</v>
      </c>
      <c r="B660" t="s">
        <v>471</v>
      </c>
      <c r="C660" t="s">
        <v>470</v>
      </c>
      <c r="D660">
        <v>0.1198714</v>
      </c>
      <c r="E660" t="s">
        <v>443</v>
      </c>
      <c r="F660" t="s">
        <v>472</v>
      </c>
      <c r="G660" t="s">
        <v>473</v>
      </c>
    </row>
    <row r="661" spans="1:7">
      <c r="A661" t="s">
        <v>78</v>
      </c>
      <c r="B661" t="s">
        <v>447</v>
      </c>
      <c r="C661" t="s">
        <v>446</v>
      </c>
      <c r="D661">
        <v>0.112257995</v>
      </c>
      <c r="E661" t="s">
        <v>443</v>
      </c>
      <c r="F661" t="s">
        <v>448</v>
      </c>
      <c r="G661" t="s">
        <v>449</v>
      </c>
    </row>
    <row r="662" spans="1:7">
      <c r="A662" t="s">
        <v>78</v>
      </c>
      <c r="B662" t="s">
        <v>496</v>
      </c>
      <c r="C662" t="s">
        <v>495</v>
      </c>
      <c r="D662">
        <v>8.4064E-2</v>
      </c>
      <c r="E662" t="s">
        <v>443</v>
      </c>
      <c r="F662" t="s">
        <v>497</v>
      </c>
      <c r="G662" t="s">
        <v>498</v>
      </c>
    </row>
    <row r="663" spans="1:7">
      <c r="A663" t="s">
        <v>78</v>
      </c>
      <c r="B663" t="s">
        <v>455</v>
      </c>
      <c r="C663" t="s">
        <v>454</v>
      </c>
      <c r="D663">
        <v>6.6655695000000001E-2</v>
      </c>
      <c r="E663" t="s">
        <v>443</v>
      </c>
      <c r="F663" t="s">
        <v>456</v>
      </c>
      <c r="G663" t="s">
        <v>457</v>
      </c>
    </row>
    <row r="664" spans="1:7">
      <c r="A664" t="s">
        <v>78</v>
      </c>
      <c r="B664" t="s">
        <v>451</v>
      </c>
      <c r="C664" t="s">
        <v>450</v>
      </c>
      <c r="D664">
        <v>6.1447099999999998E-2</v>
      </c>
      <c r="E664" t="s">
        <v>443</v>
      </c>
      <c r="F664" t="s">
        <v>452</v>
      </c>
      <c r="G664" t="s">
        <v>453</v>
      </c>
    </row>
    <row r="665" spans="1:7">
      <c r="A665" t="s">
        <v>78</v>
      </c>
      <c r="B665" t="s">
        <v>509</v>
      </c>
      <c r="C665" t="s">
        <v>508</v>
      </c>
      <c r="D665">
        <v>5.9819999999999998E-2</v>
      </c>
      <c r="E665" t="s">
        <v>443</v>
      </c>
      <c r="F665" t="s">
        <v>510</v>
      </c>
      <c r="G665" t="s">
        <v>511</v>
      </c>
    </row>
    <row r="666" spans="1:7">
      <c r="A666" t="s">
        <v>78</v>
      </c>
      <c r="B666" t="s">
        <v>442</v>
      </c>
      <c r="C666" t="s">
        <v>441</v>
      </c>
      <c r="D666">
        <v>5.6809600000000002E-2</v>
      </c>
      <c r="E666" t="s">
        <v>443</v>
      </c>
      <c r="F666" t="s">
        <v>444</v>
      </c>
      <c r="G666" t="s">
        <v>445</v>
      </c>
    </row>
    <row r="667" spans="1:7">
      <c r="A667" t="s">
        <v>78</v>
      </c>
      <c r="B667" t="s">
        <v>806</v>
      </c>
      <c r="C667" t="s">
        <v>805</v>
      </c>
      <c r="D667">
        <v>4.3249797E-2</v>
      </c>
      <c r="E667" t="s">
        <v>443</v>
      </c>
      <c r="F667" t="s">
        <v>807</v>
      </c>
      <c r="G667" t="s">
        <v>808</v>
      </c>
    </row>
    <row r="668" spans="1:7">
      <c r="A668" t="s">
        <v>78</v>
      </c>
      <c r="B668" t="s">
        <v>671</v>
      </c>
      <c r="C668" t="s">
        <v>670</v>
      </c>
      <c r="D668">
        <v>3.4352800000000003E-2</v>
      </c>
      <c r="E668" t="s">
        <v>489</v>
      </c>
      <c r="F668" t="s">
        <v>490</v>
      </c>
      <c r="G668" t="s">
        <v>490</v>
      </c>
    </row>
    <row r="669" spans="1:7">
      <c r="A669" t="s">
        <v>78</v>
      </c>
      <c r="B669" t="s">
        <v>1200</v>
      </c>
      <c r="C669" t="s">
        <v>1199</v>
      </c>
      <c r="D669">
        <v>3.3743802000000003E-2</v>
      </c>
      <c r="E669" t="s">
        <v>618</v>
      </c>
      <c r="F669" t="s">
        <v>1201</v>
      </c>
      <c r="G669" t="s">
        <v>1202</v>
      </c>
    </row>
    <row r="670" spans="1:7">
      <c r="A670" t="s">
        <v>79</v>
      </c>
      <c r="B670" t="s">
        <v>981</v>
      </c>
      <c r="C670" t="s">
        <v>980</v>
      </c>
      <c r="D670">
        <v>7.5559899999999999E-2</v>
      </c>
      <c r="E670" t="s">
        <v>505</v>
      </c>
      <c r="F670" t="s">
        <v>982</v>
      </c>
      <c r="G670" t="s">
        <v>983</v>
      </c>
    </row>
    <row r="671" spans="1:7">
      <c r="A671" t="s">
        <v>79</v>
      </c>
      <c r="B671" t="s">
        <v>725</v>
      </c>
      <c r="C671" t="s">
        <v>724</v>
      </c>
      <c r="D671">
        <v>7.3483400000000004E-2</v>
      </c>
      <c r="E671" t="s">
        <v>505</v>
      </c>
      <c r="F671" t="s">
        <v>726</v>
      </c>
      <c r="G671" t="s">
        <v>727</v>
      </c>
    </row>
    <row r="672" spans="1:7">
      <c r="A672" t="s">
        <v>79</v>
      </c>
      <c r="B672" t="s">
        <v>830</v>
      </c>
      <c r="C672" t="s">
        <v>829</v>
      </c>
      <c r="D672">
        <v>7.1644299999999994E-2</v>
      </c>
      <c r="E672" t="s">
        <v>489</v>
      </c>
      <c r="F672" t="s">
        <v>490</v>
      </c>
      <c r="G672" t="s">
        <v>490</v>
      </c>
    </row>
    <row r="673" spans="1:7">
      <c r="A673" t="s">
        <v>79</v>
      </c>
      <c r="B673" t="s">
        <v>1846</v>
      </c>
      <c r="C673" t="s">
        <v>1845</v>
      </c>
      <c r="D673">
        <v>5.7905100000000001E-2</v>
      </c>
      <c r="E673" t="s">
        <v>505</v>
      </c>
      <c r="F673" t="s">
        <v>1847</v>
      </c>
      <c r="G673" t="s">
        <v>1848</v>
      </c>
    </row>
    <row r="674" spans="1:7">
      <c r="A674" t="s">
        <v>79</v>
      </c>
      <c r="B674" t="s">
        <v>1138</v>
      </c>
      <c r="C674" t="s">
        <v>1137</v>
      </c>
      <c r="D674">
        <v>5.4694600000000003E-2</v>
      </c>
      <c r="E674" t="s">
        <v>505</v>
      </c>
      <c r="F674" t="s">
        <v>1139</v>
      </c>
      <c r="G674" t="s">
        <v>1140</v>
      </c>
    </row>
    <row r="675" spans="1:7">
      <c r="A675" t="s">
        <v>79</v>
      </c>
      <c r="B675" t="s">
        <v>796</v>
      </c>
      <c r="C675" t="s">
        <v>795</v>
      </c>
      <c r="D675">
        <v>4.7200699999999998E-2</v>
      </c>
      <c r="E675" t="s">
        <v>505</v>
      </c>
      <c r="F675" t="s">
        <v>797</v>
      </c>
      <c r="G675" t="s">
        <v>798</v>
      </c>
    </row>
    <row r="676" spans="1:7">
      <c r="A676" t="s">
        <v>79</v>
      </c>
      <c r="B676" t="s">
        <v>2211</v>
      </c>
      <c r="C676" t="s">
        <v>2210</v>
      </c>
      <c r="D676">
        <v>4.3013000000000003E-2</v>
      </c>
      <c r="E676" t="s">
        <v>489</v>
      </c>
      <c r="F676" t="s">
        <v>490</v>
      </c>
      <c r="G676" t="s">
        <v>490</v>
      </c>
    </row>
    <row r="677" spans="1:7">
      <c r="A677" t="s">
        <v>79</v>
      </c>
      <c r="B677" t="s">
        <v>2295</v>
      </c>
      <c r="C677" t="s">
        <v>2294</v>
      </c>
      <c r="D677">
        <v>4.1366600000000003E-2</v>
      </c>
      <c r="E677" t="s">
        <v>443</v>
      </c>
      <c r="F677" t="s">
        <v>2296</v>
      </c>
      <c r="G677" t="s">
        <v>2297</v>
      </c>
    </row>
    <row r="678" spans="1:7">
      <c r="A678" t="s">
        <v>79</v>
      </c>
      <c r="B678" t="s">
        <v>919</v>
      </c>
      <c r="C678" t="s">
        <v>918</v>
      </c>
      <c r="D678">
        <v>3.6164099999999998E-2</v>
      </c>
      <c r="E678" t="s">
        <v>489</v>
      </c>
      <c r="F678" t="s">
        <v>490</v>
      </c>
      <c r="G678" t="s">
        <v>490</v>
      </c>
    </row>
    <row r="679" spans="1:7">
      <c r="A679" t="s">
        <v>79</v>
      </c>
      <c r="B679" t="s">
        <v>2534</v>
      </c>
      <c r="C679" t="s">
        <v>2533</v>
      </c>
      <c r="D679">
        <v>3.5923198000000003E-2</v>
      </c>
      <c r="E679" t="s">
        <v>505</v>
      </c>
      <c r="F679" t="s">
        <v>2535</v>
      </c>
      <c r="G679" t="s">
        <v>2536</v>
      </c>
    </row>
    <row r="680" spans="1:7">
      <c r="A680" t="s">
        <v>80</v>
      </c>
      <c r="B680" t="s">
        <v>513</v>
      </c>
      <c r="C680" t="s">
        <v>512</v>
      </c>
      <c r="D680">
        <v>1.9267900000000001E-2</v>
      </c>
      <c r="E680" t="s">
        <v>443</v>
      </c>
      <c r="F680" t="s">
        <v>514</v>
      </c>
      <c r="G680" t="s">
        <v>515</v>
      </c>
    </row>
    <row r="681" spans="1:7">
      <c r="A681" t="s">
        <v>80</v>
      </c>
      <c r="B681" t="s">
        <v>787</v>
      </c>
      <c r="C681" t="s">
        <v>786</v>
      </c>
      <c r="D681">
        <v>1.42758E-2</v>
      </c>
      <c r="E681" t="s">
        <v>505</v>
      </c>
      <c r="F681" t="s">
        <v>788</v>
      </c>
      <c r="G681" t="s">
        <v>789</v>
      </c>
    </row>
    <row r="682" spans="1:7">
      <c r="A682" t="s">
        <v>80</v>
      </c>
      <c r="B682" t="s">
        <v>699</v>
      </c>
      <c r="C682" t="s">
        <v>698</v>
      </c>
      <c r="D682">
        <v>1.39731E-2</v>
      </c>
      <c r="E682" t="s">
        <v>505</v>
      </c>
      <c r="F682" t="s">
        <v>700</v>
      </c>
      <c r="G682" t="s">
        <v>701</v>
      </c>
    </row>
    <row r="683" spans="1:7">
      <c r="A683" t="s">
        <v>80</v>
      </c>
      <c r="B683" t="s">
        <v>580</v>
      </c>
      <c r="C683" t="s">
        <v>579</v>
      </c>
      <c r="D683">
        <v>1.33127E-2</v>
      </c>
      <c r="E683" t="s">
        <v>505</v>
      </c>
      <c r="F683" t="s">
        <v>581</v>
      </c>
      <c r="G683" t="s">
        <v>582</v>
      </c>
    </row>
    <row r="684" spans="1:7">
      <c r="A684" t="s">
        <v>80</v>
      </c>
      <c r="B684" t="s">
        <v>1210</v>
      </c>
      <c r="C684" t="s">
        <v>1209</v>
      </c>
      <c r="D684">
        <v>1.2662400000000001E-2</v>
      </c>
      <c r="E684" t="s">
        <v>505</v>
      </c>
      <c r="F684" t="s">
        <v>1211</v>
      </c>
      <c r="G684" t="s">
        <v>1212</v>
      </c>
    </row>
    <row r="685" spans="1:7">
      <c r="A685" t="s">
        <v>80</v>
      </c>
      <c r="B685" t="s">
        <v>3126</v>
      </c>
      <c r="C685" t="s">
        <v>3125</v>
      </c>
      <c r="D685">
        <v>1.2570700000000001E-2</v>
      </c>
      <c r="E685" t="s">
        <v>505</v>
      </c>
      <c r="F685" t="s">
        <v>3127</v>
      </c>
      <c r="G685" t="s">
        <v>3128</v>
      </c>
    </row>
    <row r="686" spans="1:7">
      <c r="A686" t="s">
        <v>80</v>
      </c>
      <c r="B686" t="s">
        <v>3130</v>
      </c>
      <c r="C686" t="s">
        <v>3129</v>
      </c>
      <c r="D686">
        <v>1.2211501E-2</v>
      </c>
      <c r="E686" t="s">
        <v>505</v>
      </c>
      <c r="F686" t="s">
        <v>3131</v>
      </c>
      <c r="G686" t="s">
        <v>3132</v>
      </c>
    </row>
    <row r="687" spans="1:7">
      <c r="A687" t="s">
        <v>80</v>
      </c>
      <c r="B687" t="s">
        <v>1619</v>
      </c>
      <c r="C687" t="s">
        <v>1618</v>
      </c>
      <c r="D687">
        <v>1.2070600000000001E-2</v>
      </c>
      <c r="E687" t="s">
        <v>505</v>
      </c>
      <c r="F687" t="s">
        <v>1620</v>
      </c>
      <c r="G687" t="s">
        <v>1621</v>
      </c>
    </row>
    <row r="688" spans="1:7">
      <c r="A688" t="s">
        <v>80</v>
      </c>
      <c r="B688" t="s">
        <v>559</v>
      </c>
      <c r="C688" t="s">
        <v>558</v>
      </c>
      <c r="D688">
        <v>1.1943199999999999E-2</v>
      </c>
      <c r="E688" t="s">
        <v>505</v>
      </c>
      <c r="F688" t="s">
        <v>560</v>
      </c>
      <c r="G688" t="s">
        <v>561</v>
      </c>
    </row>
    <row r="689" spans="1:7">
      <c r="A689" t="s">
        <v>80</v>
      </c>
      <c r="B689" t="s">
        <v>3138</v>
      </c>
      <c r="C689" t="s">
        <v>3137</v>
      </c>
      <c r="D689">
        <v>1.18581E-2</v>
      </c>
      <c r="E689" t="s">
        <v>489</v>
      </c>
      <c r="F689" t="s">
        <v>490</v>
      </c>
      <c r="G689" t="s">
        <v>490</v>
      </c>
    </row>
    <row r="690" spans="1:7">
      <c r="A690" t="s">
        <v>81</v>
      </c>
      <c r="B690" t="s">
        <v>703</v>
      </c>
      <c r="C690" t="s">
        <v>702</v>
      </c>
      <c r="D690">
        <v>6.3374899999999998E-2</v>
      </c>
      <c r="E690" t="s">
        <v>489</v>
      </c>
      <c r="F690" t="s">
        <v>490</v>
      </c>
      <c r="G690" t="s">
        <v>490</v>
      </c>
    </row>
    <row r="691" spans="1:7">
      <c r="A691" t="s">
        <v>81</v>
      </c>
      <c r="B691" t="s">
        <v>1401</v>
      </c>
      <c r="C691" t="s">
        <v>1400</v>
      </c>
      <c r="D691">
        <v>5.2920700000000001E-2</v>
      </c>
      <c r="E691" t="s">
        <v>505</v>
      </c>
      <c r="F691" t="s">
        <v>942</v>
      </c>
      <c r="G691" t="s">
        <v>1402</v>
      </c>
    </row>
    <row r="692" spans="1:7">
      <c r="A692" t="s">
        <v>81</v>
      </c>
      <c r="B692" t="s">
        <v>2053</v>
      </c>
      <c r="C692" t="s">
        <v>2052</v>
      </c>
      <c r="D692">
        <v>4.6176599999999998E-2</v>
      </c>
      <c r="E692" t="s">
        <v>505</v>
      </c>
      <c r="F692" t="s">
        <v>2054</v>
      </c>
      <c r="G692" t="s">
        <v>2055</v>
      </c>
    </row>
    <row r="693" spans="1:7">
      <c r="A693" t="s">
        <v>81</v>
      </c>
      <c r="B693" t="s">
        <v>663</v>
      </c>
      <c r="C693" t="s">
        <v>662</v>
      </c>
      <c r="D693">
        <v>4.53789E-2</v>
      </c>
      <c r="E693" t="s">
        <v>505</v>
      </c>
      <c r="F693" t="s">
        <v>664</v>
      </c>
      <c r="G693" t="s">
        <v>665</v>
      </c>
    </row>
    <row r="694" spans="1:7">
      <c r="A694" t="s">
        <v>81</v>
      </c>
      <c r="B694" t="s">
        <v>1113</v>
      </c>
      <c r="C694" t="s">
        <v>1112</v>
      </c>
      <c r="D694">
        <v>4.3613701999999997E-2</v>
      </c>
      <c r="E694" t="s">
        <v>505</v>
      </c>
      <c r="F694" t="s">
        <v>1114</v>
      </c>
      <c r="G694" t="s">
        <v>1115</v>
      </c>
    </row>
    <row r="695" spans="1:7">
      <c r="A695" t="s">
        <v>81</v>
      </c>
      <c r="B695" t="s">
        <v>977</v>
      </c>
      <c r="C695" t="s">
        <v>976</v>
      </c>
      <c r="D695">
        <v>4.3590203000000001E-2</v>
      </c>
      <c r="E695" t="s">
        <v>505</v>
      </c>
      <c r="F695" t="s">
        <v>978</v>
      </c>
      <c r="G695" t="s">
        <v>979</v>
      </c>
    </row>
    <row r="696" spans="1:7">
      <c r="A696" t="s">
        <v>81</v>
      </c>
      <c r="B696" t="s">
        <v>2316</v>
      </c>
      <c r="C696" t="s">
        <v>2315</v>
      </c>
      <c r="D696">
        <v>4.1096599999999997E-2</v>
      </c>
      <c r="E696" t="s">
        <v>505</v>
      </c>
      <c r="F696" t="s">
        <v>2317</v>
      </c>
      <c r="G696" t="s">
        <v>2318</v>
      </c>
    </row>
    <row r="697" spans="1:7">
      <c r="A697" t="s">
        <v>81</v>
      </c>
      <c r="B697" t="s">
        <v>1295</v>
      </c>
      <c r="C697" t="s">
        <v>1294</v>
      </c>
      <c r="D697">
        <v>3.9061100000000001E-2</v>
      </c>
      <c r="E697" t="s">
        <v>489</v>
      </c>
      <c r="F697" t="s">
        <v>490</v>
      </c>
      <c r="G697" t="s">
        <v>490</v>
      </c>
    </row>
    <row r="698" spans="1:7">
      <c r="A698" t="s">
        <v>81</v>
      </c>
      <c r="B698" t="s">
        <v>2422</v>
      </c>
      <c r="C698" t="s">
        <v>2421</v>
      </c>
      <c r="D698">
        <v>3.84573E-2</v>
      </c>
      <c r="E698" t="s">
        <v>505</v>
      </c>
      <c r="F698" t="s">
        <v>2423</v>
      </c>
      <c r="G698" t="s">
        <v>2424</v>
      </c>
    </row>
    <row r="699" spans="1:7">
      <c r="A699" t="s">
        <v>81</v>
      </c>
      <c r="B699" t="s">
        <v>1416</v>
      </c>
      <c r="C699" t="s">
        <v>1415</v>
      </c>
      <c r="D699">
        <v>3.7941500000000003E-2</v>
      </c>
      <c r="E699" t="s">
        <v>505</v>
      </c>
      <c r="F699" t="s">
        <v>1417</v>
      </c>
      <c r="G699" t="s">
        <v>1418</v>
      </c>
    </row>
    <row r="700" spans="1:7">
      <c r="A700" t="s">
        <v>82</v>
      </c>
      <c r="B700" t="s">
        <v>1829</v>
      </c>
      <c r="C700" t="s">
        <v>1828</v>
      </c>
      <c r="D700">
        <v>5.9530903000000003E-2</v>
      </c>
      <c r="E700" t="s">
        <v>505</v>
      </c>
      <c r="F700" t="s">
        <v>1725</v>
      </c>
      <c r="G700" t="s">
        <v>1830</v>
      </c>
    </row>
    <row r="701" spans="1:7">
      <c r="A701" t="s">
        <v>82</v>
      </c>
      <c r="B701" t="s">
        <v>545</v>
      </c>
      <c r="C701" t="s">
        <v>544</v>
      </c>
      <c r="D701">
        <v>5.9390600000000002E-2</v>
      </c>
      <c r="E701" t="s">
        <v>505</v>
      </c>
      <c r="F701" t="s">
        <v>546</v>
      </c>
      <c r="G701" t="s">
        <v>547</v>
      </c>
    </row>
    <row r="702" spans="1:7">
      <c r="A702" t="s">
        <v>82</v>
      </c>
      <c r="B702" t="s">
        <v>563</v>
      </c>
      <c r="C702" t="s">
        <v>562</v>
      </c>
      <c r="D702">
        <v>5.8482699999999999E-2</v>
      </c>
      <c r="E702" t="s">
        <v>505</v>
      </c>
      <c r="F702" t="s">
        <v>564</v>
      </c>
      <c r="G702" t="s">
        <v>565</v>
      </c>
    </row>
    <row r="703" spans="1:7">
      <c r="A703" t="s">
        <v>82</v>
      </c>
      <c r="B703" t="s">
        <v>749</v>
      </c>
      <c r="C703" t="s">
        <v>748</v>
      </c>
      <c r="D703">
        <v>5.8037199999999997E-2</v>
      </c>
      <c r="E703" t="s">
        <v>505</v>
      </c>
      <c r="F703" t="s">
        <v>750</v>
      </c>
      <c r="G703" t="s">
        <v>751</v>
      </c>
    </row>
    <row r="704" spans="1:7">
      <c r="A704" t="s">
        <v>82</v>
      </c>
      <c r="B704" t="s">
        <v>1150</v>
      </c>
      <c r="C704" t="s">
        <v>1149</v>
      </c>
      <c r="D704">
        <v>5.3167100000000002E-2</v>
      </c>
      <c r="E704" t="s">
        <v>505</v>
      </c>
      <c r="F704" t="s">
        <v>1151</v>
      </c>
      <c r="G704" t="s">
        <v>1152</v>
      </c>
    </row>
    <row r="705" spans="1:7">
      <c r="A705" t="s">
        <v>82</v>
      </c>
      <c r="B705" t="s">
        <v>1488</v>
      </c>
      <c r="C705" t="s">
        <v>1487</v>
      </c>
      <c r="D705">
        <v>4.5945199999999999E-2</v>
      </c>
      <c r="E705" t="s">
        <v>505</v>
      </c>
      <c r="F705" t="s">
        <v>1489</v>
      </c>
      <c r="G705" t="s">
        <v>1490</v>
      </c>
    </row>
    <row r="706" spans="1:7">
      <c r="A706" t="s">
        <v>82</v>
      </c>
      <c r="B706" t="s">
        <v>2081</v>
      </c>
      <c r="C706" t="s">
        <v>2080</v>
      </c>
      <c r="D706">
        <v>4.5880799999999999E-2</v>
      </c>
      <c r="E706" t="s">
        <v>489</v>
      </c>
      <c r="F706" t="s">
        <v>490</v>
      </c>
      <c r="G706" t="s">
        <v>490</v>
      </c>
    </row>
    <row r="707" spans="1:7">
      <c r="A707" t="s">
        <v>82</v>
      </c>
      <c r="B707" t="s">
        <v>709</v>
      </c>
      <c r="C707" t="s">
        <v>708</v>
      </c>
      <c r="D707">
        <v>4.2173799999999997E-2</v>
      </c>
      <c r="E707" t="s">
        <v>443</v>
      </c>
      <c r="F707" t="s">
        <v>710</v>
      </c>
      <c r="G707" t="s">
        <v>711</v>
      </c>
    </row>
    <row r="708" spans="1:7">
      <c r="A708" t="s">
        <v>82</v>
      </c>
      <c r="B708" t="s">
        <v>1530</v>
      </c>
      <c r="C708" t="s">
        <v>1529</v>
      </c>
      <c r="D708">
        <v>3.8683000000000002E-2</v>
      </c>
      <c r="E708" t="s">
        <v>505</v>
      </c>
      <c r="F708" t="s">
        <v>1531</v>
      </c>
      <c r="G708" t="s">
        <v>1532</v>
      </c>
    </row>
    <row r="709" spans="1:7">
      <c r="A709" t="s">
        <v>82</v>
      </c>
      <c r="B709" t="s">
        <v>745</v>
      </c>
      <c r="C709" t="s">
        <v>744</v>
      </c>
      <c r="D709">
        <v>3.6066998000000003E-2</v>
      </c>
      <c r="E709" t="s">
        <v>505</v>
      </c>
      <c r="F709" t="s">
        <v>746</v>
      </c>
      <c r="G709" t="s">
        <v>747</v>
      </c>
    </row>
    <row r="710" spans="1:7">
      <c r="A710" t="s">
        <v>83</v>
      </c>
      <c r="B710" t="s">
        <v>1007</v>
      </c>
      <c r="C710" t="s">
        <v>1006</v>
      </c>
      <c r="D710">
        <v>5.5081703000000003E-2</v>
      </c>
      <c r="E710" t="s">
        <v>489</v>
      </c>
      <c r="F710" t="s">
        <v>490</v>
      </c>
      <c r="G710" t="s">
        <v>490</v>
      </c>
    </row>
    <row r="711" spans="1:7">
      <c r="A711" t="s">
        <v>83</v>
      </c>
      <c r="B711" t="s">
        <v>1046</v>
      </c>
      <c r="C711" t="s">
        <v>1045</v>
      </c>
      <c r="D711">
        <v>4.9203902000000001E-2</v>
      </c>
      <c r="E711" t="s">
        <v>821</v>
      </c>
      <c r="F711" t="s">
        <v>1047</v>
      </c>
      <c r="G711" t="s">
        <v>1048</v>
      </c>
    </row>
    <row r="712" spans="1:7">
      <c r="A712" t="s">
        <v>83</v>
      </c>
      <c r="B712" t="s">
        <v>717</v>
      </c>
      <c r="C712" t="s">
        <v>716</v>
      </c>
      <c r="D712">
        <v>4.8045499999999998E-2</v>
      </c>
      <c r="E712" t="s">
        <v>505</v>
      </c>
      <c r="F712" t="s">
        <v>718</v>
      </c>
      <c r="G712" t="s">
        <v>719</v>
      </c>
    </row>
    <row r="713" spans="1:7">
      <c r="A713" t="s">
        <v>83</v>
      </c>
      <c r="B713" t="s">
        <v>635</v>
      </c>
      <c r="C713" t="s">
        <v>634</v>
      </c>
      <c r="D713">
        <v>4.0680498000000002E-2</v>
      </c>
      <c r="E713" t="s">
        <v>590</v>
      </c>
      <c r="F713" t="s">
        <v>636</v>
      </c>
      <c r="G713" t="s">
        <v>637</v>
      </c>
    </row>
    <row r="714" spans="1:7">
      <c r="A714" t="s">
        <v>83</v>
      </c>
      <c r="B714" t="s">
        <v>820</v>
      </c>
      <c r="C714" t="s">
        <v>819</v>
      </c>
      <c r="D714">
        <v>3.8367499999999999E-2</v>
      </c>
      <c r="E714" t="s">
        <v>821</v>
      </c>
      <c r="F714" t="s">
        <v>822</v>
      </c>
      <c r="G714" t="s">
        <v>823</v>
      </c>
    </row>
    <row r="715" spans="1:7">
      <c r="A715" t="s">
        <v>83</v>
      </c>
      <c r="B715" t="s">
        <v>991</v>
      </c>
      <c r="C715" t="s">
        <v>990</v>
      </c>
      <c r="D715">
        <v>3.6749799999999999E-2</v>
      </c>
      <c r="E715" t="s">
        <v>992</v>
      </c>
      <c r="F715" t="s">
        <v>993</v>
      </c>
      <c r="G715" t="s">
        <v>994</v>
      </c>
    </row>
    <row r="716" spans="1:7">
      <c r="A716" t="s">
        <v>83</v>
      </c>
      <c r="B716" t="s">
        <v>1191</v>
      </c>
      <c r="C716" t="s">
        <v>1190</v>
      </c>
      <c r="D716">
        <v>3.1983200000000003E-2</v>
      </c>
      <c r="E716" t="s">
        <v>1192</v>
      </c>
      <c r="F716" t="s">
        <v>1193</v>
      </c>
      <c r="G716" t="s">
        <v>1194</v>
      </c>
    </row>
    <row r="717" spans="1:7">
      <c r="A717" t="s">
        <v>83</v>
      </c>
      <c r="B717" t="s">
        <v>539</v>
      </c>
      <c r="C717" t="s">
        <v>538</v>
      </c>
      <c r="D717">
        <v>2.95978E-2</v>
      </c>
      <c r="E717" t="s">
        <v>489</v>
      </c>
      <c r="F717" t="s">
        <v>490</v>
      </c>
      <c r="G717" t="s">
        <v>490</v>
      </c>
    </row>
    <row r="718" spans="1:7">
      <c r="A718" t="s">
        <v>83</v>
      </c>
      <c r="B718" t="s">
        <v>1218</v>
      </c>
      <c r="C718" t="s">
        <v>1217</v>
      </c>
      <c r="D718">
        <v>2.7484700000000001E-2</v>
      </c>
      <c r="E718" t="s">
        <v>489</v>
      </c>
      <c r="F718" t="s">
        <v>490</v>
      </c>
      <c r="G718" t="s">
        <v>490</v>
      </c>
    </row>
    <row r="719" spans="1:7">
      <c r="A719" t="s">
        <v>83</v>
      </c>
      <c r="B719" t="s">
        <v>1615</v>
      </c>
      <c r="C719" t="s">
        <v>1614</v>
      </c>
      <c r="D719">
        <v>2.6149700000000001E-2</v>
      </c>
      <c r="E719" t="s">
        <v>1118</v>
      </c>
      <c r="F719" t="s">
        <v>1616</v>
      </c>
      <c r="G719" t="s">
        <v>1617</v>
      </c>
    </row>
    <row r="720" spans="1:7">
      <c r="A720" t="s">
        <v>84</v>
      </c>
      <c r="B720" t="s">
        <v>876</v>
      </c>
      <c r="C720" t="s">
        <v>875</v>
      </c>
      <c r="D720">
        <v>8.7289099999999994E-2</v>
      </c>
      <c r="E720" t="s">
        <v>590</v>
      </c>
      <c r="F720" t="s">
        <v>877</v>
      </c>
      <c r="G720" t="s">
        <v>878</v>
      </c>
    </row>
    <row r="721" spans="1:7">
      <c r="A721" t="s">
        <v>84</v>
      </c>
      <c r="B721" t="s">
        <v>884</v>
      </c>
      <c r="C721" t="s">
        <v>883</v>
      </c>
      <c r="D721">
        <v>7.6829099999999997E-2</v>
      </c>
      <c r="E721" t="s">
        <v>754</v>
      </c>
      <c r="F721" t="s">
        <v>885</v>
      </c>
      <c r="G721" t="s">
        <v>886</v>
      </c>
    </row>
    <row r="722" spans="1:7">
      <c r="A722" t="s">
        <v>84</v>
      </c>
      <c r="B722" t="s">
        <v>1774</v>
      </c>
      <c r="C722" t="s">
        <v>1773</v>
      </c>
      <c r="D722">
        <v>6.4811400000000005E-2</v>
      </c>
      <c r="E722" t="s">
        <v>1118</v>
      </c>
      <c r="F722" t="s">
        <v>1775</v>
      </c>
      <c r="G722" t="s">
        <v>1776</v>
      </c>
    </row>
    <row r="723" spans="1:7">
      <c r="A723" t="s">
        <v>84</v>
      </c>
      <c r="B723" t="s">
        <v>1007</v>
      </c>
      <c r="C723" t="s">
        <v>1006</v>
      </c>
      <c r="D723">
        <v>5.04082E-2</v>
      </c>
      <c r="E723" t="s">
        <v>489</v>
      </c>
      <c r="F723" t="s">
        <v>490</v>
      </c>
      <c r="G723" t="s">
        <v>490</v>
      </c>
    </row>
    <row r="724" spans="1:7">
      <c r="A724" t="s">
        <v>84</v>
      </c>
      <c r="B724" t="s">
        <v>904</v>
      </c>
      <c r="C724" t="s">
        <v>903</v>
      </c>
      <c r="D724">
        <v>4.5352202000000001E-2</v>
      </c>
      <c r="E724" t="s">
        <v>443</v>
      </c>
      <c r="F724" t="s">
        <v>905</v>
      </c>
      <c r="G724" t="s">
        <v>906</v>
      </c>
    </row>
    <row r="725" spans="1:7">
      <c r="A725" t="s">
        <v>84</v>
      </c>
      <c r="B725" t="s">
        <v>2112</v>
      </c>
      <c r="C725" t="s">
        <v>2111</v>
      </c>
      <c r="D725">
        <v>4.4958900000000003E-2</v>
      </c>
      <c r="E725" t="s">
        <v>505</v>
      </c>
      <c r="F725" t="s">
        <v>2113</v>
      </c>
      <c r="G725" t="s">
        <v>2114</v>
      </c>
    </row>
    <row r="726" spans="1:7">
      <c r="A726" t="s">
        <v>84</v>
      </c>
      <c r="B726" t="s">
        <v>2144</v>
      </c>
      <c r="C726" t="s">
        <v>2143</v>
      </c>
      <c r="D726">
        <v>4.4297999999999997E-2</v>
      </c>
      <c r="E726" t="s">
        <v>505</v>
      </c>
      <c r="F726" t="s">
        <v>2145</v>
      </c>
      <c r="G726" t="s">
        <v>2146</v>
      </c>
    </row>
    <row r="727" spans="1:7">
      <c r="A727" t="s">
        <v>84</v>
      </c>
      <c r="B727" t="s">
        <v>1046</v>
      </c>
      <c r="C727" t="s">
        <v>1045</v>
      </c>
      <c r="D727">
        <v>4.41999E-2</v>
      </c>
      <c r="E727" t="s">
        <v>821</v>
      </c>
      <c r="F727" t="s">
        <v>1047</v>
      </c>
      <c r="G727" t="s">
        <v>1048</v>
      </c>
    </row>
    <row r="728" spans="1:7">
      <c r="A728" t="s">
        <v>84</v>
      </c>
      <c r="B728" t="s">
        <v>729</v>
      </c>
      <c r="C728" t="s">
        <v>728</v>
      </c>
      <c r="D728">
        <v>4.3420199999999999E-2</v>
      </c>
      <c r="E728" t="s">
        <v>505</v>
      </c>
      <c r="F728" t="s">
        <v>730</v>
      </c>
      <c r="G728" t="s">
        <v>731</v>
      </c>
    </row>
    <row r="729" spans="1:7">
      <c r="A729" t="s">
        <v>84</v>
      </c>
      <c r="B729" t="s">
        <v>1161</v>
      </c>
      <c r="C729" t="s">
        <v>1160</v>
      </c>
      <c r="D729">
        <v>4.1953302999999997E-2</v>
      </c>
      <c r="E729" t="s">
        <v>505</v>
      </c>
      <c r="F729" t="s">
        <v>1162</v>
      </c>
      <c r="G729" t="s">
        <v>1163</v>
      </c>
    </row>
    <row r="730" spans="1:7">
      <c r="A730" t="s">
        <v>85</v>
      </c>
      <c r="B730" t="s">
        <v>699</v>
      </c>
      <c r="C730" t="s">
        <v>698</v>
      </c>
      <c r="D730">
        <v>4.6179197999999998E-2</v>
      </c>
      <c r="E730" t="s">
        <v>505</v>
      </c>
      <c r="F730" t="s">
        <v>700</v>
      </c>
      <c r="G730" t="s">
        <v>701</v>
      </c>
    </row>
    <row r="731" spans="1:7">
      <c r="A731" t="s">
        <v>85</v>
      </c>
      <c r="B731" t="s">
        <v>557</v>
      </c>
      <c r="C731" t="s">
        <v>556</v>
      </c>
      <c r="D731">
        <v>4.2369900000000002E-2</v>
      </c>
      <c r="E731" t="s">
        <v>489</v>
      </c>
      <c r="F731" t="s">
        <v>490</v>
      </c>
      <c r="G731" t="s">
        <v>490</v>
      </c>
    </row>
    <row r="732" spans="1:7">
      <c r="A732" t="s">
        <v>85</v>
      </c>
      <c r="B732" t="s">
        <v>612</v>
      </c>
      <c r="C732" t="s">
        <v>611</v>
      </c>
      <c r="D732">
        <v>3.6645499999999998E-2</v>
      </c>
      <c r="E732" t="s">
        <v>613</v>
      </c>
      <c r="F732" t="s">
        <v>614</v>
      </c>
      <c r="G732" t="s">
        <v>615</v>
      </c>
    </row>
    <row r="733" spans="1:7">
      <c r="A733" t="s">
        <v>85</v>
      </c>
      <c r="B733" t="s">
        <v>2542</v>
      </c>
      <c r="C733" t="s">
        <v>2541</v>
      </c>
      <c r="D733">
        <v>3.5519198000000002E-2</v>
      </c>
      <c r="E733" t="s">
        <v>489</v>
      </c>
      <c r="F733" t="s">
        <v>490</v>
      </c>
      <c r="G733" t="s">
        <v>490</v>
      </c>
    </row>
    <row r="734" spans="1:7">
      <c r="A734" t="s">
        <v>85</v>
      </c>
      <c r="B734" t="s">
        <v>1214</v>
      </c>
      <c r="C734" t="s">
        <v>1213</v>
      </c>
      <c r="D734">
        <v>2.6367000000000002E-2</v>
      </c>
      <c r="E734" t="s">
        <v>505</v>
      </c>
      <c r="F734" t="s">
        <v>1215</v>
      </c>
      <c r="G734" t="s">
        <v>1216</v>
      </c>
    </row>
    <row r="735" spans="1:7">
      <c r="A735" t="s">
        <v>85</v>
      </c>
      <c r="B735" t="s">
        <v>2921</v>
      </c>
      <c r="C735" t="s">
        <v>2920</v>
      </c>
      <c r="D735">
        <v>2.3410798999999999E-2</v>
      </c>
      <c r="E735" t="s">
        <v>505</v>
      </c>
      <c r="F735" t="s">
        <v>2922</v>
      </c>
      <c r="G735" t="s">
        <v>2923</v>
      </c>
    </row>
    <row r="736" spans="1:7">
      <c r="A736" t="s">
        <v>85</v>
      </c>
      <c r="B736" t="s">
        <v>778</v>
      </c>
      <c r="C736" t="s">
        <v>777</v>
      </c>
      <c r="D736">
        <v>2.3116501000000001E-2</v>
      </c>
      <c r="E736" t="s">
        <v>443</v>
      </c>
      <c r="F736" t="s">
        <v>779</v>
      </c>
      <c r="G736" t="s">
        <v>780</v>
      </c>
    </row>
    <row r="737" spans="1:7">
      <c r="A737" t="s">
        <v>85</v>
      </c>
      <c r="B737" t="s">
        <v>2945</v>
      </c>
      <c r="C737" t="s">
        <v>2944</v>
      </c>
      <c r="D737">
        <v>2.3054700000000001E-2</v>
      </c>
      <c r="E737" t="s">
        <v>2946</v>
      </c>
      <c r="F737" t="s">
        <v>2947</v>
      </c>
      <c r="G737" t="s">
        <v>2948</v>
      </c>
    </row>
    <row r="738" spans="1:7">
      <c r="A738" t="s">
        <v>85</v>
      </c>
      <c r="B738" t="s">
        <v>2950</v>
      </c>
      <c r="C738" t="s">
        <v>2949</v>
      </c>
      <c r="D738">
        <v>2.2966799999999999E-2</v>
      </c>
      <c r="E738" t="s">
        <v>2312</v>
      </c>
      <c r="F738" t="s">
        <v>2951</v>
      </c>
      <c r="G738" t="s">
        <v>2952</v>
      </c>
    </row>
    <row r="739" spans="1:7">
      <c r="A739" t="s">
        <v>85</v>
      </c>
      <c r="B739" t="s">
        <v>2954</v>
      </c>
      <c r="C739" t="s">
        <v>2953</v>
      </c>
      <c r="D739">
        <v>2.2933599999999998E-2</v>
      </c>
      <c r="E739" t="s">
        <v>505</v>
      </c>
      <c r="F739" t="s">
        <v>2955</v>
      </c>
      <c r="G739" t="s">
        <v>2956</v>
      </c>
    </row>
    <row r="740" spans="1:7">
      <c r="A740" t="s">
        <v>86</v>
      </c>
      <c r="B740" t="s">
        <v>451</v>
      </c>
      <c r="C740" t="s">
        <v>450</v>
      </c>
      <c r="D740">
        <v>6.2422800000000001E-2</v>
      </c>
      <c r="E740" t="s">
        <v>443</v>
      </c>
      <c r="F740" t="s">
        <v>452</v>
      </c>
      <c r="G740" t="s">
        <v>453</v>
      </c>
    </row>
    <row r="741" spans="1:7">
      <c r="A741" t="s">
        <v>86</v>
      </c>
      <c r="B741" t="s">
        <v>442</v>
      </c>
      <c r="C741" t="s">
        <v>441</v>
      </c>
      <c r="D741">
        <v>6.0609000000000003E-2</v>
      </c>
      <c r="E741" t="s">
        <v>443</v>
      </c>
      <c r="F741" t="s">
        <v>444</v>
      </c>
      <c r="G741" t="s">
        <v>445</v>
      </c>
    </row>
    <row r="742" spans="1:7">
      <c r="A742" t="s">
        <v>86</v>
      </c>
      <c r="B742" t="s">
        <v>509</v>
      </c>
      <c r="C742" t="s">
        <v>508</v>
      </c>
      <c r="D742">
        <v>5.9119600000000001E-2</v>
      </c>
      <c r="E742" t="s">
        <v>443</v>
      </c>
      <c r="F742" t="s">
        <v>510</v>
      </c>
      <c r="G742" t="s">
        <v>511</v>
      </c>
    </row>
    <row r="743" spans="1:7">
      <c r="A743" t="s">
        <v>86</v>
      </c>
      <c r="B743" t="s">
        <v>463</v>
      </c>
      <c r="C743" t="s">
        <v>462</v>
      </c>
      <c r="D743">
        <v>5.7224397000000003E-2</v>
      </c>
      <c r="E743" t="s">
        <v>443</v>
      </c>
      <c r="F743" t="s">
        <v>464</v>
      </c>
      <c r="G743" t="s">
        <v>465</v>
      </c>
    </row>
    <row r="744" spans="1:7">
      <c r="A744" t="s">
        <v>86</v>
      </c>
      <c r="B744" t="s">
        <v>1146</v>
      </c>
      <c r="C744" t="s">
        <v>1145</v>
      </c>
      <c r="D744">
        <v>5.4162299999999997E-2</v>
      </c>
      <c r="E744" t="s">
        <v>505</v>
      </c>
      <c r="F744" t="s">
        <v>1147</v>
      </c>
      <c r="G744" t="s">
        <v>1148</v>
      </c>
    </row>
    <row r="745" spans="1:7">
      <c r="A745" t="s">
        <v>86</v>
      </c>
      <c r="B745" t="s">
        <v>488</v>
      </c>
      <c r="C745" t="s">
        <v>487</v>
      </c>
      <c r="D745">
        <v>4.9632101999999997E-2</v>
      </c>
      <c r="E745" t="s">
        <v>489</v>
      </c>
      <c r="F745" t="s">
        <v>490</v>
      </c>
      <c r="G745" t="s">
        <v>490</v>
      </c>
    </row>
    <row r="746" spans="1:7">
      <c r="A746" t="s">
        <v>86</v>
      </c>
      <c r="B746" t="s">
        <v>608</v>
      </c>
      <c r="C746" t="s">
        <v>607</v>
      </c>
      <c r="D746">
        <v>4.9334000000000003E-2</v>
      </c>
      <c r="E746" t="s">
        <v>489</v>
      </c>
      <c r="F746" t="s">
        <v>490</v>
      </c>
      <c r="G746" t="s">
        <v>490</v>
      </c>
    </row>
    <row r="747" spans="1:7">
      <c r="A747" t="s">
        <v>86</v>
      </c>
      <c r="B747" t="s">
        <v>471</v>
      </c>
      <c r="C747" t="s">
        <v>470</v>
      </c>
      <c r="D747">
        <v>4.6534701999999997E-2</v>
      </c>
      <c r="E747" t="s">
        <v>443</v>
      </c>
      <c r="F747" t="s">
        <v>472</v>
      </c>
      <c r="G747" t="s">
        <v>473</v>
      </c>
    </row>
    <row r="748" spans="1:7">
      <c r="A748" t="s">
        <v>86</v>
      </c>
      <c r="B748" t="s">
        <v>496</v>
      </c>
      <c r="C748" t="s">
        <v>495</v>
      </c>
      <c r="D748">
        <v>4.4557600000000003E-2</v>
      </c>
      <c r="E748" t="s">
        <v>443</v>
      </c>
      <c r="F748" t="s">
        <v>497</v>
      </c>
      <c r="G748" t="s">
        <v>498</v>
      </c>
    </row>
    <row r="749" spans="1:7">
      <c r="A749" t="s">
        <v>86</v>
      </c>
      <c r="B749" t="s">
        <v>455</v>
      </c>
      <c r="C749" t="s">
        <v>454</v>
      </c>
      <c r="D749">
        <v>4.3824399999999999E-2</v>
      </c>
      <c r="E749" t="s">
        <v>443</v>
      </c>
      <c r="F749" t="s">
        <v>456</v>
      </c>
      <c r="G749" t="s">
        <v>457</v>
      </c>
    </row>
    <row r="750" spans="1:7">
      <c r="A750" t="s">
        <v>87</v>
      </c>
      <c r="B750" t="s">
        <v>475</v>
      </c>
      <c r="C750" t="s">
        <v>474</v>
      </c>
      <c r="D750">
        <v>9.8532304000000001E-2</v>
      </c>
      <c r="E750" t="s">
        <v>443</v>
      </c>
      <c r="F750" t="s">
        <v>476</v>
      </c>
      <c r="G750" t="s">
        <v>477</v>
      </c>
    </row>
    <row r="751" spans="1:7">
      <c r="A751" t="s">
        <v>87</v>
      </c>
      <c r="B751" t="s">
        <v>442</v>
      </c>
      <c r="C751" t="s">
        <v>441</v>
      </c>
      <c r="D751">
        <v>9.4213309999999995E-2</v>
      </c>
      <c r="E751" t="s">
        <v>443</v>
      </c>
      <c r="F751" t="s">
        <v>444</v>
      </c>
      <c r="G751" t="s">
        <v>445</v>
      </c>
    </row>
    <row r="752" spans="1:7">
      <c r="A752" t="s">
        <v>87</v>
      </c>
      <c r="B752" t="s">
        <v>463</v>
      </c>
      <c r="C752" t="s">
        <v>462</v>
      </c>
      <c r="D752">
        <v>8.188579E-2</v>
      </c>
      <c r="E752" t="s">
        <v>443</v>
      </c>
      <c r="F752" t="s">
        <v>464</v>
      </c>
      <c r="G752" t="s">
        <v>465</v>
      </c>
    </row>
    <row r="753" spans="1:7">
      <c r="A753" t="s">
        <v>87</v>
      </c>
      <c r="B753" t="s">
        <v>467</v>
      </c>
      <c r="C753" t="s">
        <v>466</v>
      </c>
      <c r="D753">
        <v>6.6450499999999996E-2</v>
      </c>
      <c r="E753" t="s">
        <v>443</v>
      </c>
      <c r="F753" t="s">
        <v>468</v>
      </c>
      <c r="G753" t="s">
        <v>469</v>
      </c>
    </row>
    <row r="754" spans="1:7">
      <c r="A754" t="s">
        <v>87</v>
      </c>
      <c r="B754" t="s">
        <v>455</v>
      </c>
      <c r="C754" t="s">
        <v>454</v>
      </c>
      <c r="D754">
        <v>6.5773999999999999E-2</v>
      </c>
      <c r="E754" t="s">
        <v>443</v>
      </c>
      <c r="F754" t="s">
        <v>456</v>
      </c>
      <c r="G754" t="s">
        <v>457</v>
      </c>
    </row>
    <row r="755" spans="1:7">
      <c r="A755" t="s">
        <v>87</v>
      </c>
      <c r="B755" t="s">
        <v>459</v>
      </c>
      <c r="C755" t="s">
        <v>458</v>
      </c>
      <c r="D755">
        <v>5.2568004000000002E-2</v>
      </c>
      <c r="E755" t="s">
        <v>443</v>
      </c>
      <c r="F755" t="s">
        <v>460</v>
      </c>
      <c r="G755" t="s">
        <v>461</v>
      </c>
    </row>
    <row r="756" spans="1:7">
      <c r="A756" t="s">
        <v>87</v>
      </c>
      <c r="B756" t="s">
        <v>529</v>
      </c>
      <c r="C756" t="s">
        <v>528</v>
      </c>
      <c r="D756">
        <v>4.2298797999999999E-2</v>
      </c>
      <c r="E756" t="s">
        <v>489</v>
      </c>
      <c r="F756" t="s">
        <v>490</v>
      </c>
      <c r="G756" t="s">
        <v>490</v>
      </c>
    </row>
    <row r="757" spans="1:7">
      <c r="A757" t="s">
        <v>87</v>
      </c>
      <c r="B757" t="s">
        <v>1214</v>
      </c>
      <c r="C757" t="s">
        <v>1213</v>
      </c>
      <c r="D757">
        <v>3.4026500000000001E-2</v>
      </c>
      <c r="E757" t="s">
        <v>505</v>
      </c>
      <c r="F757" t="s">
        <v>1215</v>
      </c>
      <c r="G757" t="s">
        <v>1216</v>
      </c>
    </row>
    <row r="758" spans="1:7">
      <c r="A758" t="s">
        <v>87</v>
      </c>
      <c r="B758" t="s">
        <v>492</v>
      </c>
      <c r="C758" t="s">
        <v>491</v>
      </c>
      <c r="D758">
        <v>3.1063098000000001E-2</v>
      </c>
      <c r="E758" t="s">
        <v>443</v>
      </c>
      <c r="F758" t="s">
        <v>493</v>
      </c>
      <c r="G758" t="s">
        <v>494</v>
      </c>
    </row>
    <row r="759" spans="1:7">
      <c r="A759" t="s">
        <v>87</v>
      </c>
      <c r="B759" t="s">
        <v>2776</v>
      </c>
      <c r="C759" t="s">
        <v>2775</v>
      </c>
      <c r="D759">
        <v>2.8939099999999999E-2</v>
      </c>
      <c r="E759" t="s">
        <v>505</v>
      </c>
      <c r="F759" t="s">
        <v>2777</v>
      </c>
      <c r="G759" t="s">
        <v>2778</v>
      </c>
    </row>
    <row r="760" spans="1:7">
      <c r="A760" t="s">
        <v>88</v>
      </c>
      <c r="B760" t="s">
        <v>830</v>
      </c>
      <c r="C760" t="s">
        <v>829</v>
      </c>
      <c r="D760">
        <v>0.2934214</v>
      </c>
      <c r="E760" t="s">
        <v>489</v>
      </c>
      <c r="F760" t="s">
        <v>490</v>
      </c>
      <c r="G760" t="s">
        <v>490</v>
      </c>
    </row>
    <row r="761" spans="1:7">
      <c r="A761" t="s">
        <v>88</v>
      </c>
      <c r="B761" t="s">
        <v>725</v>
      </c>
      <c r="C761" t="s">
        <v>724</v>
      </c>
      <c r="D761">
        <v>0.16719149999999999</v>
      </c>
      <c r="E761" t="s">
        <v>505</v>
      </c>
      <c r="F761" t="s">
        <v>726</v>
      </c>
      <c r="G761" t="s">
        <v>727</v>
      </c>
    </row>
    <row r="762" spans="1:7">
      <c r="A762" t="s">
        <v>88</v>
      </c>
      <c r="B762" t="s">
        <v>981</v>
      </c>
      <c r="C762" t="s">
        <v>980</v>
      </c>
      <c r="D762">
        <v>6.7481100000000002E-2</v>
      </c>
      <c r="E762" t="s">
        <v>505</v>
      </c>
      <c r="F762" t="s">
        <v>982</v>
      </c>
      <c r="G762" t="s">
        <v>983</v>
      </c>
    </row>
    <row r="763" spans="1:7">
      <c r="A763" t="s">
        <v>88</v>
      </c>
      <c r="B763" t="s">
        <v>539</v>
      </c>
      <c r="C763" t="s">
        <v>538</v>
      </c>
      <c r="D763">
        <v>4.1757203999999999E-2</v>
      </c>
      <c r="E763" t="s">
        <v>489</v>
      </c>
      <c r="F763" t="s">
        <v>490</v>
      </c>
      <c r="G763" t="s">
        <v>490</v>
      </c>
    </row>
    <row r="764" spans="1:7">
      <c r="A764" t="s">
        <v>88</v>
      </c>
      <c r="B764" t="s">
        <v>1122</v>
      </c>
      <c r="C764" t="s">
        <v>1121</v>
      </c>
      <c r="D764">
        <v>3.9016200000000001E-2</v>
      </c>
      <c r="E764" t="s">
        <v>489</v>
      </c>
      <c r="F764" t="s">
        <v>490</v>
      </c>
      <c r="G764" t="s">
        <v>490</v>
      </c>
    </row>
    <row r="765" spans="1:7">
      <c r="A765" t="s">
        <v>88</v>
      </c>
      <c r="B765" t="s">
        <v>919</v>
      </c>
      <c r="C765" t="s">
        <v>918</v>
      </c>
      <c r="D765">
        <v>3.57687E-2</v>
      </c>
      <c r="E765" t="s">
        <v>489</v>
      </c>
      <c r="F765" t="s">
        <v>490</v>
      </c>
      <c r="G765" t="s">
        <v>490</v>
      </c>
    </row>
    <row r="766" spans="1:7">
      <c r="A766" t="s">
        <v>88</v>
      </c>
      <c r="B766" t="s">
        <v>796</v>
      </c>
      <c r="C766" t="s">
        <v>795</v>
      </c>
      <c r="D766">
        <v>3.5712599999999997E-2</v>
      </c>
      <c r="E766" t="s">
        <v>505</v>
      </c>
      <c r="F766" t="s">
        <v>797</v>
      </c>
      <c r="G766" t="s">
        <v>798</v>
      </c>
    </row>
    <row r="767" spans="1:7">
      <c r="A767" t="s">
        <v>88</v>
      </c>
      <c r="B767" t="s">
        <v>1138</v>
      </c>
      <c r="C767" t="s">
        <v>1137</v>
      </c>
      <c r="D767">
        <v>3.4628600000000002E-2</v>
      </c>
      <c r="E767" t="s">
        <v>505</v>
      </c>
      <c r="F767" t="s">
        <v>1139</v>
      </c>
      <c r="G767" t="s">
        <v>1140</v>
      </c>
    </row>
    <row r="768" spans="1:7">
      <c r="A768" t="s">
        <v>88</v>
      </c>
      <c r="B768" t="s">
        <v>1165</v>
      </c>
      <c r="C768" t="s">
        <v>1164</v>
      </c>
      <c r="D768">
        <v>3.3843998E-2</v>
      </c>
      <c r="E768" t="s">
        <v>505</v>
      </c>
      <c r="F768" t="s">
        <v>1166</v>
      </c>
      <c r="G768" t="s">
        <v>1167</v>
      </c>
    </row>
    <row r="769" spans="1:7">
      <c r="A769" t="s">
        <v>88</v>
      </c>
      <c r="B769" t="s">
        <v>925</v>
      </c>
      <c r="C769" t="s">
        <v>924</v>
      </c>
      <c r="D769">
        <v>3.0210299999999999E-2</v>
      </c>
      <c r="E769" t="s">
        <v>443</v>
      </c>
      <c r="F769" t="s">
        <v>926</v>
      </c>
      <c r="G769" t="s">
        <v>927</v>
      </c>
    </row>
    <row r="770" spans="1:7">
      <c r="A770" t="s">
        <v>89</v>
      </c>
      <c r="B770" t="s">
        <v>500</v>
      </c>
      <c r="C770" t="s">
        <v>499</v>
      </c>
      <c r="D770">
        <v>7.7840699999999999E-2</v>
      </c>
      <c r="E770" t="s">
        <v>443</v>
      </c>
      <c r="F770" t="s">
        <v>501</v>
      </c>
      <c r="G770" t="s">
        <v>502</v>
      </c>
    </row>
    <row r="771" spans="1:7">
      <c r="A771" t="s">
        <v>89</v>
      </c>
      <c r="B771" t="s">
        <v>479</v>
      </c>
      <c r="C771" t="s">
        <v>478</v>
      </c>
      <c r="D771">
        <v>7.7684395000000003E-2</v>
      </c>
      <c r="E771" t="s">
        <v>443</v>
      </c>
      <c r="F771" t="s">
        <v>480</v>
      </c>
      <c r="G771" t="s">
        <v>481</v>
      </c>
    </row>
    <row r="772" spans="1:7">
      <c r="A772" t="s">
        <v>89</v>
      </c>
      <c r="B772" t="s">
        <v>455</v>
      </c>
      <c r="C772" t="s">
        <v>454</v>
      </c>
      <c r="D772">
        <v>7.4553999999999995E-2</v>
      </c>
      <c r="E772" t="s">
        <v>443</v>
      </c>
      <c r="F772" t="s">
        <v>456</v>
      </c>
      <c r="G772" t="s">
        <v>457</v>
      </c>
    </row>
    <row r="773" spans="1:7">
      <c r="A773" t="s">
        <v>89</v>
      </c>
      <c r="B773" t="s">
        <v>531</v>
      </c>
      <c r="C773" t="s">
        <v>530</v>
      </c>
      <c r="D773">
        <v>6.8217100000000003E-2</v>
      </c>
      <c r="E773" t="s">
        <v>443</v>
      </c>
      <c r="F773" t="s">
        <v>532</v>
      </c>
      <c r="G773" t="s">
        <v>533</v>
      </c>
    </row>
    <row r="774" spans="1:7">
      <c r="A774" t="s">
        <v>89</v>
      </c>
      <c r="B774" t="s">
        <v>567</v>
      </c>
      <c r="C774" t="s">
        <v>566</v>
      </c>
      <c r="D774">
        <v>6.4095504999999997E-2</v>
      </c>
      <c r="E774" t="s">
        <v>443</v>
      </c>
      <c r="F774" t="s">
        <v>568</v>
      </c>
      <c r="G774" t="s">
        <v>569</v>
      </c>
    </row>
    <row r="775" spans="1:7">
      <c r="A775" t="s">
        <v>89</v>
      </c>
      <c r="B775" t="s">
        <v>553</v>
      </c>
      <c r="C775" t="s">
        <v>552</v>
      </c>
      <c r="D775">
        <v>5.3467202999999998E-2</v>
      </c>
      <c r="E775" t="s">
        <v>443</v>
      </c>
      <c r="F775" t="s">
        <v>554</v>
      </c>
      <c r="G775" t="s">
        <v>555</v>
      </c>
    </row>
    <row r="776" spans="1:7">
      <c r="A776" t="s">
        <v>89</v>
      </c>
      <c r="B776" t="s">
        <v>600</v>
      </c>
      <c r="C776" t="s">
        <v>599</v>
      </c>
      <c r="D776">
        <v>5.1273896999999999E-2</v>
      </c>
      <c r="E776" t="s">
        <v>505</v>
      </c>
      <c r="F776" t="s">
        <v>601</v>
      </c>
      <c r="G776" t="s">
        <v>602</v>
      </c>
    </row>
    <row r="777" spans="1:7">
      <c r="A777" t="s">
        <v>89</v>
      </c>
      <c r="B777" t="s">
        <v>655</v>
      </c>
      <c r="C777" t="s">
        <v>654</v>
      </c>
      <c r="D777">
        <v>4.6006999999999999E-2</v>
      </c>
      <c r="E777" t="s">
        <v>505</v>
      </c>
      <c r="F777" t="s">
        <v>656</v>
      </c>
      <c r="G777" t="s">
        <v>657</v>
      </c>
    </row>
    <row r="778" spans="1:7">
      <c r="A778" t="s">
        <v>89</v>
      </c>
      <c r="B778" t="s">
        <v>705</v>
      </c>
      <c r="C778" t="s">
        <v>704</v>
      </c>
      <c r="D778">
        <v>4.5175199999999999E-2</v>
      </c>
      <c r="E778" t="s">
        <v>443</v>
      </c>
      <c r="F778" t="s">
        <v>706</v>
      </c>
      <c r="G778" t="s">
        <v>707</v>
      </c>
    </row>
    <row r="779" spans="1:7">
      <c r="A779" t="s">
        <v>89</v>
      </c>
      <c r="B779" t="s">
        <v>1128</v>
      </c>
      <c r="C779" t="s">
        <v>1127</v>
      </c>
      <c r="D779">
        <v>3.9837501999999997E-2</v>
      </c>
      <c r="E779" t="s">
        <v>489</v>
      </c>
      <c r="F779" t="s">
        <v>490</v>
      </c>
      <c r="G779" t="s">
        <v>490</v>
      </c>
    </row>
    <row r="780" spans="1:7">
      <c r="A780" t="s">
        <v>90</v>
      </c>
      <c r="B780" t="s">
        <v>500</v>
      </c>
      <c r="C780" t="s">
        <v>499</v>
      </c>
      <c r="D780">
        <v>8.3084099999999994E-2</v>
      </c>
      <c r="E780" t="s">
        <v>443</v>
      </c>
      <c r="F780" t="s">
        <v>501</v>
      </c>
      <c r="G780" t="s">
        <v>502</v>
      </c>
    </row>
    <row r="781" spans="1:7">
      <c r="A781" t="s">
        <v>90</v>
      </c>
      <c r="B781" t="s">
        <v>455</v>
      </c>
      <c r="C781" t="s">
        <v>454</v>
      </c>
      <c r="D781">
        <v>7.5973399999999996E-2</v>
      </c>
      <c r="E781" t="s">
        <v>443</v>
      </c>
      <c r="F781" t="s">
        <v>456</v>
      </c>
      <c r="G781" t="s">
        <v>457</v>
      </c>
    </row>
    <row r="782" spans="1:7">
      <c r="A782" t="s">
        <v>90</v>
      </c>
      <c r="B782" t="s">
        <v>531</v>
      </c>
      <c r="C782" t="s">
        <v>530</v>
      </c>
      <c r="D782">
        <v>6.8644196000000005E-2</v>
      </c>
      <c r="E782" t="s">
        <v>443</v>
      </c>
      <c r="F782" t="s">
        <v>532</v>
      </c>
      <c r="G782" t="s">
        <v>533</v>
      </c>
    </row>
    <row r="783" spans="1:7">
      <c r="A783" t="s">
        <v>90</v>
      </c>
      <c r="B783" t="s">
        <v>567</v>
      </c>
      <c r="C783" t="s">
        <v>566</v>
      </c>
      <c r="D783">
        <v>6.2182800000000003E-2</v>
      </c>
      <c r="E783" t="s">
        <v>443</v>
      </c>
      <c r="F783" t="s">
        <v>568</v>
      </c>
      <c r="G783" t="s">
        <v>569</v>
      </c>
    </row>
    <row r="784" spans="1:7">
      <c r="A784" t="s">
        <v>90</v>
      </c>
      <c r="B784" t="s">
        <v>553</v>
      </c>
      <c r="C784" t="s">
        <v>552</v>
      </c>
      <c r="D784">
        <v>5.2970799999999998E-2</v>
      </c>
      <c r="E784" t="s">
        <v>443</v>
      </c>
      <c r="F784" t="s">
        <v>554</v>
      </c>
      <c r="G784" t="s">
        <v>555</v>
      </c>
    </row>
    <row r="785" spans="1:7">
      <c r="A785" t="s">
        <v>90</v>
      </c>
      <c r="B785" t="s">
        <v>655</v>
      </c>
      <c r="C785" t="s">
        <v>654</v>
      </c>
      <c r="D785">
        <v>4.9325000000000001E-2</v>
      </c>
      <c r="E785" t="s">
        <v>505</v>
      </c>
      <c r="F785" t="s">
        <v>656</v>
      </c>
      <c r="G785" t="s">
        <v>657</v>
      </c>
    </row>
    <row r="786" spans="1:7">
      <c r="A786" t="s">
        <v>90</v>
      </c>
      <c r="B786" t="s">
        <v>600</v>
      </c>
      <c r="C786" t="s">
        <v>599</v>
      </c>
      <c r="D786">
        <v>4.8838399999999997E-2</v>
      </c>
      <c r="E786" t="s">
        <v>505</v>
      </c>
      <c r="F786" t="s">
        <v>601</v>
      </c>
      <c r="G786" t="s">
        <v>602</v>
      </c>
    </row>
    <row r="787" spans="1:7">
      <c r="A787" t="s">
        <v>90</v>
      </c>
      <c r="B787" t="s">
        <v>705</v>
      </c>
      <c r="C787" t="s">
        <v>704</v>
      </c>
      <c r="D787">
        <v>4.5258596999999998E-2</v>
      </c>
      <c r="E787" t="s">
        <v>443</v>
      </c>
      <c r="F787" t="s">
        <v>706</v>
      </c>
      <c r="G787" t="s">
        <v>707</v>
      </c>
    </row>
    <row r="788" spans="1:7">
      <c r="A788" t="s">
        <v>90</v>
      </c>
      <c r="B788" t="s">
        <v>1128</v>
      </c>
      <c r="C788" t="s">
        <v>1127</v>
      </c>
      <c r="D788">
        <v>4.1859797999999997E-2</v>
      </c>
      <c r="E788" t="s">
        <v>489</v>
      </c>
      <c r="F788" t="s">
        <v>490</v>
      </c>
      <c r="G788" t="s">
        <v>490</v>
      </c>
    </row>
    <row r="789" spans="1:7">
      <c r="A789" t="s">
        <v>90</v>
      </c>
      <c r="B789" t="s">
        <v>1095</v>
      </c>
      <c r="C789" t="s">
        <v>1094</v>
      </c>
      <c r="D789">
        <v>3.98354E-2</v>
      </c>
      <c r="E789" t="s">
        <v>489</v>
      </c>
      <c r="F789" t="s">
        <v>490</v>
      </c>
      <c r="G789" t="s">
        <v>490</v>
      </c>
    </row>
    <row r="790" spans="1:7">
      <c r="A790" t="s">
        <v>91</v>
      </c>
      <c r="B790" t="s">
        <v>1379</v>
      </c>
      <c r="C790" t="s">
        <v>1378</v>
      </c>
      <c r="D790">
        <v>4.8958000000000002E-2</v>
      </c>
      <c r="E790" t="s">
        <v>443</v>
      </c>
      <c r="F790" t="s">
        <v>1380</v>
      </c>
      <c r="G790" t="s">
        <v>1381</v>
      </c>
    </row>
    <row r="791" spans="1:7">
      <c r="A791" t="s">
        <v>91</v>
      </c>
      <c r="B791" t="s">
        <v>2018</v>
      </c>
      <c r="C791" t="s">
        <v>2017</v>
      </c>
      <c r="D791">
        <v>4.7248400000000003E-2</v>
      </c>
      <c r="E791" t="s">
        <v>505</v>
      </c>
      <c r="F791" t="s">
        <v>2019</v>
      </c>
      <c r="G791" t="s">
        <v>2020</v>
      </c>
    </row>
    <row r="792" spans="1:7">
      <c r="A792" t="s">
        <v>91</v>
      </c>
      <c r="B792" t="s">
        <v>2057</v>
      </c>
      <c r="C792" t="s">
        <v>2056</v>
      </c>
      <c r="D792">
        <v>4.6149000000000003E-2</v>
      </c>
      <c r="E792" t="s">
        <v>505</v>
      </c>
      <c r="F792" t="s">
        <v>2058</v>
      </c>
      <c r="G792" t="s">
        <v>2059</v>
      </c>
    </row>
    <row r="793" spans="1:7">
      <c r="A793" t="s">
        <v>91</v>
      </c>
      <c r="B793" t="s">
        <v>2279</v>
      </c>
      <c r="C793" t="s">
        <v>2278</v>
      </c>
      <c r="D793">
        <v>4.1785700000000002E-2</v>
      </c>
      <c r="E793" t="s">
        <v>443</v>
      </c>
      <c r="F793" t="s">
        <v>2280</v>
      </c>
      <c r="G793" t="s">
        <v>2281</v>
      </c>
    </row>
    <row r="794" spans="1:7">
      <c r="A794" t="s">
        <v>91</v>
      </c>
      <c r="B794" t="s">
        <v>2293</v>
      </c>
      <c r="C794" t="s">
        <v>2292</v>
      </c>
      <c r="D794">
        <v>4.1379300000000001E-2</v>
      </c>
      <c r="E794" t="s">
        <v>489</v>
      </c>
      <c r="F794" t="s">
        <v>490</v>
      </c>
      <c r="G794" t="s">
        <v>490</v>
      </c>
    </row>
    <row r="795" spans="1:7">
      <c r="A795" t="s">
        <v>91</v>
      </c>
      <c r="B795" t="s">
        <v>2303</v>
      </c>
      <c r="C795" t="s">
        <v>2302</v>
      </c>
      <c r="D795">
        <v>4.1258099999999999E-2</v>
      </c>
      <c r="E795" t="s">
        <v>1790</v>
      </c>
      <c r="F795" t="s">
        <v>2304</v>
      </c>
      <c r="G795" t="s">
        <v>2305</v>
      </c>
    </row>
    <row r="796" spans="1:7">
      <c r="A796" t="s">
        <v>91</v>
      </c>
      <c r="B796" t="s">
        <v>2334</v>
      </c>
      <c r="C796" t="s">
        <v>2333</v>
      </c>
      <c r="D796">
        <v>4.07275E-2</v>
      </c>
      <c r="E796" t="s">
        <v>576</v>
      </c>
      <c r="F796" t="s">
        <v>2335</v>
      </c>
      <c r="G796" t="s">
        <v>2336</v>
      </c>
    </row>
    <row r="797" spans="1:7">
      <c r="A797" t="s">
        <v>91</v>
      </c>
      <c r="B797" t="s">
        <v>2381</v>
      </c>
      <c r="C797" t="s">
        <v>2380</v>
      </c>
      <c r="D797">
        <v>3.9619500000000002E-2</v>
      </c>
      <c r="E797" t="s">
        <v>783</v>
      </c>
      <c r="F797" t="s">
        <v>2382</v>
      </c>
      <c r="G797" t="s">
        <v>2383</v>
      </c>
    </row>
    <row r="798" spans="1:7">
      <c r="A798" t="s">
        <v>91</v>
      </c>
      <c r="B798" t="s">
        <v>2406</v>
      </c>
      <c r="C798" t="s">
        <v>2405</v>
      </c>
      <c r="D798">
        <v>3.90275E-2</v>
      </c>
      <c r="E798" t="s">
        <v>505</v>
      </c>
      <c r="F798" t="s">
        <v>2407</v>
      </c>
      <c r="G798" t="s">
        <v>2408</v>
      </c>
    </row>
    <row r="799" spans="1:7">
      <c r="A799" t="s">
        <v>91</v>
      </c>
      <c r="B799" t="s">
        <v>2452</v>
      </c>
      <c r="C799" t="s">
        <v>2451</v>
      </c>
      <c r="D799">
        <v>3.7860602E-2</v>
      </c>
      <c r="E799" t="s">
        <v>505</v>
      </c>
      <c r="F799" t="s">
        <v>2453</v>
      </c>
      <c r="G799" t="s">
        <v>2454</v>
      </c>
    </row>
    <row r="800" spans="1:7">
      <c r="A800" t="s">
        <v>92</v>
      </c>
      <c r="B800" t="s">
        <v>2794</v>
      </c>
      <c r="C800" t="s">
        <v>2793</v>
      </c>
      <c r="D800">
        <v>2.8336500000000001E-2</v>
      </c>
      <c r="E800" t="s">
        <v>443</v>
      </c>
      <c r="F800" t="s">
        <v>2795</v>
      </c>
      <c r="G800" t="s">
        <v>2796</v>
      </c>
    </row>
    <row r="801" spans="1:7">
      <c r="A801" t="s">
        <v>92</v>
      </c>
      <c r="B801" t="s">
        <v>2803</v>
      </c>
      <c r="C801" t="s">
        <v>2802</v>
      </c>
      <c r="D801">
        <v>2.7558599999999999E-2</v>
      </c>
      <c r="E801" t="s">
        <v>792</v>
      </c>
      <c r="F801" t="s">
        <v>2804</v>
      </c>
      <c r="G801" t="s">
        <v>2805</v>
      </c>
    </row>
    <row r="802" spans="1:7">
      <c r="A802" t="s">
        <v>92</v>
      </c>
      <c r="B802" t="s">
        <v>2861</v>
      </c>
      <c r="C802" t="s">
        <v>2860</v>
      </c>
      <c r="D802">
        <v>2.5955200000000001E-2</v>
      </c>
      <c r="E802" t="s">
        <v>443</v>
      </c>
      <c r="F802" t="s">
        <v>2862</v>
      </c>
      <c r="G802" t="s">
        <v>2863</v>
      </c>
    </row>
    <row r="803" spans="1:7">
      <c r="A803" t="s">
        <v>92</v>
      </c>
      <c r="B803" t="s">
        <v>2869</v>
      </c>
      <c r="C803" t="s">
        <v>2868</v>
      </c>
      <c r="D803">
        <v>2.5552198000000002E-2</v>
      </c>
      <c r="E803" t="s">
        <v>489</v>
      </c>
      <c r="F803" t="s">
        <v>490</v>
      </c>
      <c r="G803" t="s">
        <v>490</v>
      </c>
    </row>
    <row r="804" spans="1:7">
      <c r="A804" t="s">
        <v>92</v>
      </c>
      <c r="B804" t="s">
        <v>2899</v>
      </c>
      <c r="C804" t="s">
        <v>2898</v>
      </c>
      <c r="D804">
        <v>2.3974700000000002E-2</v>
      </c>
      <c r="E804" t="s">
        <v>443</v>
      </c>
      <c r="F804" t="s">
        <v>2900</v>
      </c>
      <c r="G804" t="s">
        <v>2901</v>
      </c>
    </row>
    <row r="805" spans="1:7">
      <c r="A805" t="s">
        <v>92</v>
      </c>
      <c r="B805" t="s">
        <v>2903</v>
      </c>
      <c r="C805" t="s">
        <v>2902</v>
      </c>
      <c r="D805">
        <v>2.3887400999999999E-2</v>
      </c>
      <c r="E805" t="s">
        <v>443</v>
      </c>
      <c r="F805" t="s">
        <v>2904</v>
      </c>
      <c r="G805" t="s">
        <v>2905</v>
      </c>
    </row>
    <row r="806" spans="1:7">
      <c r="A806" t="s">
        <v>92</v>
      </c>
      <c r="B806" t="s">
        <v>2988</v>
      </c>
      <c r="C806" t="s">
        <v>2987</v>
      </c>
      <c r="D806">
        <v>2.2459199999999999E-2</v>
      </c>
      <c r="E806" t="s">
        <v>443</v>
      </c>
      <c r="F806" t="s">
        <v>2989</v>
      </c>
      <c r="G806" t="s">
        <v>2990</v>
      </c>
    </row>
    <row r="807" spans="1:7">
      <c r="A807" t="s">
        <v>92</v>
      </c>
      <c r="B807" t="s">
        <v>3000</v>
      </c>
      <c r="C807" t="s">
        <v>2999</v>
      </c>
      <c r="D807">
        <v>2.2097598999999999E-2</v>
      </c>
      <c r="E807" t="s">
        <v>489</v>
      </c>
      <c r="F807" t="s">
        <v>490</v>
      </c>
      <c r="G807" t="s">
        <v>490</v>
      </c>
    </row>
    <row r="808" spans="1:7">
      <c r="A808" t="s">
        <v>92</v>
      </c>
      <c r="B808" t="s">
        <v>3008</v>
      </c>
      <c r="C808" t="s">
        <v>3007</v>
      </c>
      <c r="D808">
        <v>2.1876799999999998E-2</v>
      </c>
      <c r="E808" t="s">
        <v>3009</v>
      </c>
      <c r="F808" t="s">
        <v>1755</v>
      </c>
      <c r="G808" t="s">
        <v>3010</v>
      </c>
    </row>
    <row r="809" spans="1:7">
      <c r="A809" t="s">
        <v>92</v>
      </c>
      <c r="B809" t="s">
        <v>3016</v>
      </c>
      <c r="C809" t="s">
        <v>3015</v>
      </c>
      <c r="D809">
        <v>2.1652800999999999E-2</v>
      </c>
      <c r="E809" t="s">
        <v>623</v>
      </c>
      <c r="F809" t="s">
        <v>3017</v>
      </c>
      <c r="G809" t="s">
        <v>3018</v>
      </c>
    </row>
    <row r="810" spans="1:7">
      <c r="A810" t="s">
        <v>93</v>
      </c>
      <c r="B810" t="s">
        <v>529</v>
      </c>
      <c r="C810" t="s">
        <v>528</v>
      </c>
      <c r="D810">
        <v>8.5542300000000002E-2</v>
      </c>
      <c r="E810" t="s">
        <v>489</v>
      </c>
      <c r="F810" t="s">
        <v>490</v>
      </c>
      <c r="G810" t="s">
        <v>490</v>
      </c>
    </row>
    <row r="811" spans="1:7">
      <c r="A811" t="s">
        <v>93</v>
      </c>
      <c r="B811" t="s">
        <v>1778</v>
      </c>
      <c r="C811" t="s">
        <v>1777</v>
      </c>
      <c r="D811">
        <v>6.4673599999999998E-2</v>
      </c>
      <c r="E811" t="s">
        <v>845</v>
      </c>
      <c r="F811" t="s">
        <v>1779</v>
      </c>
      <c r="G811" t="s">
        <v>1780</v>
      </c>
    </row>
    <row r="812" spans="1:7">
      <c r="A812" t="s">
        <v>93</v>
      </c>
      <c r="B812" t="s">
        <v>1171</v>
      </c>
      <c r="C812" t="s">
        <v>1170</v>
      </c>
      <c r="D812">
        <v>4.8175704E-2</v>
      </c>
      <c r="E812" t="s">
        <v>1055</v>
      </c>
      <c r="F812" t="s">
        <v>1172</v>
      </c>
      <c r="G812" t="s">
        <v>1173</v>
      </c>
    </row>
    <row r="813" spans="1:7">
      <c r="A813" t="s">
        <v>93</v>
      </c>
      <c r="B813" t="s">
        <v>1142</v>
      </c>
      <c r="C813" t="s">
        <v>1141</v>
      </c>
      <c r="D813">
        <v>4.2792402E-2</v>
      </c>
      <c r="E813" t="s">
        <v>1143</v>
      </c>
      <c r="F813" t="s">
        <v>490</v>
      </c>
      <c r="G813" t="s">
        <v>1144</v>
      </c>
    </row>
    <row r="814" spans="1:7">
      <c r="A814" t="s">
        <v>93</v>
      </c>
      <c r="B814" t="s">
        <v>496</v>
      </c>
      <c r="C814" t="s">
        <v>495</v>
      </c>
      <c r="D814">
        <v>3.9701599999999997E-2</v>
      </c>
      <c r="E814" t="s">
        <v>443</v>
      </c>
      <c r="F814" t="s">
        <v>497</v>
      </c>
      <c r="G814" t="s">
        <v>498</v>
      </c>
    </row>
    <row r="815" spans="1:7">
      <c r="A815" t="s">
        <v>93</v>
      </c>
      <c r="B815" t="s">
        <v>442</v>
      </c>
      <c r="C815" t="s">
        <v>441</v>
      </c>
      <c r="D815">
        <v>3.9052601999999999E-2</v>
      </c>
      <c r="E815" t="s">
        <v>443</v>
      </c>
      <c r="F815" t="s">
        <v>444</v>
      </c>
      <c r="G815" t="s">
        <v>445</v>
      </c>
    </row>
    <row r="816" spans="1:7">
      <c r="A816" t="s">
        <v>93</v>
      </c>
      <c r="B816" t="s">
        <v>1124</v>
      </c>
      <c r="C816" t="s">
        <v>1123</v>
      </c>
      <c r="D816">
        <v>3.7366099999999999E-2</v>
      </c>
      <c r="E816" t="s">
        <v>1028</v>
      </c>
      <c r="F816" t="s">
        <v>1125</v>
      </c>
      <c r="G816" t="s">
        <v>1126</v>
      </c>
    </row>
    <row r="817" spans="1:7">
      <c r="A817" t="s">
        <v>93</v>
      </c>
      <c r="B817" t="s">
        <v>2708</v>
      </c>
      <c r="C817" t="s">
        <v>2707</v>
      </c>
      <c r="D817">
        <v>3.0763098999999999E-2</v>
      </c>
      <c r="E817" t="s">
        <v>1143</v>
      </c>
      <c r="F817" t="s">
        <v>490</v>
      </c>
      <c r="G817" t="s">
        <v>2709</v>
      </c>
    </row>
    <row r="818" spans="1:7">
      <c r="A818" t="s">
        <v>93</v>
      </c>
      <c r="B818" t="s">
        <v>2735</v>
      </c>
      <c r="C818" t="s">
        <v>2734</v>
      </c>
      <c r="D818">
        <v>3.0216898999999998E-2</v>
      </c>
      <c r="E818" t="s">
        <v>489</v>
      </c>
      <c r="F818" t="s">
        <v>490</v>
      </c>
      <c r="G818" t="s">
        <v>490</v>
      </c>
    </row>
    <row r="819" spans="1:7">
      <c r="A819" t="s">
        <v>93</v>
      </c>
      <c r="B819" t="s">
        <v>1593</v>
      </c>
      <c r="C819" t="s">
        <v>1592</v>
      </c>
      <c r="D819">
        <v>2.9451300999999999E-2</v>
      </c>
      <c r="E819" t="s">
        <v>484</v>
      </c>
      <c r="F819" t="s">
        <v>1594</v>
      </c>
      <c r="G819" t="s">
        <v>1595</v>
      </c>
    </row>
    <row r="820" spans="1:7">
      <c r="A820" t="s">
        <v>94</v>
      </c>
      <c r="B820" t="s">
        <v>996</v>
      </c>
      <c r="C820" t="s">
        <v>995</v>
      </c>
      <c r="D820">
        <v>9.1045000000000001E-2</v>
      </c>
      <c r="E820" t="s">
        <v>489</v>
      </c>
      <c r="F820" t="s">
        <v>490</v>
      </c>
      <c r="G820" t="s">
        <v>490</v>
      </c>
    </row>
    <row r="821" spans="1:7">
      <c r="A821" t="s">
        <v>94</v>
      </c>
      <c r="B821" t="s">
        <v>787</v>
      </c>
      <c r="C821" t="s">
        <v>786</v>
      </c>
      <c r="D821">
        <v>6.7414500000000002E-2</v>
      </c>
      <c r="E821" t="s">
        <v>505</v>
      </c>
      <c r="F821" t="s">
        <v>788</v>
      </c>
      <c r="G821" t="s">
        <v>789</v>
      </c>
    </row>
    <row r="822" spans="1:7">
      <c r="A822" t="s">
        <v>94</v>
      </c>
      <c r="B822" t="s">
        <v>1838</v>
      </c>
      <c r="C822" t="s">
        <v>1837</v>
      </c>
      <c r="D822">
        <v>5.8324300000000003E-2</v>
      </c>
      <c r="E822" t="s">
        <v>505</v>
      </c>
      <c r="F822" t="s">
        <v>1839</v>
      </c>
      <c r="G822" t="s">
        <v>1840</v>
      </c>
    </row>
    <row r="823" spans="1:7">
      <c r="A823" t="s">
        <v>94</v>
      </c>
      <c r="B823" t="s">
        <v>557</v>
      </c>
      <c r="C823" t="s">
        <v>556</v>
      </c>
      <c r="D823">
        <v>4.7519203000000003E-2</v>
      </c>
      <c r="E823" t="s">
        <v>489</v>
      </c>
      <c r="F823" t="s">
        <v>490</v>
      </c>
      <c r="G823" t="s">
        <v>490</v>
      </c>
    </row>
    <row r="824" spans="1:7">
      <c r="A824" t="s">
        <v>94</v>
      </c>
      <c r="B824" t="s">
        <v>2108</v>
      </c>
      <c r="C824" t="s">
        <v>2107</v>
      </c>
      <c r="D824">
        <v>4.5089003000000002E-2</v>
      </c>
      <c r="E824" t="s">
        <v>505</v>
      </c>
      <c r="F824" t="s">
        <v>2109</v>
      </c>
      <c r="G824" t="s">
        <v>2110</v>
      </c>
    </row>
    <row r="825" spans="1:7">
      <c r="A825" t="s">
        <v>94</v>
      </c>
      <c r="B825" t="s">
        <v>559</v>
      </c>
      <c r="C825" t="s">
        <v>558</v>
      </c>
      <c r="D825">
        <v>4.4632999999999999E-2</v>
      </c>
      <c r="E825" t="s">
        <v>505</v>
      </c>
      <c r="F825" t="s">
        <v>560</v>
      </c>
      <c r="G825" t="s">
        <v>561</v>
      </c>
    </row>
    <row r="826" spans="1:7">
      <c r="A826" t="s">
        <v>94</v>
      </c>
      <c r="B826" t="s">
        <v>1017</v>
      </c>
      <c r="C826" t="s">
        <v>1016</v>
      </c>
      <c r="D826">
        <v>4.22289E-2</v>
      </c>
      <c r="E826" t="s">
        <v>505</v>
      </c>
      <c r="F826" t="s">
        <v>1018</v>
      </c>
      <c r="G826" t="s">
        <v>1019</v>
      </c>
    </row>
    <row r="827" spans="1:7">
      <c r="A827" t="s">
        <v>94</v>
      </c>
      <c r="B827" t="s">
        <v>1443</v>
      </c>
      <c r="C827" t="s">
        <v>1442</v>
      </c>
      <c r="D827">
        <v>4.2213100000000003E-2</v>
      </c>
      <c r="E827" t="s">
        <v>505</v>
      </c>
      <c r="F827" t="s">
        <v>1444</v>
      </c>
      <c r="G827" t="s">
        <v>1445</v>
      </c>
    </row>
    <row r="828" spans="1:7">
      <c r="A828" t="s">
        <v>94</v>
      </c>
      <c r="B828" t="s">
        <v>2263</v>
      </c>
      <c r="C828" t="s">
        <v>2262</v>
      </c>
      <c r="D828">
        <v>4.1992799999999997E-2</v>
      </c>
      <c r="E828" t="s">
        <v>505</v>
      </c>
      <c r="F828" t="s">
        <v>2264</v>
      </c>
      <c r="G828" t="s">
        <v>2265</v>
      </c>
    </row>
    <row r="829" spans="1:7">
      <c r="A829" t="s">
        <v>94</v>
      </c>
      <c r="B829" t="s">
        <v>504</v>
      </c>
      <c r="C829" t="s">
        <v>503</v>
      </c>
      <c r="D829">
        <v>4.1678800000000002E-2</v>
      </c>
      <c r="E829" t="s">
        <v>505</v>
      </c>
      <c r="F829" t="s">
        <v>506</v>
      </c>
      <c r="G829" t="s">
        <v>507</v>
      </c>
    </row>
    <row r="830" spans="1:7">
      <c r="A830" t="s">
        <v>95</v>
      </c>
      <c r="B830" t="s">
        <v>699</v>
      </c>
      <c r="C830" t="s">
        <v>698</v>
      </c>
      <c r="D830">
        <v>5.2717198E-2</v>
      </c>
      <c r="E830" t="s">
        <v>505</v>
      </c>
      <c r="F830" t="s">
        <v>700</v>
      </c>
      <c r="G830" t="s">
        <v>701</v>
      </c>
    </row>
    <row r="831" spans="1:7">
      <c r="A831" t="s">
        <v>95</v>
      </c>
      <c r="B831" t="s">
        <v>580</v>
      </c>
      <c r="C831" t="s">
        <v>579</v>
      </c>
      <c r="D831">
        <v>4.7871400000000001E-2</v>
      </c>
      <c r="E831" t="s">
        <v>505</v>
      </c>
      <c r="F831" t="s">
        <v>581</v>
      </c>
      <c r="G831" t="s">
        <v>582</v>
      </c>
    </row>
    <row r="832" spans="1:7">
      <c r="A832" t="s">
        <v>95</v>
      </c>
      <c r="B832" t="s">
        <v>610</v>
      </c>
      <c r="C832" t="s">
        <v>609</v>
      </c>
      <c r="D832">
        <v>4.50254E-2</v>
      </c>
      <c r="E832" t="s">
        <v>489</v>
      </c>
      <c r="F832" t="s">
        <v>490</v>
      </c>
      <c r="G832" t="s">
        <v>490</v>
      </c>
    </row>
    <row r="833" spans="1:7">
      <c r="A833" t="s">
        <v>95</v>
      </c>
      <c r="B833" t="s">
        <v>904</v>
      </c>
      <c r="C833" t="s">
        <v>903</v>
      </c>
      <c r="D833">
        <v>4.4432501999999999E-2</v>
      </c>
      <c r="E833" t="s">
        <v>443</v>
      </c>
      <c r="F833" t="s">
        <v>905</v>
      </c>
      <c r="G833" t="s">
        <v>906</v>
      </c>
    </row>
    <row r="834" spans="1:7">
      <c r="A834" t="s">
        <v>95</v>
      </c>
      <c r="B834" t="s">
        <v>1420</v>
      </c>
      <c r="C834" t="s">
        <v>1419</v>
      </c>
      <c r="D834">
        <v>4.2610402999999998E-2</v>
      </c>
      <c r="E834" t="s">
        <v>505</v>
      </c>
      <c r="F834" t="s">
        <v>1421</v>
      </c>
      <c r="G834" t="s">
        <v>1422</v>
      </c>
    </row>
    <row r="835" spans="1:7">
      <c r="A835" t="s">
        <v>95</v>
      </c>
      <c r="B835" t="s">
        <v>667</v>
      </c>
      <c r="C835" t="s">
        <v>666</v>
      </c>
      <c r="D835">
        <v>3.8470298E-2</v>
      </c>
      <c r="E835" t="s">
        <v>613</v>
      </c>
      <c r="F835" t="s">
        <v>668</v>
      </c>
      <c r="G835" t="s">
        <v>669</v>
      </c>
    </row>
    <row r="836" spans="1:7">
      <c r="A836" t="s">
        <v>95</v>
      </c>
      <c r="B836" t="s">
        <v>675</v>
      </c>
      <c r="C836" t="s">
        <v>674</v>
      </c>
      <c r="D836">
        <v>3.7729899999999997E-2</v>
      </c>
      <c r="E836" t="s">
        <v>505</v>
      </c>
      <c r="F836" t="s">
        <v>676</v>
      </c>
      <c r="G836" t="s">
        <v>677</v>
      </c>
    </row>
    <row r="837" spans="1:7">
      <c r="A837" t="s">
        <v>95</v>
      </c>
      <c r="B837" t="s">
        <v>2487</v>
      </c>
      <c r="C837" t="s">
        <v>2486</v>
      </c>
      <c r="D837">
        <v>3.7082702000000002E-2</v>
      </c>
      <c r="E837" t="s">
        <v>505</v>
      </c>
      <c r="F837" t="s">
        <v>2488</v>
      </c>
      <c r="G837" t="s">
        <v>2489</v>
      </c>
    </row>
    <row r="838" spans="1:7">
      <c r="A838" t="s">
        <v>95</v>
      </c>
      <c r="B838" t="s">
        <v>1161</v>
      </c>
      <c r="C838" t="s">
        <v>1160</v>
      </c>
      <c r="D838">
        <v>3.6159202000000001E-2</v>
      </c>
      <c r="E838" t="s">
        <v>505</v>
      </c>
      <c r="F838" t="s">
        <v>1162</v>
      </c>
      <c r="G838" t="s">
        <v>1163</v>
      </c>
    </row>
    <row r="839" spans="1:7">
      <c r="A839" t="s">
        <v>95</v>
      </c>
      <c r="B839" t="s">
        <v>787</v>
      </c>
      <c r="C839" t="s">
        <v>786</v>
      </c>
      <c r="D839">
        <v>3.3853500000000002E-2</v>
      </c>
      <c r="E839" t="s">
        <v>505</v>
      </c>
      <c r="F839" t="s">
        <v>788</v>
      </c>
      <c r="G839" t="s">
        <v>789</v>
      </c>
    </row>
    <row r="840" spans="1:7">
      <c r="A840" t="s">
        <v>96</v>
      </c>
      <c r="B840" t="s">
        <v>1249</v>
      </c>
      <c r="C840" t="s">
        <v>1248</v>
      </c>
      <c r="D840">
        <v>0.16193689999999999</v>
      </c>
      <c r="E840" t="s">
        <v>484</v>
      </c>
      <c r="F840" t="s">
        <v>1250</v>
      </c>
      <c r="G840" t="s">
        <v>1251</v>
      </c>
    </row>
    <row r="841" spans="1:7">
      <c r="A841" t="s">
        <v>96</v>
      </c>
      <c r="B841" t="s">
        <v>504</v>
      </c>
      <c r="C841" t="s">
        <v>503</v>
      </c>
      <c r="D841">
        <v>0.15343390000000001</v>
      </c>
      <c r="E841" t="s">
        <v>505</v>
      </c>
      <c r="F841" t="s">
        <v>506</v>
      </c>
      <c r="G841" t="s">
        <v>507</v>
      </c>
    </row>
    <row r="842" spans="1:7">
      <c r="A842" t="s">
        <v>96</v>
      </c>
      <c r="B842" t="s">
        <v>791</v>
      </c>
      <c r="C842" t="s">
        <v>790</v>
      </c>
      <c r="D842">
        <v>0.1066448</v>
      </c>
      <c r="E842" t="s">
        <v>792</v>
      </c>
      <c r="F842" t="s">
        <v>793</v>
      </c>
      <c r="G842" t="s">
        <v>794</v>
      </c>
    </row>
    <row r="843" spans="1:7">
      <c r="A843" t="s">
        <v>96</v>
      </c>
      <c r="B843" t="s">
        <v>1067</v>
      </c>
      <c r="C843" t="s">
        <v>1066</v>
      </c>
      <c r="D843">
        <v>9.0263200000000002E-2</v>
      </c>
      <c r="E843" t="s">
        <v>590</v>
      </c>
      <c r="F843" t="s">
        <v>1068</v>
      </c>
      <c r="G843" t="s">
        <v>1069</v>
      </c>
    </row>
    <row r="844" spans="1:7">
      <c r="A844" t="s">
        <v>96</v>
      </c>
      <c r="B844" t="s">
        <v>998</v>
      </c>
      <c r="C844" t="s">
        <v>997</v>
      </c>
      <c r="D844">
        <v>7.1007899999999999E-2</v>
      </c>
      <c r="E844" t="s">
        <v>576</v>
      </c>
      <c r="F844" t="s">
        <v>999</v>
      </c>
      <c r="G844" t="s">
        <v>1000</v>
      </c>
    </row>
    <row r="845" spans="1:7">
      <c r="A845" t="s">
        <v>96</v>
      </c>
      <c r="B845" t="s">
        <v>1404</v>
      </c>
      <c r="C845" t="s">
        <v>1403</v>
      </c>
      <c r="D845">
        <v>6.6175700000000004E-2</v>
      </c>
      <c r="E845" t="s">
        <v>754</v>
      </c>
      <c r="F845" t="s">
        <v>1405</v>
      </c>
      <c r="G845" t="s">
        <v>1406</v>
      </c>
    </row>
    <row r="846" spans="1:7">
      <c r="A846" t="s">
        <v>96</v>
      </c>
      <c r="B846" t="s">
        <v>1157</v>
      </c>
      <c r="C846" t="s">
        <v>1156</v>
      </c>
      <c r="D846">
        <v>5.59406E-2</v>
      </c>
      <c r="E846" t="s">
        <v>754</v>
      </c>
      <c r="F846" t="s">
        <v>1158</v>
      </c>
      <c r="G846" t="s">
        <v>1159</v>
      </c>
    </row>
    <row r="847" spans="1:7">
      <c r="A847" t="s">
        <v>96</v>
      </c>
      <c r="B847" t="s">
        <v>1981</v>
      </c>
      <c r="C847" t="s">
        <v>1980</v>
      </c>
      <c r="D847">
        <v>4.8372900000000003E-2</v>
      </c>
      <c r="E847" t="s">
        <v>1143</v>
      </c>
      <c r="F847" t="s">
        <v>1982</v>
      </c>
      <c r="G847" t="s">
        <v>1983</v>
      </c>
    </row>
    <row r="848" spans="1:7">
      <c r="A848" t="s">
        <v>96</v>
      </c>
      <c r="B848" t="s">
        <v>2299</v>
      </c>
      <c r="C848" t="s">
        <v>2298</v>
      </c>
      <c r="D848">
        <v>4.1301098000000001E-2</v>
      </c>
      <c r="E848" t="s">
        <v>826</v>
      </c>
      <c r="F848" t="s">
        <v>2300</v>
      </c>
      <c r="G848" t="s">
        <v>2301</v>
      </c>
    </row>
    <row r="849" spans="1:7">
      <c r="A849" t="s">
        <v>96</v>
      </c>
      <c r="B849" t="s">
        <v>2366</v>
      </c>
      <c r="C849" t="s">
        <v>2365</v>
      </c>
      <c r="D849">
        <v>3.9974999999999997E-2</v>
      </c>
      <c r="E849" t="s">
        <v>2367</v>
      </c>
      <c r="F849" t="s">
        <v>2368</v>
      </c>
      <c r="G849" t="s">
        <v>2369</v>
      </c>
    </row>
    <row r="850" spans="1:7">
      <c r="A850" t="s">
        <v>97</v>
      </c>
      <c r="B850" t="s">
        <v>1670</v>
      </c>
      <c r="C850" t="s">
        <v>1669</v>
      </c>
      <c r="D850">
        <v>0.111068495</v>
      </c>
      <c r="E850" t="s">
        <v>1055</v>
      </c>
      <c r="F850" t="s">
        <v>1671</v>
      </c>
      <c r="G850" t="s">
        <v>1672</v>
      </c>
    </row>
    <row r="851" spans="1:7">
      <c r="A851" t="s">
        <v>97</v>
      </c>
      <c r="B851" t="s">
        <v>504</v>
      </c>
      <c r="C851" t="s">
        <v>503</v>
      </c>
      <c r="D851">
        <v>0.10377750500000001</v>
      </c>
      <c r="E851" t="s">
        <v>505</v>
      </c>
      <c r="F851" t="s">
        <v>506</v>
      </c>
      <c r="G851" t="s">
        <v>507</v>
      </c>
    </row>
    <row r="852" spans="1:7">
      <c r="A852" t="s">
        <v>97</v>
      </c>
      <c r="B852" t="s">
        <v>1333</v>
      </c>
      <c r="C852" t="s">
        <v>1332</v>
      </c>
      <c r="D852">
        <v>7.6037005000000005E-2</v>
      </c>
      <c r="E852" t="s">
        <v>484</v>
      </c>
      <c r="F852" t="s">
        <v>1334</v>
      </c>
      <c r="G852" t="s">
        <v>1335</v>
      </c>
    </row>
    <row r="853" spans="1:7">
      <c r="A853" t="s">
        <v>97</v>
      </c>
      <c r="B853" t="s">
        <v>1854</v>
      </c>
      <c r="C853" t="s">
        <v>1853</v>
      </c>
      <c r="D853">
        <v>5.7249295999999998E-2</v>
      </c>
      <c r="E853" t="s">
        <v>1055</v>
      </c>
      <c r="F853" t="s">
        <v>1855</v>
      </c>
      <c r="G853" t="s">
        <v>1856</v>
      </c>
    </row>
    <row r="854" spans="1:7">
      <c r="A854" t="s">
        <v>97</v>
      </c>
      <c r="B854" t="s">
        <v>2095</v>
      </c>
      <c r="C854" t="s">
        <v>2094</v>
      </c>
      <c r="D854">
        <v>4.5596298E-2</v>
      </c>
      <c r="E854" t="s">
        <v>826</v>
      </c>
      <c r="F854" t="s">
        <v>2096</v>
      </c>
      <c r="G854" t="s">
        <v>2097</v>
      </c>
    </row>
    <row r="855" spans="1:7">
      <c r="A855" t="s">
        <v>97</v>
      </c>
      <c r="B855" t="s">
        <v>1434</v>
      </c>
      <c r="C855" t="s">
        <v>1433</v>
      </c>
      <c r="D855">
        <v>4.5328997000000003E-2</v>
      </c>
      <c r="E855" t="s">
        <v>1118</v>
      </c>
      <c r="F855" t="s">
        <v>1435</v>
      </c>
      <c r="G855" t="s">
        <v>1436</v>
      </c>
    </row>
    <row r="856" spans="1:7">
      <c r="A856" t="s">
        <v>97</v>
      </c>
      <c r="B856" t="s">
        <v>810</v>
      </c>
      <c r="C856" t="s">
        <v>809</v>
      </c>
      <c r="D856">
        <v>4.1170801999999999E-2</v>
      </c>
      <c r="E856" t="s">
        <v>505</v>
      </c>
      <c r="F856" t="s">
        <v>811</v>
      </c>
      <c r="G856" t="s">
        <v>812</v>
      </c>
    </row>
    <row r="857" spans="1:7">
      <c r="A857" t="s">
        <v>97</v>
      </c>
      <c r="B857" t="s">
        <v>1328</v>
      </c>
      <c r="C857" t="s">
        <v>1327</v>
      </c>
      <c r="D857">
        <v>4.0321599999999999E-2</v>
      </c>
      <c r="E857" t="s">
        <v>1329</v>
      </c>
      <c r="F857" t="s">
        <v>1330</v>
      </c>
      <c r="G857" t="s">
        <v>1331</v>
      </c>
    </row>
    <row r="858" spans="1:7">
      <c r="A858" t="s">
        <v>97</v>
      </c>
      <c r="B858" t="s">
        <v>2456</v>
      </c>
      <c r="C858" t="s">
        <v>2455</v>
      </c>
      <c r="D858">
        <v>3.7709102000000001E-2</v>
      </c>
      <c r="E858" t="s">
        <v>484</v>
      </c>
      <c r="F858" t="s">
        <v>2457</v>
      </c>
      <c r="G858" t="s">
        <v>2458</v>
      </c>
    </row>
    <row r="859" spans="1:7">
      <c r="A859" t="s">
        <v>97</v>
      </c>
      <c r="B859" t="s">
        <v>2550</v>
      </c>
      <c r="C859" t="s">
        <v>2549</v>
      </c>
      <c r="D859">
        <v>3.4881000000000002E-2</v>
      </c>
      <c r="E859" t="s">
        <v>1055</v>
      </c>
      <c r="F859" t="s">
        <v>2551</v>
      </c>
      <c r="G859" t="s">
        <v>2552</v>
      </c>
    </row>
    <row r="860" spans="1:7">
      <c r="A860" t="s">
        <v>98</v>
      </c>
      <c r="B860" t="s">
        <v>849</v>
      </c>
      <c r="C860" t="s">
        <v>848</v>
      </c>
      <c r="D860">
        <v>5.8524899999999998E-2</v>
      </c>
      <c r="E860" t="s">
        <v>850</v>
      </c>
      <c r="F860" t="s">
        <v>851</v>
      </c>
      <c r="G860" t="s">
        <v>852</v>
      </c>
    </row>
    <row r="861" spans="1:7">
      <c r="A861" t="s">
        <v>98</v>
      </c>
      <c r="B861" t="s">
        <v>651</v>
      </c>
      <c r="C861" t="s">
        <v>650</v>
      </c>
      <c r="D861">
        <v>5.81314E-2</v>
      </c>
      <c r="E861" t="s">
        <v>618</v>
      </c>
      <c r="F861" t="s">
        <v>652</v>
      </c>
      <c r="G861" t="s">
        <v>653</v>
      </c>
    </row>
    <row r="862" spans="1:7">
      <c r="A862" t="s">
        <v>98</v>
      </c>
      <c r="B862" t="s">
        <v>1259</v>
      </c>
      <c r="C862" t="s">
        <v>1258</v>
      </c>
      <c r="D862">
        <v>5.7620503000000003E-2</v>
      </c>
      <c r="E862" t="s">
        <v>1055</v>
      </c>
      <c r="F862" t="s">
        <v>1260</v>
      </c>
      <c r="G862" t="s">
        <v>1261</v>
      </c>
    </row>
    <row r="863" spans="1:7">
      <c r="A863" t="s">
        <v>98</v>
      </c>
      <c r="B863" t="s">
        <v>442</v>
      </c>
      <c r="C863" t="s">
        <v>441</v>
      </c>
      <c r="D863">
        <v>4.6379196999999997E-2</v>
      </c>
      <c r="E863" t="s">
        <v>443</v>
      </c>
      <c r="F863" t="s">
        <v>444</v>
      </c>
      <c r="G863" t="s">
        <v>445</v>
      </c>
    </row>
    <row r="864" spans="1:7">
      <c r="A864" t="s">
        <v>98</v>
      </c>
      <c r="B864" t="s">
        <v>1420</v>
      </c>
      <c r="C864" t="s">
        <v>1419</v>
      </c>
      <c r="D864">
        <v>4.23732E-2</v>
      </c>
      <c r="E864" t="s">
        <v>505</v>
      </c>
      <c r="F864" t="s">
        <v>1421</v>
      </c>
      <c r="G864" t="s">
        <v>1422</v>
      </c>
    </row>
    <row r="865" spans="1:7">
      <c r="A865" t="s">
        <v>98</v>
      </c>
      <c r="B865" t="s">
        <v>2495</v>
      </c>
      <c r="C865" t="s">
        <v>2494</v>
      </c>
      <c r="D865">
        <v>3.68396E-2</v>
      </c>
      <c r="E865" t="s">
        <v>505</v>
      </c>
      <c r="F865" t="s">
        <v>2496</v>
      </c>
      <c r="G865" t="s">
        <v>2497</v>
      </c>
    </row>
    <row r="866" spans="1:7">
      <c r="A866" t="s">
        <v>98</v>
      </c>
      <c r="B866" t="s">
        <v>1054</v>
      </c>
      <c r="C866" t="s">
        <v>1053</v>
      </c>
      <c r="D866">
        <v>3.1646597999999998E-2</v>
      </c>
      <c r="E866" t="s">
        <v>1055</v>
      </c>
      <c r="F866" t="s">
        <v>1056</v>
      </c>
      <c r="G866" t="s">
        <v>1057</v>
      </c>
    </row>
    <row r="867" spans="1:7">
      <c r="A867" t="s">
        <v>98</v>
      </c>
      <c r="B867" t="s">
        <v>1492</v>
      </c>
      <c r="C867" t="s">
        <v>1491</v>
      </c>
      <c r="D867">
        <v>3.1114800000000001E-2</v>
      </c>
      <c r="E867" t="s">
        <v>443</v>
      </c>
      <c r="F867" t="s">
        <v>1493</v>
      </c>
      <c r="G867" t="s">
        <v>1494</v>
      </c>
    </row>
    <row r="868" spans="1:7">
      <c r="A868" t="s">
        <v>98</v>
      </c>
      <c r="B868" t="s">
        <v>2937</v>
      </c>
      <c r="C868" t="s">
        <v>2936</v>
      </c>
      <c r="D868">
        <v>2.3105799999999999E-2</v>
      </c>
      <c r="E868" t="s">
        <v>1229</v>
      </c>
      <c r="F868" t="s">
        <v>2938</v>
      </c>
      <c r="G868" t="s">
        <v>2939</v>
      </c>
    </row>
    <row r="869" spans="1:7">
      <c r="A869" t="s">
        <v>98</v>
      </c>
      <c r="B869" t="s">
        <v>3012</v>
      </c>
      <c r="C869" t="s">
        <v>3011</v>
      </c>
      <c r="D869">
        <v>2.1786300000000001E-2</v>
      </c>
      <c r="E869" t="s">
        <v>1055</v>
      </c>
      <c r="F869" t="s">
        <v>3013</v>
      </c>
      <c r="G869" t="s">
        <v>3014</v>
      </c>
    </row>
    <row r="870" spans="1:7">
      <c r="A870" t="s">
        <v>99</v>
      </c>
      <c r="B870" t="s">
        <v>2748</v>
      </c>
      <c r="C870" t="s">
        <v>2747</v>
      </c>
      <c r="D870">
        <v>2.9810699999999999E-2</v>
      </c>
      <c r="E870" t="s">
        <v>443</v>
      </c>
      <c r="F870" t="s">
        <v>2749</v>
      </c>
      <c r="G870" t="s">
        <v>2750</v>
      </c>
    </row>
    <row r="871" spans="1:7">
      <c r="A871" t="s">
        <v>99</v>
      </c>
      <c r="B871" t="s">
        <v>1339</v>
      </c>
      <c r="C871" t="s">
        <v>1338</v>
      </c>
      <c r="D871">
        <v>2.8346801000000001E-2</v>
      </c>
      <c r="E871" t="s">
        <v>489</v>
      </c>
      <c r="F871" t="s">
        <v>490</v>
      </c>
      <c r="G871" t="s">
        <v>490</v>
      </c>
    </row>
    <row r="872" spans="1:7">
      <c r="A872" t="s">
        <v>99</v>
      </c>
      <c r="B872" t="s">
        <v>2798</v>
      </c>
      <c r="C872" t="s">
        <v>2797</v>
      </c>
      <c r="D872">
        <v>2.8120500999999999E-2</v>
      </c>
      <c r="E872" t="s">
        <v>2799</v>
      </c>
      <c r="F872" t="s">
        <v>2800</v>
      </c>
      <c r="G872" t="s">
        <v>2801</v>
      </c>
    </row>
    <row r="873" spans="1:7">
      <c r="A873" t="s">
        <v>99</v>
      </c>
      <c r="B873" t="s">
        <v>2817</v>
      </c>
      <c r="C873" t="s">
        <v>2816</v>
      </c>
      <c r="D873">
        <v>2.7202199999999999E-2</v>
      </c>
      <c r="E873" t="s">
        <v>443</v>
      </c>
      <c r="F873" t="s">
        <v>2818</v>
      </c>
      <c r="G873" t="s">
        <v>2819</v>
      </c>
    </row>
    <row r="874" spans="1:7">
      <c r="A874" t="s">
        <v>99</v>
      </c>
      <c r="B874" t="s">
        <v>2851</v>
      </c>
      <c r="C874" t="s">
        <v>2850</v>
      </c>
      <c r="D874">
        <v>2.6519000000000001E-2</v>
      </c>
      <c r="E874" t="s">
        <v>489</v>
      </c>
      <c r="F874" t="s">
        <v>490</v>
      </c>
      <c r="G874" t="s">
        <v>490</v>
      </c>
    </row>
    <row r="875" spans="1:7">
      <c r="A875" t="s">
        <v>99</v>
      </c>
      <c r="B875" t="s">
        <v>1511</v>
      </c>
      <c r="C875" t="s">
        <v>1510</v>
      </c>
      <c r="D875">
        <v>2.53215E-2</v>
      </c>
      <c r="E875" t="s">
        <v>505</v>
      </c>
      <c r="F875" t="s">
        <v>1512</v>
      </c>
      <c r="G875" t="s">
        <v>1513</v>
      </c>
    </row>
    <row r="876" spans="1:7">
      <c r="A876" t="s">
        <v>99</v>
      </c>
      <c r="B876" t="s">
        <v>2876</v>
      </c>
      <c r="C876" t="s">
        <v>2875</v>
      </c>
      <c r="D876">
        <v>2.5250000000000002E-2</v>
      </c>
      <c r="E876" t="s">
        <v>505</v>
      </c>
      <c r="F876" t="s">
        <v>2877</v>
      </c>
      <c r="G876" t="s">
        <v>2878</v>
      </c>
    </row>
    <row r="877" spans="1:7">
      <c r="A877" t="s">
        <v>99</v>
      </c>
      <c r="B877" t="s">
        <v>1187</v>
      </c>
      <c r="C877" t="s">
        <v>1186</v>
      </c>
      <c r="D877">
        <v>2.4471499000000001E-2</v>
      </c>
      <c r="E877" t="s">
        <v>443</v>
      </c>
      <c r="F877" t="s">
        <v>1188</v>
      </c>
      <c r="G877" t="s">
        <v>1189</v>
      </c>
    </row>
    <row r="878" spans="1:7">
      <c r="A878" t="s">
        <v>99</v>
      </c>
      <c r="B878" t="s">
        <v>2891</v>
      </c>
      <c r="C878" t="s">
        <v>2890</v>
      </c>
      <c r="D878">
        <v>2.4221301000000001E-2</v>
      </c>
      <c r="E878" t="s">
        <v>489</v>
      </c>
      <c r="F878" t="s">
        <v>490</v>
      </c>
      <c r="G878" t="s">
        <v>490</v>
      </c>
    </row>
    <row r="879" spans="1:7">
      <c r="A879" t="s">
        <v>99</v>
      </c>
      <c r="B879" t="s">
        <v>933</v>
      </c>
      <c r="C879" t="s">
        <v>932</v>
      </c>
      <c r="D879">
        <v>2.4092599999999999E-2</v>
      </c>
      <c r="E879" t="s">
        <v>443</v>
      </c>
      <c r="F879" t="s">
        <v>934</v>
      </c>
      <c r="G879" t="s">
        <v>935</v>
      </c>
    </row>
    <row r="880" spans="1:7">
      <c r="A880" t="s">
        <v>100</v>
      </c>
      <c r="B880" t="s">
        <v>504</v>
      </c>
      <c r="C880" t="s">
        <v>503</v>
      </c>
      <c r="D880">
        <v>0.12141260500000001</v>
      </c>
      <c r="E880" t="s">
        <v>505</v>
      </c>
      <c r="F880" t="s">
        <v>506</v>
      </c>
      <c r="G880" t="s">
        <v>507</v>
      </c>
    </row>
    <row r="881" spans="1:7">
      <c r="A881" t="s">
        <v>100</v>
      </c>
      <c r="B881" t="s">
        <v>643</v>
      </c>
      <c r="C881" t="s">
        <v>642</v>
      </c>
      <c r="D881">
        <v>9.5548400000000006E-2</v>
      </c>
      <c r="E881" t="s">
        <v>443</v>
      </c>
      <c r="F881" t="s">
        <v>644</v>
      </c>
      <c r="G881" t="s">
        <v>645</v>
      </c>
    </row>
    <row r="882" spans="1:7">
      <c r="A882" t="s">
        <v>100</v>
      </c>
      <c r="B882" t="s">
        <v>741</v>
      </c>
      <c r="C882" t="s">
        <v>740</v>
      </c>
      <c r="D882">
        <v>8.4012605000000004E-2</v>
      </c>
      <c r="E882" t="s">
        <v>443</v>
      </c>
      <c r="F882" t="s">
        <v>742</v>
      </c>
      <c r="G882" t="s">
        <v>743</v>
      </c>
    </row>
    <row r="883" spans="1:7">
      <c r="A883" t="s">
        <v>100</v>
      </c>
      <c r="B883" t="s">
        <v>862</v>
      </c>
      <c r="C883" t="s">
        <v>861</v>
      </c>
      <c r="D883">
        <v>5.91736E-2</v>
      </c>
      <c r="E883" t="s">
        <v>576</v>
      </c>
      <c r="F883" t="s">
        <v>863</v>
      </c>
      <c r="G883" t="s">
        <v>864</v>
      </c>
    </row>
    <row r="884" spans="1:7">
      <c r="A884" t="s">
        <v>100</v>
      </c>
      <c r="B884" t="s">
        <v>1027</v>
      </c>
      <c r="C884" t="s">
        <v>1026</v>
      </c>
      <c r="D884">
        <v>5.3144301999999997E-2</v>
      </c>
      <c r="E884" t="s">
        <v>1028</v>
      </c>
      <c r="F884" t="s">
        <v>1029</v>
      </c>
      <c r="G884" t="s">
        <v>1030</v>
      </c>
    </row>
    <row r="885" spans="1:7">
      <c r="A885" t="s">
        <v>100</v>
      </c>
      <c r="B885" t="s">
        <v>791</v>
      </c>
      <c r="C885" t="s">
        <v>790</v>
      </c>
      <c r="D885">
        <v>3.6360099999999999E-2</v>
      </c>
      <c r="E885" t="s">
        <v>792</v>
      </c>
      <c r="F885" t="s">
        <v>793</v>
      </c>
      <c r="G885" t="s">
        <v>794</v>
      </c>
    </row>
    <row r="886" spans="1:7">
      <c r="A886" t="s">
        <v>100</v>
      </c>
      <c r="B886" t="s">
        <v>1169</v>
      </c>
      <c r="C886" t="s">
        <v>1168</v>
      </c>
      <c r="D886">
        <v>3.01628E-2</v>
      </c>
      <c r="E886" t="s">
        <v>489</v>
      </c>
      <c r="F886" t="s">
        <v>490</v>
      </c>
      <c r="G886" t="s">
        <v>490</v>
      </c>
    </row>
    <row r="887" spans="1:7">
      <c r="A887" t="s">
        <v>100</v>
      </c>
      <c r="B887" t="s">
        <v>1071</v>
      </c>
      <c r="C887" t="s">
        <v>1070</v>
      </c>
      <c r="D887">
        <v>2.7073198999999999E-2</v>
      </c>
      <c r="E887" t="s">
        <v>489</v>
      </c>
      <c r="F887" t="s">
        <v>490</v>
      </c>
      <c r="G887" t="s">
        <v>490</v>
      </c>
    </row>
    <row r="888" spans="1:7">
      <c r="A888" t="s">
        <v>100</v>
      </c>
      <c r="B888" t="s">
        <v>2975</v>
      </c>
      <c r="C888" t="s">
        <v>2974</v>
      </c>
      <c r="D888">
        <v>2.2645499999999999E-2</v>
      </c>
      <c r="E888" t="s">
        <v>1887</v>
      </c>
      <c r="F888" t="s">
        <v>2976</v>
      </c>
      <c r="G888" t="s">
        <v>2977</v>
      </c>
    </row>
    <row r="889" spans="1:7">
      <c r="A889" t="s">
        <v>100</v>
      </c>
      <c r="B889" t="s">
        <v>3024</v>
      </c>
      <c r="C889" t="s">
        <v>3023</v>
      </c>
      <c r="D889">
        <v>2.1258399000000001E-2</v>
      </c>
      <c r="E889" t="s">
        <v>489</v>
      </c>
      <c r="F889" t="s">
        <v>490</v>
      </c>
      <c r="G889" t="s">
        <v>490</v>
      </c>
    </row>
    <row r="890" spans="1:7">
      <c r="A890" t="s">
        <v>101</v>
      </c>
      <c r="B890" t="s">
        <v>673</v>
      </c>
      <c r="C890" t="s">
        <v>672</v>
      </c>
      <c r="D890">
        <v>3.8242098000000002E-2</v>
      </c>
      <c r="E890" t="s">
        <v>489</v>
      </c>
      <c r="F890" t="s">
        <v>490</v>
      </c>
      <c r="G890" t="s">
        <v>490</v>
      </c>
    </row>
    <row r="891" spans="1:7">
      <c r="A891" t="s">
        <v>101</v>
      </c>
      <c r="B891" t="s">
        <v>455</v>
      </c>
      <c r="C891" t="s">
        <v>454</v>
      </c>
      <c r="D891">
        <v>3.8089999999999999E-2</v>
      </c>
      <c r="E891" t="s">
        <v>443</v>
      </c>
      <c r="F891" t="s">
        <v>456</v>
      </c>
      <c r="G891" t="s">
        <v>457</v>
      </c>
    </row>
    <row r="892" spans="1:7">
      <c r="A892" t="s">
        <v>101</v>
      </c>
      <c r="B892" t="s">
        <v>800</v>
      </c>
      <c r="C892" t="s">
        <v>799</v>
      </c>
      <c r="D892">
        <v>3.6453800000000001E-2</v>
      </c>
      <c r="E892" t="s">
        <v>489</v>
      </c>
      <c r="F892" t="s">
        <v>490</v>
      </c>
      <c r="G892" t="s">
        <v>490</v>
      </c>
    </row>
    <row r="893" spans="1:7">
      <c r="A893" t="s">
        <v>101</v>
      </c>
      <c r="B893" t="s">
        <v>451</v>
      </c>
      <c r="C893" t="s">
        <v>450</v>
      </c>
      <c r="D893">
        <v>3.2227100000000002E-2</v>
      </c>
      <c r="E893" t="s">
        <v>443</v>
      </c>
      <c r="F893" t="s">
        <v>452</v>
      </c>
      <c r="G893" t="s">
        <v>453</v>
      </c>
    </row>
    <row r="894" spans="1:7">
      <c r="A894" t="s">
        <v>101</v>
      </c>
      <c r="B894" t="s">
        <v>1550</v>
      </c>
      <c r="C894" t="s">
        <v>1549</v>
      </c>
      <c r="D894">
        <v>3.1420499999999997E-2</v>
      </c>
      <c r="E894" t="s">
        <v>505</v>
      </c>
      <c r="F894" t="s">
        <v>1551</v>
      </c>
      <c r="G894" t="s">
        <v>1552</v>
      </c>
    </row>
    <row r="895" spans="1:7">
      <c r="A895" t="s">
        <v>101</v>
      </c>
      <c r="B895" t="s">
        <v>442</v>
      </c>
      <c r="C895" t="s">
        <v>441</v>
      </c>
      <c r="D895">
        <v>3.0522899999999999E-2</v>
      </c>
      <c r="E895" t="s">
        <v>443</v>
      </c>
      <c r="F895" t="s">
        <v>444</v>
      </c>
      <c r="G895" t="s">
        <v>445</v>
      </c>
    </row>
    <row r="896" spans="1:7">
      <c r="A896" t="s">
        <v>101</v>
      </c>
      <c r="B896" t="s">
        <v>802</v>
      </c>
      <c r="C896" t="s">
        <v>801</v>
      </c>
      <c r="D896">
        <v>3.0017199000000001E-2</v>
      </c>
      <c r="E896" t="s">
        <v>505</v>
      </c>
      <c r="F896" t="s">
        <v>803</v>
      </c>
      <c r="G896" t="s">
        <v>804</v>
      </c>
    </row>
    <row r="897" spans="1:7">
      <c r="A897" t="s">
        <v>101</v>
      </c>
      <c r="B897" t="s">
        <v>557</v>
      </c>
      <c r="C897" t="s">
        <v>556</v>
      </c>
      <c r="D897">
        <v>2.7534800000000002E-2</v>
      </c>
      <c r="E897" t="s">
        <v>489</v>
      </c>
      <c r="F897" t="s">
        <v>490</v>
      </c>
      <c r="G897" t="s">
        <v>490</v>
      </c>
    </row>
    <row r="898" spans="1:7">
      <c r="A898" t="s">
        <v>101</v>
      </c>
      <c r="B898" t="s">
        <v>1546</v>
      </c>
      <c r="C898" t="s">
        <v>1545</v>
      </c>
      <c r="D898">
        <v>2.7471599999999999E-2</v>
      </c>
      <c r="E898" t="s">
        <v>443</v>
      </c>
      <c r="F898" t="s">
        <v>1547</v>
      </c>
      <c r="G898" t="s">
        <v>1548</v>
      </c>
    </row>
    <row r="899" spans="1:7">
      <c r="A899" t="s">
        <v>101</v>
      </c>
      <c r="B899" t="s">
        <v>816</v>
      </c>
      <c r="C899" t="s">
        <v>815</v>
      </c>
      <c r="D899">
        <v>2.7269699000000001E-2</v>
      </c>
      <c r="E899" t="s">
        <v>505</v>
      </c>
      <c r="F899" t="s">
        <v>817</v>
      </c>
      <c r="G899" t="s">
        <v>818</v>
      </c>
    </row>
    <row r="900" spans="1:7">
      <c r="A900" t="s">
        <v>102</v>
      </c>
      <c r="B900" t="s">
        <v>571</v>
      </c>
      <c r="C900" t="s">
        <v>570</v>
      </c>
      <c r="D900">
        <v>7.2882799999999998E-2</v>
      </c>
      <c r="E900" t="s">
        <v>505</v>
      </c>
      <c r="F900" t="s">
        <v>572</v>
      </c>
      <c r="G900" t="s">
        <v>573</v>
      </c>
    </row>
    <row r="901" spans="1:7">
      <c r="A901" t="s">
        <v>102</v>
      </c>
      <c r="B901" t="s">
        <v>563</v>
      </c>
      <c r="C901" t="s">
        <v>562</v>
      </c>
      <c r="D901">
        <v>6.1049899999999997E-2</v>
      </c>
      <c r="E901" t="s">
        <v>505</v>
      </c>
      <c r="F901" t="s">
        <v>564</v>
      </c>
      <c r="G901" t="s">
        <v>565</v>
      </c>
    </row>
    <row r="902" spans="1:7">
      <c r="A902" t="s">
        <v>102</v>
      </c>
      <c r="B902" t="s">
        <v>693</v>
      </c>
      <c r="C902" t="s">
        <v>692</v>
      </c>
      <c r="D902">
        <v>5.05187E-2</v>
      </c>
      <c r="E902" t="s">
        <v>505</v>
      </c>
      <c r="F902" t="s">
        <v>694</v>
      </c>
      <c r="G902" t="s">
        <v>695</v>
      </c>
    </row>
    <row r="903" spans="1:7">
      <c r="A903" t="s">
        <v>102</v>
      </c>
      <c r="B903" t="s">
        <v>525</v>
      </c>
      <c r="C903" t="s">
        <v>524</v>
      </c>
      <c r="D903">
        <v>4.9258900000000001E-2</v>
      </c>
      <c r="E903" t="s">
        <v>443</v>
      </c>
      <c r="F903" t="s">
        <v>526</v>
      </c>
      <c r="G903" t="s">
        <v>527</v>
      </c>
    </row>
    <row r="904" spans="1:7">
      <c r="A904" t="s">
        <v>102</v>
      </c>
      <c r="B904" t="s">
        <v>545</v>
      </c>
      <c r="C904" t="s">
        <v>544</v>
      </c>
      <c r="D904">
        <v>4.6255004000000002E-2</v>
      </c>
      <c r="E904" t="s">
        <v>505</v>
      </c>
      <c r="F904" t="s">
        <v>546</v>
      </c>
      <c r="G904" t="s">
        <v>547</v>
      </c>
    </row>
    <row r="905" spans="1:7">
      <c r="A905" t="s">
        <v>102</v>
      </c>
      <c r="B905" t="s">
        <v>749</v>
      </c>
      <c r="C905" t="s">
        <v>748</v>
      </c>
      <c r="D905">
        <v>4.5422400000000002E-2</v>
      </c>
      <c r="E905" t="s">
        <v>505</v>
      </c>
      <c r="F905" t="s">
        <v>750</v>
      </c>
      <c r="G905" t="s">
        <v>751</v>
      </c>
    </row>
    <row r="906" spans="1:7">
      <c r="A906" t="s">
        <v>102</v>
      </c>
      <c r="B906" t="s">
        <v>753</v>
      </c>
      <c r="C906" t="s">
        <v>752</v>
      </c>
      <c r="D906">
        <v>2.9211000000000001E-2</v>
      </c>
      <c r="E906" t="s">
        <v>754</v>
      </c>
      <c r="F906" t="s">
        <v>755</v>
      </c>
      <c r="G906" t="s">
        <v>756</v>
      </c>
    </row>
    <row r="907" spans="1:7">
      <c r="A907" t="s">
        <v>102</v>
      </c>
      <c r="B907" t="s">
        <v>513</v>
      </c>
      <c r="C907" t="s">
        <v>512</v>
      </c>
      <c r="D907">
        <v>2.2249000000000001E-2</v>
      </c>
      <c r="E907" t="s">
        <v>443</v>
      </c>
      <c r="F907" t="s">
        <v>514</v>
      </c>
      <c r="G907" t="s">
        <v>515</v>
      </c>
    </row>
    <row r="908" spans="1:7">
      <c r="A908" t="s">
        <v>102</v>
      </c>
      <c r="B908" t="s">
        <v>1222</v>
      </c>
      <c r="C908" t="s">
        <v>1221</v>
      </c>
      <c r="D908">
        <v>2.0161700000000001E-2</v>
      </c>
      <c r="E908" t="s">
        <v>963</v>
      </c>
      <c r="F908" t="s">
        <v>1223</v>
      </c>
      <c r="G908" t="s">
        <v>1224</v>
      </c>
    </row>
    <row r="909" spans="1:7">
      <c r="A909" t="s">
        <v>102</v>
      </c>
      <c r="B909" t="s">
        <v>631</v>
      </c>
      <c r="C909" t="s">
        <v>630</v>
      </c>
      <c r="D909">
        <v>1.8656599999999999E-2</v>
      </c>
      <c r="E909" t="s">
        <v>505</v>
      </c>
      <c r="F909" t="s">
        <v>632</v>
      </c>
      <c r="G909" t="s">
        <v>633</v>
      </c>
    </row>
    <row r="910" spans="1:7">
      <c r="A910" t="s">
        <v>103</v>
      </c>
      <c r="B910" t="s">
        <v>721</v>
      </c>
      <c r="C910" t="s">
        <v>720</v>
      </c>
      <c r="D910">
        <v>8.3252400000000004E-2</v>
      </c>
      <c r="E910" t="s">
        <v>443</v>
      </c>
      <c r="F910" t="s">
        <v>722</v>
      </c>
      <c r="G910" t="s">
        <v>723</v>
      </c>
    </row>
    <row r="911" spans="1:7">
      <c r="A911" t="s">
        <v>103</v>
      </c>
      <c r="B911" t="s">
        <v>729</v>
      </c>
      <c r="C911" t="s">
        <v>728</v>
      </c>
      <c r="D911">
        <v>7.8306496000000003E-2</v>
      </c>
      <c r="E911" t="s">
        <v>505</v>
      </c>
      <c r="F911" t="s">
        <v>730</v>
      </c>
      <c r="G911" t="s">
        <v>731</v>
      </c>
    </row>
    <row r="912" spans="1:7">
      <c r="A912" t="s">
        <v>103</v>
      </c>
      <c r="B912" t="s">
        <v>733</v>
      </c>
      <c r="C912" t="s">
        <v>732</v>
      </c>
      <c r="D912">
        <v>7.3136300000000001E-2</v>
      </c>
      <c r="E912" t="s">
        <v>505</v>
      </c>
      <c r="F912" t="s">
        <v>734</v>
      </c>
      <c r="G912" t="s">
        <v>735</v>
      </c>
    </row>
    <row r="913" spans="1:7">
      <c r="A913" t="s">
        <v>103</v>
      </c>
      <c r="B913" t="s">
        <v>908</v>
      </c>
      <c r="C913" t="s">
        <v>907</v>
      </c>
      <c r="D913">
        <v>7.0587999999999998E-2</v>
      </c>
      <c r="E913" t="s">
        <v>909</v>
      </c>
      <c r="F913" t="s">
        <v>910</v>
      </c>
      <c r="G913" t="s">
        <v>911</v>
      </c>
    </row>
    <row r="914" spans="1:7">
      <c r="A914" t="s">
        <v>103</v>
      </c>
      <c r="B914" t="s">
        <v>1474</v>
      </c>
      <c r="C914" t="s">
        <v>1473</v>
      </c>
      <c r="D914">
        <v>5.6737000000000003E-2</v>
      </c>
      <c r="E914" t="s">
        <v>1475</v>
      </c>
      <c r="F914" t="s">
        <v>1476</v>
      </c>
      <c r="G914" t="s">
        <v>1477</v>
      </c>
    </row>
    <row r="915" spans="1:7">
      <c r="A915" t="s">
        <v>103</v>
      </c>
      <c r="B915" t="s">
        <v>896</v>
      </c>
      <c r="C915" t="s">
        <v>895</v>
      </c>
      <c r="D915">
        <v>5.6283697000000001E-2</v>
      </c>
      <c r="E915" t="s">
        <v>489</v>
      </c>
      <c r="F915" t="s">
        <v>490</v>
      </c>
      <c r="G915" t="s">
        <v>490</v>
      </c>
    </row>
    <row r="916" spans="1:7">
      <c r="A916" t="s">
        <v>103</v>
      </c>
      <c r="B916" t="s">
        <v>1872</v>
      </c>
      <c r="C916" t="s">
        <v>1871</v>
      </c>
      <c r="D916">
        <v>5.5510803999999997E-2</v>
      </c>
      <c r="E916" t="s">
        <v>443</v>
      </c>
      <c r="F916" t="s">
        <v>1873</v>
      </c>
      <c r="G916" t="s">
        <v>1874</v>
      </c>
    </row>
    <row r="917" spans="1:7">
      <c r="A917" t="s">
        <v>103</v>
      </c>
      <c r="B917" t="s">
        <v>802</v>
      </c>
      <c r="C917" t="s">
        <v>801</v>
      </c>
      <c r="D917">
        <v>5.4125298000000002E-2</v>
      </c>
      <c r="E917" t="s">
        <v>505</v>
      </c>
      <c r="F917" t="s">
        <v>803</v>
      </c>
      <c r="G917" t="s">
        <v>804</v>
      </c>
    </row>
    <row r="918" spans="1:7">
      <c r="A918" t="s">
        <v>103</v>
      </c>
      <c r="B918" t="s">
        <v>531</v>
      </c>
      <c r="C918" t="s">
        <v>530</v>
      </c>
      <c r="D918">
        <v>5.3684700000000002E-2</v>
      </c>
      <c r="E918" t="s">
        <v>443</v>
      </c>
      <c r="F918" t="s">
        <v>532</v>
      </c>
      <c r="G918" t="s">
        <v>533</v>
      </c>
    </row>
    <row r="919" spans="1:7">
      <c r="A919" t="s">
        <v>103</v>
      </c>
      <c r="B919" t="s">
        <v>496</v>
      </c>
      <c r="C919" t="s">
        <v>495</v>
      </c>
      <c r="D919">
        <v>5.1538803000000001E-2</v>
      </c>
      <c r="E919" t="s">
        <v>443</v>
      </c>
      <c r="F919" t="s">
        <v>497</v>
      </c>
      <c r="G919" t="s">
        <v>498</v>
      </c>
    </row>
    <row r="920" spans="1:7">
      <c r="A920" t="s">
        <v>104</v>
      </c>
      <c r="B920" t="s">
        <v>1314</v>
      </c>
      <c r="C920" t="s">
        <v>1313</v>
      </c>
      <c r="D920">
        <v>0.1016044</v>
      </c>
      <c r="E920" t="s">
        <v>489</v>
      </c>
      <c r="F920" t="s">
        <v>490</v>
      </c>
      <c r="G920" t="s">
        <v>490</v>
      </c>
    </row>
    <row r="921" spans="1:7">
      <c r="A921" t="s">
        <v>104</v>
      </c>
      <c r="B921" t="s">
        <v>1273</v>
      </c>
      <c r="C921" t="s">
        <v>1272</v>
      </c>
      <c r="D921">
        <v>9.2473894000000001E-2</v>
      </c>
      <c r="E921" t="s">
        <v>505</v>
      </c>
      <c r="F921" t="s">
        <v>1274</v>
      </c>
      <c r="G921" t="s">
        <v>1275</v>
      </c>
    </row>
    <row r="922" spans="1:7">
      <c r="A922" t="s">
        <v>104</v>
      </c>
      <c r="B922" t="s">
        <v>459</v>
      </c>
      <c r="C922" t="s">
        <v>458</v>
      </c>
      <c r="D922">
        <v>8.9983999999999995E-2</v>
      </c>
      <c r="E922" t="s">
        <v>443</v>
      </c>
      <c r="F922" t="s">
        <v>460</v>
      </c>
      <c r="G922" t="s">
        <v>461</v>
      </c>
    </row>
    <row r="923" spans="1:7">
      <c r="A923" t="s">
        <v>104</v>
      </c>
      <c r="B923" t="s">
        <v>1698</v>
      </c>
      <c r="C923" t="s">
        <v>1697</v>
      </c>
      <c r="D923">
        <v>8.1018489999999999E-2</v>
      </c>
      <c r="E923" t="s">
        <v>443</v>
      </c>
      <c r="F923" t="s">
        <v>1699</v>
      </c>
      <c r="G923" t="s">
        <v>1700</v>
      </c>
    </row>
    <row r="924" spans="1:7">
      <c r="A924" t="s">
        <v>104</v>
      </c>
      <c r="B924" t="s">
        <v>1782</v>
      </c>
      <c r="C924" t="s">
        <v>1781</v>
      </c>
      <c r="D924">
        <v>6.4619004999999993E-2</v>
      </c>
      <c r="E924" t="s">
        <v>489</v>
      </c>
      <c r="F924" t="s">
        <v>490</v>
      </c>
      <c r="G924" t="s">
        <v>490</v>
      </c>
    </row>
    <row r="925" spans="1:7">
      <c r="A925" t="s">
        <v>104</v>
      </c>
      <c r="B925" t="s">
        <v>1412</v>
      </c>
      <c r="C925" t="s">
        <v>1411</v>
      </c>
      <c r="D925">
        <v>4.7866701999999997E-2</v>
      </c>
      <c r="E925" t="s">
        <v>505</v>
      </c>
      <c r="F925" t="s">
        <v>1413</v>
      </c>
      <c r="G925" t="s">
        <v>1414</v>
      </c>
    </row>
    <row r="926" spans="1:7">
      <c r="A926" t="s">
        <v>104</v>
      </c>
      <c r="B926" t="s">
        <v>2511</v>
      </c>
      <c r="C926" t="s">
        <v>2510</v>
      </c>
      <c r="D926">
        <v>3.6124497999999998E-2</v>
      </c>
      <c r="E926" t="s">
        <v>443</v>
      </c>
      <c r="F926" t="s">
        <v>2512</v>
      </c>
      <c r="G926" t="s">
        <v>2513</v>
      </c>
    </row>
    <row r="927" spans="1:7">
      <c r="A927" t="s">
        <v>104</v>
      </c>
      <c r="B927" t="s">
        <v>2762</v>
      </c>
      <c r="C927" t="s">
        <v>2761</v>
      </c>
      <c r="D927">
        <v>2.9314699E-2</v>
      </c>
      <c r="E927" t="s">
        <v>443</v>
      </c>
      <c r="F927" t="s">
        <v>2763</v>
      </c>
      <c r="G927" t="s">
        <v>2764</v>
      </c>
    </row>
    <row r="928" spans="1:7">
      <c r="A928" t="s">
        <v>104</v>
      </c>
      <c r="B928" t="s">
        <v>3076</v>
      </c>
      <c r="C928" t="s">
        <v>3075</v>
      </c>
      <c r="D928">
        <v>1.8217301000000002E-2</v>
      </c>
      <c r="E928" t="s">
        <v>489</v>
      </c>
      <c r="F928" t="s">
        <v>490</v>
      </c>
      <c r="G928" t="s">
        <v>490</v>
      </c>
    </row>
    <row r="929" spans="1:7">
      <c r="A929" t="s">
        <v>104</v>
      </c>
      <c r="B929" t="s">
        <v>3088</v>
      </c>
      <c r="C929" t="s">
        <v>3087</v>
      </c>
      <c r="D929">
        <v>1.6842900000000001E-2</v>
      </c>
      <c r="E929" t="s">
        <v>443</v>
      </c>
      <c r="F929" t="s">
        <v>3089</v>
      </c>
      <c r="G929" t="s">
        <v>3090</v>
      </c>
    </row>
    <row r="930" spans="1:7">
      <c r="A930" t="s">
        <v>105</v>
      </c>
      <c r="B930" t="s">
        <v>455</v>
      </c>
      <c r="C930" t="s">
        <v>454</v>
      </c>
      <c r="D930">
        <v>0.12768879999999999</v>
      </c>
      <c r="E930" t="s">
        <v>443</v>
      </c>
      <c r="F930" t="s">
        <v>456</v>
      </c>
      <c r="G930" t="s">
        <v>457</v>
      </c>
    </row>
    <row r="931" spans="1:7">
      <c r="A931" t="s">
        <v>105</v>
      </c>
      <c r="B931" t="s">
        <v>525</v>
      </c>
      <c r="C931" t="s">
        <v>524</v>
      </c>
      <c r="D931">
        <v>9.5104800000000003E-2</v>
      </c>
      <c r="E931" t="s">
        <v>443</v>
      </c>
      <c r="F931" t="s">
        <v>526</v>
      </c>
      <c r="G931" t="s">
        <v>527</v>
      </c>
    </row>
    <row r="932" spans="1:7">
      <c r="A932" t="s">
        <v>105</v>
      </c>
      <c r="B932" t="s">
        <v>442</v>
      </c>
      <c r="C932" t="s">
        <v>441</v>
      </c>
      <c r="D932">
        <v>7.3241600000000004E-2</v>
      </c>
      <c r="E932" t="s">
        <v>443</v>
      </c>
      <c r="F932" t="s">
        <v>444</v>
      </c>
      <c r="G932" t="s">
        <v>445</v>
      </c>
    </row>
    <row r="933" spans="1:7">
      <c r="A933" t="s">
        <v>105</v>
      </c>
      <c r="B933" t="s">
        <v>521</v>
      </c>
      <c r="C933" t="s">
        <v>520</v>
      </c>
      <c r="D933">
        <v>5.4845400000000002E-2</v>
      </c>
      <c r="E933" t="s">
        <v>505</v>
      </c>
      <c r="F933" t="s">
        <v>522</v>
      </c>
      <c r="G933" t="s">
        <v>523</v>
      </c>
    </row>
    <row r="934" spans="1:7">
      <c r="A934" t="s">
        <v>105</v>
      </c>
      <c r="B934" t="s">
        <v>467</v>
      </c>
      <c r="C934" t="s">
        <v>466</v>
      </c>
      <c r="D934">
        <v>4.74283E-2</v>
      </c>
      <c r="E934" t="s">
        <v>443</v>
      </c>
      <c r="F934" t="s">
        <v>468</v>
      </c>
      <c r="G934" t="s">
        <v>469</v>
      </c>
    </row>
    <row r="935" spans="1:7">
      <c r="A935" t="s">
        <v>105</v>
      </c>
      <c r="B935" t="s">
        <v>459</v>
      </c>
      <c r="C935" t="s">
        <v>458</v>
      </c>
      <c r="D935">
        <v>4.3432800000000001E-2</v>
      </c>
      <c r="E935" t="s">
        <v>443</v>
      </c>
      <c r="F935" t="s">
        <v>460</v>
      </c>
      <c r="G935" t="s">
        <v>461</v>
      </c>
    </row>
    <row r="936" spans="1:7">
      <c r="A936" t="s">
        <v>105</v>
      </c>
      <c r="B936" t="s">
        <v>463</v>
      </c>
      <c r="C936" t="s">
        <v>462</v>
      </c>
      <c r="D936">
        <v>2.9028000000000002E-2</v>
      </c>
      <c r="E936" t="s">
        <v>443</v>
      </c>
      <c r="F936" t="s">
        <v>464</v>
      </c>
      <c r="G936" t="s">
        <v>465</v>
      </c>
    </row>
    <row r="937" spans="1:7">
      <c r="A937" t="s">
        <v>105</v>
      </c>
      <c r="B937" t="s">
        <v>1146</v>
      </c>
      <c r="C937" t="s">
        <v>1145</v>
      </c>
      <c r="D937">
        <v>2.7563501000000001E-2</v>
      </c>
      <c r="E937" t="s">
        <v>505</v>
      </c>
      <c r="F937" t="s">
        <v>1147</v>
      </c>
      <c r="G937" t="s">
        <v>1148</v>
      </c>
    </row>
    <row r="938" spans="1:7">
      <c r="A938" t="s">
        <v>105</v>
      </c>
      <c r="B938" t="s">
        <v>451</v>
      </c>
      <c r="C938" t="s">
        <v>450</v>
      </c>
      <c r="D938">
        <v>2.7343099999999999E-2</v>
      </c>
      <c r="E938" t="s">
        <v>443</v>
      </c>
      <c r="F938" t="s">
        <v>452</v>
      </c>
      <c r="G938" t="s">
        <v>453</v>
      </c>
    </row>
    <row r="939" spans="1:7">
      <c r="A939" t="s">
        <v>105</v>
      </c>
      <c r="B939" t="s">
        <v>929</v>
      </c>
      <c r="C939" t="s">
        <v>928</v>
      </c>
      <c r="D939">
        <v>2.6441699999999999E-2</v>
      </c>
      <c r="E939" t="s">
        <v>505</v>
      </c>
      <c r="F939" t="s">
        <v>930</v>
      </c>
      <c r="G939" t="s">
        <v>931</v>
      </c>
    </row>
    <row r="940" spans="1:7">
      <c r="A940" t="s">
        <v>106</v>
      </c>
      <c r="B940" t="s">
        <v>1007</v>
      </c>
      <c r="C940" t="s">
        <v>1006</v>
      </c>
      <c r="D940">
        <v>5.4845600000000001E-2</v>
      </c>
      <c r="E940" t="s">
        <v>489</v>
      </c>
      <c r="F940" t="s">
        <v>490</v>
      </c>
      <c r="G940" t="s">
        <v>490</v>
      </c>
    </row>
    <row r="941" spans="1:7">
      <c r="A941" t="s">
        <v>106</v>
      </c>
      <c r="B941" t="s">
        <v>1046</v>
      </c>
      <c r="C941" t="s">
        <v>1045</v>
      </c>
      <c r="D941">
        <v>4.8995200000000003E-2</v>
      </c>
      <c r="E941" t="s">
        <v>821</v>
      </c>
      <c r="F941" t="s">
        <v>1047</v>
      </c>
      <c r="G941" t="s">
        <v>1048</v>
      </c>
    </row>
    <row r="942" spans="1:7">
      <c r="A942" t="s">
        <v>106</v>
      </c>
      <c r="B942" t="s">
        <v>717</v>
      </c>
      <c r="C942" t="s">
        <v>716</v>
      </c>
      <c r="D942">
        <v>4.7842997999999998E-2</v>
      </c>
      <c r="E942" t="s">
        <v>505</v>
      </c>
      <c r="F942" t="s">
        <v>718</v>
      </c>
      <c r="G942" t="s">
        <v>719</v>
      </c>
    </row>
    <row r="943" spans="1:7">
      <c r="A943" t="s">
        <v>106</v>
      </c>
      <c r="B943" t="s">
        <v>635</v>
      </c>
      <c r="C943" t="s">
        <v>634</v>
      </c>
      <c r="D943">
        <v>4.0509099999999999E-2</v>
      </c>
      <c r="E943" t="s">
        <v>590</v>
      </c>
      <c r="F943" t="s">
        <v>636</v>
      </c>
      <c r="G943" t="s">
        <v>637</v>
      </c>
    </row>
    <row r="944" spans="1:7">
      <c r="A944" t="s">
        <v>106</v>
      </c>
      <c r="B944" t="s">
        <v>820</v>
      </c>
      <c r="C944" t="s">
        <v>819</v>
      </c>
      <c r="D944">
        <v>3.8208199999999998E-2</v>
      </c>
      <c r="E944" t="s">
        <v>821</v>
      </c>
      <c r="F944" t="s">
        <v>822</v>
      </c>
      <c r="G944" t="s">
        <v>823</v>
      </c>
    </row>
    <row r="945" spans="1:7">
      <c r="A945" t="s">
        <v>106</v>
      </c>
      <c r="B945" t="s">
        <v>991</v>
      </c>
      <c r="C945" t="s">
        <v>990</v>
      </c>
      <c r="D945">
        <v>3.6592600000000003E-2</v>
      </c>
      <c r="E945" t="s">
        <v>992</v>
      </c>
      <c r="F945" t="s">
        <v>993</v>
      </c>
      <c r="G945" t="s">
        <v>994</v>
      </c>
    </row>
    <row r="946" spans="1:7">
      <c r="A946" t="s">
        <v>106</v>
      </c>
      <c r="B946" t="s">
        <v>1191</v>
      </c>
      <c r="C946" t="s">
        <v>1190</v>
      </c>
      <c r="D946">
        <v>3.1854599999999997E-2</v>
      </c>
      <c r="E946" t="s">
        <v>1192</v>
      </c>
      <c r="F946" t="s">
        <v>1193</v>
      </c>
      <c r="G946" t="s">
        <v>1194</v>
      </c>
    </row>
    <row r="947" spans="1:7">
      <c r="A947" t="s">
        <v>106</v>
      </c>
      <c r="B947" t="s">
        <v>539</v>
      </c>
      <c r="C947" t="s">
        <v>538</v>
      </c>
      <c r="D947">
        <v>2.9479700000000001E-2</v>
      </c>
      <c r="E947" t="s">
        <v>489</v>
      </c>
      <c r="F947" t="s">
        <v>490</v>
      </c>
      <c r="G947" t="s">
        <v>490</v>
      </c>
    </row>
    <row r="948" spans="1:7">
      <c r="A948" t="s">
        <v>106</v>
      </c>
      <c r="B948" t="s">
        <v>1218</v>
      </c>
      <c r="C948" t="s">
        <v>1217</v>
      </c>
      <c r="D948">
        <v>2.73732E-2</v>
      </c>
      <c r="E948" t="s">
        <v>489</v>
      </c>
      <c r="F948" t="s">
        <v>490</v>
      </c>
      <c r="G948" t="s">
        <v>490</v>
      </c>
    </row>
    <row r="949" spans="1:7">
      <c r="A949" t="s">
        <v>106</v>
      </c>
      <c r="B949" t="s">
        <v>1615</v>
      </c>
      <c r="C949" t="s">
        <v>1614</v>
      </c>
      <c r="D949">
        <v>2.6048200000000001E-2</v>
      </c>
      <c r="E949" t="s">
        <v>1118</v>
      </c>
      <c r="F949" t="s">
        <v>1616</v>
      </c>
      <c r="G949" t="s">
        <v>1617</v>
      </c>
    </row>
    <row r="950" spans="1:7">
      <c r="A950" t="s">
        <v>107</v>
      </c>
      <c r="B950" t="s">
        <v>483</v>
      </c>
      <c r="C950" t="s">
        <v>482</v>
      </c>
      <c r="D950">
        <v>0.1228355</v>
      </c>
      <c r="E950" t="s">
        <v>484</v>
      </c>
      <c r="F950" t="s">
        <v>485</v>
      </c>
      <c r="G950" t="s">
        <v>486</v>
      </c>
    </row>
    <row r="951" spans="1:7">
      <c r="A951" t="s">
        <v>107</v>
      </c>
      <c r="B951" t="s">
        <v>447</v>
      </c>
      <c r="C951" t="s">
        <v>446</v>
      </c>
      <c r="D951">
        <v>0.1184943</v>
      </c>
      <c r="E951" t="s">
        <v>443</v>
      </c>
      <c r="F951" t="s">
        <v>448</v>
      </c>
      <c r="G951" t="s">
        <v>449</v>
      </c>
    </row>
    <row r="952" spans="1:7">
      <c r="A952" t="s">
        <v>107</v>
      </c>
      <c r="B952" t="s">
        <v>451</v>
      </c>
      <c r="C952" t="s">
        <v>450</v>
      </c>
      <c r="D952">
        <v>7.2637400000000005E-2</v>
      </c>
      <c r="E952" t="s">
        <v>443</v>
      </c>
      <c r="F952" t="s">
        <v>452</v>
      </c>
      <c r="G952" t="s">
        <v>453</v>
      </c>
    </row>
    <row r="953" spans="1:7">
      <c r="A953" t="s">
        <v>107</v>
      </c>
      <c r="B953" t="s">
        <v>471</v>
      </c>
      <c r="C953" t="s">
        <v>470</v>
      </c>
      <c r="D953">
        <v>6.7172796000000007E-2</v>
      </c>
      <c r="E953" t="s">
        <v>443</v>
      </c>
      <c r="F953" t="s">
        <v>472</v>
      </c>
      <c r="G953" t="s">
        <v>473</v>
      </c>
    </row>
    <row r="954" spans="1:7">
      <c r="A954" t="s">
        <v>107</v>
      </c>
      <c r="B954" t="s">
        <v>463</v>
      </c>
      <c r="C954" t="s">
        <v>462</v>
      </c>
      <c r="D954">
        <v>6.1987899999999999E-2</v>
      </c>
      <c r="E954" t="s">
        <v>443</v>
      </c>
      <c r="F954" t="s">
        <v>464</v>
      </c>
      <c r="G954" t="s">
        <v>465</v>
      </c>
    </row>
    <row r="955" spans="1:7">
      <c r="A955" t="s">
        <v>107</v>
      </c>
      <c r="B955" t="s">
        <v>442</v>
      </c>
      <c r="C955" t="s">
        <v>441</v>
      </c>
      <c r="D955">
        <v>5.70226E-2</v>
      </c>
      <c r="E955" t="s">
        <v>443</v>
      </c>
      <c r="F955" t="s">
        <v>444</v>
      </c>
      <c r="G955" t="s">
        <v>445</v>
      </c>
    </row>
    <row r="956" spans="1:7">
      <c r="A956" t="s">
        <v>107</v>
      </c>
      <c r="B956" t="s">
        <v>492</v>
      </c>
      <c r="C956" t="s">
        <v>491</v>
      </c>
      <c r="D956">
        <v>4.9032199999999998E-2</v>
      </c>
      <c r="E956" t="s">
        <v>443</v>
      </c>
      <c r="F956" t="s">
        <v>493</v>
      </c>
      <c r="G956" t="s">
        <v>494</v>
      </c>
    </row>
    <row r="957" spans="1:7">
      <c r="A957" t="s">
        <v>107</v>
      </c>
      <c r="B957" t="s">
        <v>496</v>
      </c>
      <c r="C957" t="s">
        <v>495</v>
      </c>
      <c r="D957">
        <v>3.8638899999999997E-2</v>
      </c>
      <c r="E957" t="s">
        <v>443</v>
      </c>
      <c r="F957" t="s">
        <v>497</v>
      </c>
      <c r="G957" t="s">
        <v>498</v>
      </c>
    </row>
    <row r="958" spans="1:7">
      <c r="A958" t="s">
        <v>107</v>
      </c>
      <c r="B958" t="s">
        <v>584</v>
      </c>
      <c r="C958" t="s">
        <v>583</v>
      </c>
      <c r="D958">
        <v>3.6924800000000001E-2</v>
      </c>
      <c r="E958" t="s">
        <v>585</v>
      </c>
      <c r="F958" t="s">
        <v>586</v>
      </c>
      <c r="G958" t="s">
        <v>587</v>
      </c>
    </row>
    <row r="959" spans="1:7">
      <c r="A959" t="s">
        <v>107</v>
      </c>
      <c r="B959" t="s">
        <v>673</v>
      </c>
      <c r="C959" t="s">
        <v>672</v>
      </c>
      <c r="D959">
        <v>3.2350298E-2</v>
      </c>
      <c r="E959" t="s">
        <v>489</v>
      </c>
      <c r="F959" t="s">
        <v>490</v>
      </c>
      <c r="G959" t="s">
        <v>490</v>
      </c>
    </row>
    <row r="960" spans="1:7">
      <c r="A960" t="s">
        <v>108</v>
      </c>
      <c r="B960" t="s">
        <v>1690</v>
      </c>
      <c r="C960" t="s">
        <v>1689</v>
      </c>
      <c r="D960">
        <v>8.6433399999999994E-2</v>
      </c>
      <c r="E960" t="s">
        <v>585</v>
      </c>
      <c r="F960" t="s">
        <v>1691</v>
      </c>
      <c r="G960" t="s">
        <v>1692</v>
      </c>
    </row>
    <row r="961" spans="1:7">
      <c r="A961" t="s">
        <v>108</v>
      </c>
      <c r="B961" t="s">
        <v>659</v>
      </c>
      <c r="C961" t="s">
        <v>658</v>
      </c>
      <c r="D961">
        <v>6.3173599999999996E-2</v>
      </c>
      <c r="E961" t="s">
        <v>443</v>
      </c>
      <c r="F961" t="s">
        <v>660</v>
      </c>
      <c r="G961" t="s">
        <v>661</v>
      </c>
    </row>
    <row r="962" spans="1:7">
      <c r="A962" t="s">
        <v>108</v>
      </c>
      <c r="B962" t="s">
        <v>1349</v>
      </c>
      <c r="C962" t="s">
        <v>1348</v>
      </c>
      <c r="D962">
        <v>6.1098E-2</v>
      </c>
      <c r="E962" t="s">
        <v>590</v>
      </c>
      <c r="F962" t="s">
        <v>1350</v>
      </c>
      <c r="G962" t="s">
        <v>1351</v>
      </c>
    </row>
    <row r="963" spans="1:7">
      <c r="A963" t="s">
        <v>108</v>
      </c>
      <c r="B963" t="s">
        <v>1862</v>
      </c>
      <c r="C963" t="s">
        <v>1861</v>
      </c>
      <c r="D963">
        <v>5.6890200000000002E-2</v>
      </c>
      <c r="E963" t="s">
        <v>489</v>
      </c>
      <c r="F963" t="s">
        <v>490</v>
      </c>
      <c r="G963" t="s">
        <v>490</v>
      </c>
    </row>
    <row r="964" spans="1:7">
      <c r="A964" t="s">
        <v>108</v>
      </c>
      <c r="B964" t="s">
        <v>567</v>
      </c>
      <c r="C964" t="s">
        <v>566</v>
      </c>
      <c r="D964">
        <v>5.5991802E-2</v>
      </c>
      <c r="E964" t="s">
        <v>443</v>
      </c>
      <c r="F964" t="s">
        <v>568</v>
      </c>
      <c r="G964" t="s">
        <v>569</v>
      </c>
    </row>
    <row r="965" spans="1:7">
      <c r="A965" t="s">
        <v>108</v>
      </c>
      <c r="B965" t="s">
        <v>553</v>
      </c>
      <c r="C965" t="s">
        <v>552</v>
      </c>
      <c r="D965">
        <v>5.0629802000000002E-2</v>
      </c>
      <c r="E965" t="s">
        <v>443</v>
      </c>
      <c r="F965" t="s">
        <v>554</v>
      </c>
      <c r="G965" t="s">
        <v>555</v>
      </c>
    </row>
    <row r="966" spans="1:7">
      <c r="A966" t="s">
        <v>108</v>
      </c>
      <c r="B966" t="s">
        <v>500</v>
      </c>
      <c r="C966" t="s">
        <v>499</v>
      </c>
      <c r="D966">
        <v>5.0382799999999998E-2</v>
      </c>
      <c r="E966" t="s">
        <v>443</v>
      </c>
      <c r="F966" t="s">
        <v>501</v>
      </c>
      <c r="G966" t="s">
        <v>502</v>
      </c>
    </row>
    <row r="967" spans="1:7">
      <c r="A967" t="s">
        <v>108</v>
      </c>
      <c r="B967" t="s">
        <v>479</v>
      </c>
      <c r="C967" t="s">
        <v>478</v>
      </c>
      <c r="D967">
        <v>4.9967299999999999E-2</v>
      </c>
      <c r="E967" t="s">
        <v>443</v>
      </c>
      <c r="F967" t="s">
        <v>480</v>
      </c>
      <c r="G967" t="s">
        <v>481</v>
      </c>
    </row>
    <row r="968" spans="1:7">
      <c r="A968" t="s">
        <v>108</v>
      </c>
      <c r="B968" t="s">
        <v>917</v>
      </c>
      <c r="C968" t="s">
        <v>916</v>
      </c>
      <c r="D968">
        <v>4.0208901999999998E-2</v>
      </c>
      <c r="E968" t="s">
        <v>489</v>
      </c>
      <c r="F968" t="s">
        <v>490</v>
      </c>
      <c r="G968" t="s">
        <v>490</v>
      </c>
    </row>
    <row r="969" spans="1:7">
      <c r="A969" t="s">
        <v>108</v>
      </c>
      <c r="B969" t="s">
        <v>1128</v>
      </c>
      <c r="C969" t="s">
        <v>1127</v>
      </c>
      <c r="D969">
        <v>3.9902597999999997E-2</v>
      </c>
      <c r="E969" t="s">
        <v>489</v>
      </c>
      <c r="F969" t="s">
        <v>490</v>
      </c>
      <c r="G969" t="s">
        <v>490</v>
      </c>
    </row>
    <row r="970" spans="1:7">
      <c r="A970" t="s">
        <v>109</v>
      </c>
      <c r="B970" t="s">
        <v>953</v>
      </c>
      <c r="C970" t="s">
        <v>952</v>
      </c>
      <c r="D970">
        <v>7.8038899999999994E-2</v>
      </c>
      <c r="E970" t="s">
        <v>954</v>
      </c>
      <c r="F970" t="s">
        <v>955</v>
      </c>
      <c r="G970" t="s">
        <v>956</v>
      </c>
    </row>
    <row r="971" spans="1:7">
      <c r="A971" t="s">
        <v>109</v>
      </c>
      <c r="B971" t="s">
        <v>1253</v>
      </c>
      <c r="C971" t="s">
        <v>1252</v>
      </c>
      <c r="D971">
        <v>7.5986600000000001E-2</v>
      </c>
      <c r="E971" t="s">
        <v>489</v>
      </c>
      <c r="F971" t="s">
        <v>490</v>
      </c>
      <c r="G971" t="s">
        <v>490</v>
      </c>
    </row>
    <row r="972" spans="1:7">
      <c r="A972" t="s">
        <v>109</v>
      </c>
      <c r="B972" t="s">
        <v>1720</v>
      </c>
      <c r="C972" t="s">
        <v>1719</v>
      </c>
      <c r="D972">
        <v>7.4074200000000007E-2</v>
      </c>
      <c r="E972" t="s">
        <v>954</v>
      </c>
      <c r="F972" t="s">
        <v>1721</v>
      </c>
      <c r="G972" t="s">
        <v>1722</v>
      </c>
    </row>
    <row r="973" spans="1:7">
      <c r="A973" t="s">
        <v>109</v>
      </c>
      <c r="B973" t="s">
        <v>1268</v>
      </c>
      <c r="C973" t="s">
        <v>1267</v>
      </c>
      <c r="D973">
        <v>6.76456E-2</v>
      </c>
      <c r="E973" t="s">
        <v>1269</v>
      </c>
      <c r="F973" t="s">
        <v>1270</v>
      </c>
      <c r="G973" t="s">
        <v>1271</v>
      </c>
    </row>
    <row r="974" spans="1:7">
      <c r="A974" t="s">
        <v>109</v>
      </c>
      <c r="B974" t="s">
        <v>1762</v>
      </c>
      <c r="C974" t="s">
        <v>1761</v>
      </c>
      <c r="D974">
        <v>6.6469399999999998E-2</v>
      </c>
      <c r="E974" t="s">
        <v>954</v>
      </c>
      <c r="F974" t="s">
        <v>1763</v>
      </c>
      <c r="G974" t="s">
        <v>1764</v>
      </c>
    </row>
    <row r="975" spans="1:7">
      <c r="A975" t="s">
        <v>109</v>
      </c>
      <c r="B975" t="s">
        <v>1766</v>
      </c>
      <c r="C975" t="s">
        <v>1765</v>
      </c>
      <c r="D975">
        <v>6.5005295000000005E-2</v>
      </c>
      <c r="E975" t="s">
        <v>1269</v>
      </c>
      <c r="F975" t="s">
        <v>1767</v>
      </c>
      <c r="G975" t="s">
        <v>1768</v>
      </c>
    </row>
    <row r="976" spans="1:7">
      <c r="A976" t="s">
        <v>109</v>
      </c>
      <c r="B976" t="s">
        <v>1375</v>
      </c>
      <c r="C976" t="s">
        <v>1374</v>
      </c>
      <c r="D976">
        <v>5.8704899999999997E-2</v>
      </c>
      <c r="E976" t="s">
        <v>1269</v>
      </c>
      <c r="F976" t="s">
        <v>1376</v>
      </c>
      <c r="G976" t="s">
        <v>1377</v>
      </c>
    </row>
    <row r="977" spans="1:7">
      <c r="A977" t="s">
        <v>109</v>
      </c>
      <c r="B977" t="s">
        <v>1944</v>
      </c>
      <c r="C977" t="s">
        <v>1943</v>
      </c>
      <c r="D977">
        <v>4.9882203E-2</v>
      </c>
      <c r="E977" t="s">
        <v>1269</v>
      </c>
      <c r="F977" t="s">
        <v>1945</v>
      </c>
      <c r="G977" t="s">
        <v>1946</v>
      </c>
    </row>
    <row r="978" spans="1:7">
      <c r="A978" t="s">
        <v>109</v>
      </c>
      <c r="B978" t="s">
        <v>2165</v>
      </c>
      <c r="C978" t="s">
        <v>2164</v>
      </c>
      <c r="D978">
        <v>4.4122000000000001E-2</v>
      </c>
      <c r="E978" t="s">
        <v>1269</v>
      </c>
      <c r="F978" t="s">
        <v>2166</v>
      </c>
      <c r="G978" t="s">
        <v>2167</v>
      </c>
    </row>
    <row r="979" spans="1:7">
      <c r="A979" t="s">
        <v>109</v>
      </c>
      <c r="B979" t="s">
        <v>2355</v>
      </c>
      <c r="C979" t="s">
        <v>2354</v>
      </c>
      <c r="D979">
        <v>4.0233900000000003E-2</v>
      </c>
      <c r="E979" t="s">
        <v>2356</v>
      </c>
      <c r="F979" t="s">
        <v>2357</v>
      </c>
      <c r="G979" t="s">
        <v>2358</v>
      </c>
    </row>
    <row r="980" spans="1:7">
      <c r="A980" t="s">
        <v>110</v>
      </c>
      <c r="B980" t="s">
        <v>1558</v>
      </c>
      <c r="C980" t="s">
        <v>1557</v>
      </c>
      <c r="D980">
        <v>2.1187299999999999E-2</v>
      </c>
      <c r="E980" t="s">
        <v>1559</v>
      </c>
      <c r="F980" t="s">
        <v>1560</v>
      </c>
      <c r="G980" t="s">
        <v>1561</v>
      </c>
    </row>
    <row r="981" spans="1:7">
      <c r="A981" t="s">
        <v>110</v>
      </c>
      <c r="B981" t="s">
        <v>1581</v>
      </c>
      <c r="C981" t="s">
        <v>1580</v>
      </c>
      <c r="D981">
        <v>2.0855200000000001E-2</v>
      </c>
      <c r="E981" t="s">
        <v>505</v>
      </c>
      <c r="F981" t="s">
        <v>1582</v>
      </c>
      <c r="G981" t="s">
        <v>1583</v>
      </c>
    </row>
    <row r="982" spans="1:7">
      <c r="A982" t="s">
        <v>110</v>
      </c>
      <c r="B982" t="s">
        <v>1073</v>
      </c>
      <c r="C982" t="s">
        <v>1072</v>
      </c>
      <c r="D982">
        <v>2.0494700000000001E-2</v>
      </c>
      <c r="E982" t="s">
        <v>1074</v>
      </c>
      <c r="F982" t="s">
        <v>1075</v>
      </c>
      <c r="G982" t="s">
        <v>1076</v>
      </c>
    </row>
    <row r="983" spans="1:7">
      <c r="A983" t="s">
        <v>110</v>
      </c>
      <c r="B983" t="s">
        <v>3038</v>
      </c>
      <c r="C983" t="s">
        <v>3037</v>
      </c>
      <c r="D983">
        <v>1.9818800000000001E-2</v>
      </c>
      <c r="E983" t="s">
        <v>505</v>
      </c>
      <c r="F983" t="s">
        <v>3039</v>
      </c>
      <c r="G983" t="s">
        <v>3040</v>
      </c>
    </row>
    <row r="984" spans="1:7">
      <c r="A984" t="s">
        <v>110</v>
      </c>
      <c r="B984" t="s">
        <v>463</v>
      </c>
      <c r="C984" t="s">
        <v>462</v>
      </c>
      <c r="D984">
        <v>1.9620599999999998E-2</v>
      </c>
      <c r="E984" t="s">
        <v>443</v>
      </c>
      <c r="F984" t="s">
        <v>464</v>
      </c>
      <c r="G984" t="s">
        <v>465</v>
      </c>
    </row>
    <row r="985" spans="1:7">
      <c r="A985" t="s">
        <v>110</v>
      </c>
      <c r="B985" t="s">
        <v>3046</v>
      </c>
      <c r="C985" t="s">
        <v>3045</v>
      </c>
      <c r="D985">
        <v>1.9366000000000001E-2</v>
      </c>
      <c r="E985" t="s">
        <v>505</v>
      </c>
      <c r="F985" t="s">
        <v>3047</v>
      </c>
      <c r="G985" t="s">
        <v>3048</v>
      </c>
    </row>
    <row r="986" spans="1:7">
      <c r="A986" t="s">
        <v>110</v>
      </c>
      <c r="B986" t="s">
        <v>459</v>
      </c>
      <c r="C986" t="s">
        <v>458</v>
      </c>
      <c r="D986">
        <v>1.9000400000000001E-2</v>
      </c>
      <c r="E986" t="s">
        <v>443</v>
      </c>
      <c r="F986" t="s">
        <v>460</v>
      </c>
      <c r="G986" t="s">
        <v>461</v>
      </c>
    </row>
    <row r="987" spans="1:7">
      <c r="A987" t="s">
        <v>110</v>
      </c>
      <c r="B987" t="s">
        <v>3062</v>
      </c>
      <c r="C987" t="s">
        <v>3061</v>
      </c>
      <c r="D987">
        <v>1.8919600000000002E-2</v>
      </c>
      <c r="E987" t="s">
        <v>489</v>
      </c>
      <c r="F987" t="s">
        <v>490</v>
      </c>
      <c r="G987" t="s">
        <v>490</v>
      </c>
    </row>
    <row r="988" spans="1:7">
      <c r="A988" t="s">
        <v>110</v>
      </c>
      <c r="B988" t="s">
        <v>3064</v>
      </c>
      <c r="C988" t="s">
        <v>3063</v>
      </c>
      <c r="D988">
        <v>1.8803199999999999E-2</v>
      </c>
      <c r="E988" t="s">
        <v>505</v>
      </c>
      <c r="F988" t="s">
        <v>3065</v>
      </c>
      <c r="G988" t="s">
        <v>3066</v>
      </c>
    </row>
    <row r="989" spans="1:7">
      <c r="A989" t="s">
        <v>110</v>
      </c>
      <c r="B989" t="s">
        <v>1187</v>
      </c>
      <c r="C989" t="s">
        <v>1186</v>
      </c>
      <c r="D989">
        <v>1.87545E-2</v>
      </c>
      <c r="E989" t="s">
        <v>443</v>
      </c>
      <c r="F989" t="s">
        <v>1188</v>
      </c>
      <c r="G989" t="s">
        <v>1189</v>
      </c>
    </row>
    <row r="990" spans="1:7">
      <c r="A990" t="s">
        <v>111</v>
      </c>
      <c r="B990" t="s">
        <v>504</v>
      </c>
      <c r="C990" t="s">
        <v>503</v>
      </c>
      <c r="D990">
        <v>5.1615599999999998E-2</v>
      </c>
      <c r="E990" t="s">
        <v>505</v>
      </c>
      <c r="F990" t="s">
        <v>506</v>
      </c>
      <c r="G990" t="s">
        <v>507</v>
      </c>
    </row>
    <row r="991" spans="1:7">
      <c r="A991" t="s">
        <v>111</v>
      </c>
      <c r="B991" t="s">
        <v>699</v>
      </c>
      <c r="C991" t="s">
        <v>698</v>
      </c>
      <c r="D991">
        <v>4.3392300000000002E-2</v>
      </c>
      <c r="E991" t="s">
        <v>505</v>
      </c>
      <c r="F991" t="s">
        <v>700</v>
      </c>
      <c r="G991" t="s">
        <v>701</v>
      </c>
    </row>
    <row r="992" spans="1:7">
      <c r="A992" t="s">
        <v>111</v>
      </c>
      <c r="B992" t="s">
        <v>557</v>
      </c>
      <c r="C992" t="s">
        <v>556</v>
      </c>
      <c r="D992">
        <v>4.0746600000000001E-2</v>
      </c>
      <c r="E992" t="s">
        <v>489</v>
      </c>
      <c r="F992" t="s">
        <v>490</v>
      </c>
      <c r="G992" t="s">
        <v>490</v>
      </c>
    </row>
    <row r="993" spans="1:7">
      <c r="A993" t="s">
        <v>111</v>
      </c>
      <c r="B993" t="s">
        <v>2360</v>
      </c>
      <c r="C993" t="s">
        <v>2359</v>
      </c>
      <c r="D993">
        <v>4.0076199999999999E-2</v>
      </c>
      <c r="E993" t="s">
        <v>489</v>
      </c>
      <c r="F993" t="s">
        <v>490</v>
      </c>
      <c r="G993" t="s">
        <v>490</v>
      </c>
    </row>
    <row r="994" spans="1:7">
      <c r="A994" t="s">
        <v>111</v>
      </c>
      <c r="B994" t="s">
        <v>1009</v>
      </c>
      <c r="C994" t="s">
        <v>1008</v>
      </c>
      <c r="D994">
        <v>3.9116397999999997E-2</v>
      </c>
      <c r="E994" t="s">
        <v>443</v>
      </c>
      <c r="F994" t="s">
        <v>1010</v>
      </c>
      <c r="G994" t="s">
        <v>1011</v>
      </c>
    </row>
    <row r="995" spans="1:7">
      <c r="A995" t="s">
        <v>111</v>
      </c>
      <c r="B995" t="s">
        <v>612</v>
      </c>
      <c r="C995" t="s">
        <v>611</v>
      </c>
      <c r="D995">
        <v>3.8802099999999999E-2</v>
      </c>
      <c r="E995" t="s">
        <v>613</v>
      </c>
      <c r="F995" t="s">
        <v>614</v>
      </c>
      <c r="G995" t="s">
        <v>615</v>
      </c>
    </row>
    <row r="996" spans="1:7">
      <c r="A996" t="s">
        <v>111</v>
      </c>
      <c r="B996" t="s">
        <v>721</v>
      </c>
      <c r="C996" t="s">
        <v>720</v>
      </c>
      <c r="D996">
        <v>3.8334600000000003E-2</v>
      </c>
      <c r="E996" t="s">
        <v>443</v>
      </c>
      <c r="F996" t="s">
        <v>722</v>
      </c>
      <c r="G996" t="s">
        <v>723</v>
      </c>
    </row>
    <row r="997" spans="1:7">
      <c r="A997" t="s">
        <v>111</v>
      </c>
      <c r="B997" t="s">
        <v>559</v>
      </c>
      <c r="C997" t="s">
        <v>558</v>
      </c>
      <c r="D997">
        <v>3.8230899999999998E-2</v>
      </c>
      <c r="E997" t="s">
        <v>505</v>
      </c>
      <c r="F997" t="s">
        <v>560</v>
      </c>
      <c r="G997" t="s">
        <v>561</v>
      </c>
    </row>
    <row r="998" spans="1:7">
      <c r="A998" t="s">
        <v>111</v>
      </c>
      <c r="B998" t="s">
        <v>945</v>
      </c>
      <c r="C998" t="s">
        <v>944</v>
      </c>
      <c r="D998">
        <v>3.7570699999999999E-2</v>
      </c>
      <c r="E998" t="s">
        <v>505</v>
      </c>
      <c r="F998" t="s">
        <v>946</v>
      </c>
      <c r="G998" t="s">
        <v>947</v>
      </c>
    </row>
    <row r="999" spans="1:7">
      <c r="A999" t="s">
        <v>111</v>
      </c>
      <c r="B999" t="s">
        <v>2472</v>
      </c>
      <c r="C999" t="s">
        <v>2471</v>
      </c>
      <c r="D999">
        <v>3.74892E-2</v>
      </c>
      <c r="E999" t="s">
        <v>489</v>
      </c>
      <c r="F999" t="s">
        <v>490</v>
      </c>
      <c r="G999" t="s">
        <v>490</v>
      </c>
    </row>
    <row r="1000" spans="1:7">
      <c r="A1000" t="s">
        <v>112</v>
      </c>
      <c r="B1000" t="s">
        <v>451</v>
      </c>
      <c r="C1000" t="s">
        <v>450</v>
      </c>
      <c r="D1000">
        <v>7.5568399999999994E-2</v>
      </c>
      <c r="E1000" t="s">
        <v>443</v>
      </c>
      <c r="F1000" t="s">
        <v>452</v>
      </c>
      <c r="G1000" t="s">
        <v>453</v>
      </c>
    </row>
    <row r="1001" spans="1:7">
      <c r="A1001" t="s">
        <v>112</v>
      </c>
      <c r="B1001" t="s">
        <v>447</v>
      </c>
      <c r="C1001" t="s">
        <v>446</v>
      </c>
      <c r="D1001">
        <v>7.1664900000000004E-2</v>
      </c>
      <c r="E1001" t="s">
        <v>443</v>
      </c>
      <c r="F1001" t="s">
        <v>448</v>
      </c>
      <c r="G1001" t="s">
        <v>449</v>
      </c>
    </row>
    <row r="1002" spans="1:7">
      <c r="A1002" t="s">
        <v>112</v>
      </c>
      <c r="B1002" t="s">
        <v>455</v>
      </c>
      <c r="C1002" t="s">
        <v>454</v>
      </c>
      <c r="D1002">
        <v>4.7731999999999997E-2</v>
      </c>
      <c r="E1002" t="s">
        <v>443</v>
      </c>
      <c r="F1002" t="s">
        <v>456</v>
      </c>
      <c r="G1002" t="s">
        <v>457</v>
      </c>
    </row>
    <row r="1003" spans="1:7">
      <c r="A1003" t="s">
        <v>112</v>
      </c>
      <c r="B1003" t="s">
        <v>459</v>
      </c>
      <c r="C1003" t="s">
        <v>458</v>
      </c>
      <c r="D1003">
        <v>4.5369E-2</v>
      </c>
      <c r="E1003" t="s">
        <v>443</v>
      </c>
      <c r="F1003" t="s">
        <v>460</v>
      </c>
      <c r="G1003" t="s">
        <v>461</v>
      </c>
    </row>
    <row r="1004" spans="1:7">
      <c r="A1004" t="s">
        <v>112</v>
      </c>
      <c r="B1004" t="s">
        <v>475</v>
      </c>
      <c r="C1004" t="s">
        <v>474</v>
      </c>
      <c r="D1004">
        <v>4.4470500000000003E-2</v>
      </c>
      <c r="E1004" t="s">
        <v>443</v>
      </c>
      <c r="F1004" t="s">
        <v>476</v>
      </c>
      <c r="G1004" t="s">
        <v>477</v>
      </c>
    </row>
    <row r="1005" spans="1:7">
      <c r="A1005" t="s">
        <v>112</v>
      </c>
      <c r="B1005" t="s">
        <v>463</v>
      </c>
      <c r="C1005" t="s">
        <v>462</v>
      </c>
      <c r="D1005">
        <v>4.3571199999999997E-2</v>
      </c>
      <c r="E1005" t="s">
        <v>443</v>
      </c>
      <c r="F1005" t="s">
        <v>464</v>
      </c>
      <c r="G1005" t="s">
        <v>465</v>
      </c>
    </row>
    <row r="1006" spans="1:7">
      <c r="A1006" t="s">
        <v>112</v>
      </c>
      <c r="B1006" t="s">
        <v>488</v>
      </c>
      <c r="C1006" t="s">
        <v>487</v>
      </c>
      <c r="D1006">
        <v>4.2821697999999998E-2</v>
      </c>
      <c r="E1006" t="s">
        <v>489</v>
      </c>
      <c r="F1006" t="s">
        <v>490</v>
      </c>
      <c r="G1006" t="s">
        <v>490</v>
      </c>
    </row>
    <row r="1007" spans="1:7">
      <c r="A1007" t="s">
        <v>112</v>
      </c>
      <c r="B1007" t="s">
        <v>442</v>
      </c>
      <c r="C1007" t="s">
        <v>441</v>
      </c>
      <c r="D1007">
        <v>4.19748E-2</v>
      </c>
      <c r="E1007" t="s">
        <v>443</v>
      </c>
      <c r="F1007" t="s">
        <v>444</v>
      </c>
      <c r="G1007" t="s">
        <v>445</v>
      </c>
    </row>
    <row r="1008" spans="1:7">
      <c r="A1008" t="s">
        <v>112</v>
      </c>
      <c r="B1008" t="s">
        <v>467</v>
      </c>
      <c r="C1008" t="s">
        <v>466</v>
      </c>
      <c r="D1008">
        <v>4.0184600000000001E-2</v>
      </c>
      <c r="E1008" t="s">
        <v>443</v>
      </c>
      <c r="F1008" t="s">
        <v>468</v>
      </c>
      <c r="G1008" t="s">
        <v>469</v>
      </c>
    </row>
    <row r="1009" spans="1:7">
      <c r="A1009" t="s">
        <v>112</v>
      </c>
      <c r="B1009" t="s">
        <v>521</v>
      </c>
      <c r="C1009" t="s">
        <v>520</v>
      </c>
      <c r="D1009">
        <v>3.9541800000000002E-2</v>
      </c>
      <c r="E1009" t="s">
        <v>505</v>
      </c>
      <c r="F1009" t="s">
        <v>522</v>
      </c>
      <c r="G1009" t="s">
        <v>523</v>
      </c>
    </row>
    <row r="1010" spans="1:7">
      <c r="A1010" t="s">
        <v>113</v>
      </c>
      <c r="B1010" t="s">
        <v>622</v>
      </c>
      <c r="C1010" t="s">
        <v>621</v>
      </c>
      <c r="D1010">
        <v>0.19427179</v>
      </c>
      <c r="E1010" t="s">
        <v>623</v>
      </c>
      <c r="F1010" t="s">
        <v>624</v>
      </c>
      <c r="G1010" t="s">
        <v>625</v>
      </c>
    </row>
    <row r="1011" spans="1:7">
      <c r="A1011" t="s">
        <v>113</v>
      </c>
      <c r="B1011" t="s">
        <v>737</v>
      </c>
      <c r="C1011" t="s">
        <v>736</v>
      </c>
      <c r="D1011">
        <v>0.10215259</v>
      </c>
      <c r="E1011" t="s">
        <v>505</v>
      </c>
      <c r="F1011" t="s">
        <v>738</v>
      </c>
      <c r="G1011" t="s">
        <v>739</v>
      </c>
    </row>
    <row r="1012" spans="1:7">
      <c r="A1012" t="s">
        <v>113</v>
      </c>
      <c r="B1012" t="s">
        <v>549</v>
      </c>
      <c r="C1012" t="s">
        <v>548</v>
      </c>
      <c r="D1012">
        <v>8.1085790000000005E-2</v>
      </c>
      <c r="E1012" t="s">
        <v>505</v>
      </c>
      <c r="F1012" t="s">
        <v>550</v>
      </c>
      <c r="G1012" t="s">
        <v>551</v>
      </c>
    </row>
    <row r="1013" spans="1:7">
      <c r="A1013" t="s">
        <v>113</v>
      </c>
      <c r="B1013" t="s">
        <v>1059</v>
      </c>
      <c r="C1013" t="s">
        <v>1058</v>
      </c>
      <c r="D1013">
        <v>5.60118E-2</v>
      </c>
      <c r="E1013" t="s">
        <v>505</v>
      </c>
      <c r="F1013" t="s">
        <v>1060</v>
      </c>
      <c r="G1013" t="s">
        <v>1061</v>
      </c>
    </row>
    <row r="1014" spans="1:7">
      <c r="A1014" t="s">
        <v>113</v>
      </c>
      <c r="B1014" t="s">
        <v>663</v>
      </c>
      <c r="C1014" t="s">
        <v>662</v>
      </c>
      <c r="D1014">
        <v>4.8332899999999998E-2</v>
      </c>
      <c r="E1014" t="s">
        <v>505</v>
      </c>
      <c r="F1014" t="s">
        <v>664</v>
      </c>
      <c r="G1014" t="s">
        <v>665</v>
      </c>
    </row>
    <row r="1015" spans="1:7">
      <c r="A1015" t="s">
        <v>113</v>
      </c>
      <c r="B1015" t="s">
        <v>810</v>
      </c>
      <c r="C1015" t="s">
        <v>809</v>
      </c>
      <c r="D1015">
        <v>4.3409299999999998E-2</v>
      </c>
      <c r="E1015" t="s">
        <v>505</v>
      </c>
      <c r="F1015" t="s">
        <v>811</v>
      </c>
      <c r="G1015" t="s">
        <v>812</v>
      </c>
    </row>
    <row r="1016" spans="1:7">
      <c r="A1016" t="s">
        <v>113</v>
      </c>
      <c r="B1016" t="s">
        <v>703</v>
      </c>
      <c r="C1016" t="s">
        <v>702</v>
      </c>
      <c r="D1016">
        <v>3.7804699999999997E-2</v>
      </c>
      <c r="E1016" t="s">
        <v>489</v>
      </c>
      <c r="F1016" t="s">
        <v>490</v>
      </c>
      <c r="G1016" t="s">
        <v>490</v>
      </c>
    </row>
    <row r="1017" spans="1:7">
      <c r="A1017" t="s">
        <v>113</v>
      </c>
      <c r="B1017" t="s">
        <v>2468</v>
      </c>
      <c r="C1017" t="s">
        <v>2467</v>
      </c>
      <c r="D1017">
        <v>3.7524500000000002E-2</v>
      </c>
      <c r="E1017" t="s">
        <v>443</v>
      </c>
      <c r="F1017" t="s">
        <v>2469</v>
      </c>
      <c r="G1017" t="s">
        <v>2470</v>
      </c>
    </row>
    <row r="1018" spans="1:7">
      <c r="A1018" t="s">
        <v>113</v>
      </c>
      <c r="B1018" t="s">
        <v>1113</v>
      </c>
      <c r="C1018" t="s">
        <v>1112</v>
      </c>
      <c r="D1018">
        <v>3.6061500000000003E-2</v>
      </c>
      <c r="E1018" t="s">
        <v>505</v>
      </c>
      <c r="F1018" t="s">
        <v>1114</v>
      </c>
      <c r="G1018" t="s">
        <v>1115</v>
      </c>
    </row>
    <row r="1019" spans="1:7">
      <c r="A1019" t="s">
        <v>113</v>
      </c>
      <c r="B1019" t="s">
        <v>1101</v>
      </c>
      <c r="C1019" t="s">
        <v>1100</v>
      </c>
      <c r="D1019">
        <v>2.4702200000000001E-2</v>
      </c>
      <c r="E1019" t="s">
        <v>505</v>
      </c>
      <c r="F1019" t="s">
        <v>1102</v>
      </c>
      <c r="G1019" t="s">
        <v>1103</v>
      </c>
    </row>
    <row r="1020" spans="1:7">
      <c r="A1020" t="s">
        <v>114</v>
      </c>
      <c r="B1020" t="s">
        <v>488</v>
      </c>
      <c r="C1020" t="s">
        <v>487</v>
      </c>
      <c r="D1020">
        <v>0.14960380000000001</v>
      </c>
      <c r="E1020" t="s">
        <v>489</v>
      </c>
      <c r="F1020" t="s">
        <v>490</v>
      </c>
      <c r="G1020" t="s">
        <v>490</v>
      </c>
    </row>
    <row r="1021" spans="1:7">
      <c r="A1021" t="s">
        <v>114</v>
      </c>
      <c r="B1021" t="s">
        <v>442</v>
      </c>
      <c r="C1021" t="s">
        <v>441</v>
      </c>
      <c r="D1021">
        <v>0.12530330000000001</v>
      </c>
      <c r="E1021" t="s">
        <v>443</v>
      </c>
      <c r="F1021" t="s">
        <v>444</v>
      </c>
      <c r="G1021" t="s">
        <v>445</v>
      </c>
    </row>
    <row r="1022" spans="1:7">
      <c r="A1022" t="s">
        <v>114</v>
      </c>
      <c r="B1022" t="s">
        <v>447</v>
      </c>
      <c r="C1022" t="s">
        <v>446</v>
      </c>
      <c r="D1022">
        <v>6.0132600000000001E-2</v>
      </c>
      <c r="E1022" t="s">
        <v>443</v>
      </c>
      <c r="F1022" t="s">
        <v>448</v>
      </c>
      <c r="G1022" t="s">
        <v>449</v>
      </c>
    </row>
    <row r="1023" spans="1:7">
      <c r="A1023" t="s">
        <v>114</v>
      </c>
      <c r="B1023" t="s">
        <v>455</v>
      </c>
      <c r="C1023" t="s">
        <v>454</v>
      </c>
      <c r="D1023">
        <v>6.00025E-2</v>
      </c>
      <c r="E1023" t="s">
        <v>443</v>
      </c>
      <c r="F1023" t="s">
        <v>456</v>
      </c>
      <c r="G1023" t="s">
        <v>457</v>
      </c>
    </row>
    <row r="1024" spans="1:7">
      <c r="A1024" t="s">
        <v>114</v>
      </c>
      <c r="B1024" t="s">
        <v>459</v>
      </c>
      <c r="C1024" t="s">
        <v>458</v>
      </c>
      <c r="D1024">
        <v>4.9933199999999997E-2</v>
      </c>
      <c r="E1024" t="s">
        <v>443</v>
      </c>
      <c r="F1024" t="s">
        <v>460</v>
      </c>
      <c r="G1024" t="s">
        <v>461</v>
      </c>
    </row>
    <row r="1025" spans="1:7">
      <c r="A1025" t="s">
        <v>114</v>
      </c>
      <c r="B1025" t="s">
        <v>517</v>
      </c>
      <c r="C1025" t="s">
        <v>516</v>
      </c>
      <c r="D1025">
        <v>4.3220500000000002E-2</v>
      </c>
      <c r="E1025" t="s">
        <v>443</v>
      </c>
      <c r="F1025" t="s">
        <v>518</v>
      </c>
      <c r="G1025" t="s">
        <v>519</v>
      </c>
    </row>
    <row r="1026" spans="1:7">
      <c r="A1026" t="s">
        <v>114</v>
      </c>
      <c r="B1026" t="s">
        <v>541</v>
      </c>
      <c r="C1026" t="s">
        <v>540</v>
      </c>
      <c r="D1026">
        <v>4.03197E-2</v>
      </c>
      <c r="E1026" t="s">
        <v>443</v>
      </c>
      <c r="F1026" t="s">
        <v>542</v>
      </c>
      <c r="G1026" t="s">
        <v>543</v>
      </c>
    </row>
    <row r="1027" spans="1:7">
      <c r="A1027" t="s">
        <v>114</v>
      </c>
      <c r="B1027" t="s">
        <v>617</v>
      </c>
      <c r="C1027" t="s">
        <v>616</v>
      </c>
      <c r="D1027">
        <v>3.4474897999999997E-2</v>
      </c>
      <c r="E1027" t="s">
        <v>618</v>
      </c>
      <c r="F1027" t="s">
        <v>619</v>
      </c>
      <c r="G1027" t="s">
        <v>620</v>
      </c>
    </row>
    <row r="1028" spans="1:7">
      <c r="A1028" t="s">
        <v>114</v>
      </c>
      <c r="B1028" t="s">
        <v>467</v>
      </c>
      <c r="C1028" t="s">
        <v>466</v>
      </c>
      <c r="D1028">
        <v>3.2679100000000003E-2</v>
      </c>
      <c r="E1028" t="s">
        <v>443</v>
      </c>
      <c r="F1028" t="s">
        <v>468</v>
      </c>
      <c r="G1028" t="s">
        <v>469</v>
      </c>
    </row>
    <row r="1029" spans="1:7">
      <c r="A1029" t="s">
        <v>114</v>
      </c>
      <c r="B1029" t="s">
        <v>713</v>
      </c>
      <c r="C1029" t="s">
        <v>712</v>
      </c>
      <c r="D1029">
        <v>2.85971E-2</v>
      </c>
      <c r="E1029" t="s">
        <v>443</v>
      </c>
      <c r="F1029" t="s">
        <v>714</v>
      </c>
      <c r="G1029" t="s">
        <v>715</v>
      </c>
    </row>
    <row r="1030" spans="1:7">
      <c r="A1030" t="s">
        <v>115</v>
      </c>
      <c r="B1030" t="s">
        <v>488</v>
      </c>
      <c r="C1030" t="s">
        <v>487</v>
      </c>
      <c r="D1030">
        <v>0.1089745</v>
      </c>
      <c r="E1030" t="s">
        <v>489</v>
      </c>
      <c r="F1030" t="s">
        <v>490</v>
      </c>
      <c r="G1030" t="s">
        <v>490</v>
      </c>
    </row>
    <row r="1031" spans="1:7">
      <c r="A1031" t="s">
        <v>115</v>
      </c>
      <c r="B1031" t="s">
        <v>459</v>
      </c>
      <c r="C1031" t="s">
        <v>458</v>
      </c>
      <c r="D1031">
        <v>0.10624561</v>
      </c>
      <c r="E1031" t="s">
        <v>443</v>
      </c>
      <c r="F1031" t="s">
        <v>460</v>
      </c>
      <c r="G1031" t="s">
        <v>461</v>
      </c>
    </row>
    <row r="1032" spans="1:7">
      <c r="A1032" t="s">
        <v>115</v>
      </c>
      <c r="B1032" t="s">
        <v>521</v>
      </c>
      <c r="C1032" t="s">
        <v>520</v>
      </c>
      <c r="D1032">
        <v>8.6716995000000005E-2</v>
      </c>
      <c r="E1032" t="s">
        <v>505</v>
      </c>
      <c r="F1032" t="s">
        <v>522</v>
      </c>
      <c r="G1032" t="s">
        <v>523</v>
      </c>
    </row>
    <row r="1033" spans="1:7">
      <c r="A1033" t="s">
        <v>115</v>
      </c>
      <c r="B1033" t="s">
        <v>455</v>
      </c>
      <c r="C1033" t="s">
        <v>454</v>
      </c>
      <c r="D1033">
        <v>8.5252700000000001E-2</v>
      </c>
      <c r="E1033" t="s">
        <v>443</v>
      </c>
      <c r="F1033" t="s">
        <v>456</v>
      </c>
      <c r="G1033" t="s">
        <v>457</v>
      </c>
    </row>
    <row r="1034" spans="1:7">
      <c r="A1034" t="s">
        <v>115</v>
      </c>
      <c r="B1034" t="s">
        <v>535</v>
      </c>
      <c r="C1034" t="s">
        <v>534</v>
      </c>
      <c r="D1034">
        <v>6.0524000000000001E-2</v>
      </c>
      <c r="E1034" t="s">
        <v>443</v>
      </c>
      <c r="F1034" t="s">
        <v>536</v>
      </c>
      <c r="G1034" t="s">
        <v>537</v>
      </c>
    </row>
    <row r="1035" spans="1:7">
      <c r="A1035" t="s">
        <v>115</v>
      </c>
      <c r="B1035" t="s">
        <v>1078</v>
      </c>
      <c r="C1035" t="s">
        <v>1077</v>
      </c>
      <c r="D1035">
        <v>4.9195999999999997E-2</v>
      </c>
      <c r="E1035" t="s">
        <v>505</v>
      </c>
      <c r="F1035" t="s">
        <v>1079</v>
      </c>
      <c r="G1035" t="s">
        <v>1080</v>
      </c>
    </row>
    <row r="1036" spans="1:7">
      <c r="A1036" t="s">
        <v>115</v>
      </c>
      <c r="B1036" t="s">
        <v>1965</v>
      </c>
      <c r="C1036" t="s">
        <v>1964</v>
      </c>
      <c r="D1036">
        <v>4.8838302E-2</v>
      </c>
      <c r="E1036" t="s">
        <v>505</v>
      </c>
      <c r="F1036" t="s">
        <v>1966</v>
      </c>
      <c r="G1036" t="s">
        <v>1967</v>
      </c>
    </row>
    <row r="1037" spans="1:7">
      <c r="A1037" t="s">
        <v>115</v>
      </c>
      <c r="B1037" t="s">
        <v>545</v>
      </c>
      <c r="C1037" t="s">
        <v>544</v>
      </c>
      <c r="D1037">
        <v>3.83253E-2</v>
      </c>
      <c r="E1037" t="s">
        <v>505</v>
      </c>
      <c r="F1037" t="s">
        <v>546</v>
      </c>
      <c r="G1037" t="s">
        <v>547</v>
      </c>
    </row>
    <row r="1038" spans="1:7">
      <c r="A1038" t="s">
        <v>115</v>
      </c>
      <c r="B1038" t="s">
        <v>617</v>
      </c>
      <c r="C1038" t="s">
        <v>616</v>
      </c>
      <c r="D1038">
        <v>3.7934299999999997E-2</v>
      </c>
      <c r="E1038" t="s">
        <v>618</v>
      </c>
      <c r="F1038" t="s">
        <v>619</v>
      </c>
      <c r="G1038" t="s">
        <v>620</v>
      </c>
    </row>
    <row r="1039" spans="1:7">
      <c r="A1039" t="s">
        <v>115</v>
      </c>
      <c r="B1039" t="s">
        <v>451</v>
      </c>
      <c r="C1039" t="s">
        <v>450</v>
      </c>
      <c r="D1039">
        <v>3.6755099999999999E-2</v>
      </c>
      <c r="E1039" t="s">
        <v>443</v>
      </c>
      <c r="F1039" t="s">
        <v>452</v>
      </c>
      <c r="G1039" t="s">
        <v>453</v>
      </c>
    </row>
    <row r="1040" spans="1:7">
      <c r="A1040" t="s">
        <v>116</v>
      </c>
      <c r="B1040" t="s">
        <v>2140</v>
      </c>
      <c r="C1040" t="s">
        <v>2139</v>
      </c>
      <c r="D1040">
        <v>4.4302000000000001E-2</v>
      </c>
      <c r="E1040" t="s">
        <v>1329</v>
      </c>
      <c r="F1040" t="s">
        <v>2141</v>
      </c>
      <c r="G1040" t="s">
        <v>2142</v>
      </c>
    </row>
    <row r="1041" spans="1:7">
      <c r="A1041" t="s">
        <v>116</v>
      </c>
      <c r="B1041" t="s">
        <v>2249</v>
      </c>
      <c r="C1041" t="s">
        <v>2248</v>
      </c>
      <c r="D1041">
        <v>4.2190097000000003E-2</v>
      </c>
      <c r="E1041" t="s">
        <v>1329</v>
      </c>
      <c r="F1041" t="s">
        <v>2250</v>
      </c>
      <c r="G1041" t="s">
        <v>2251</v>
      </c>
    </row>
    <row r="1042" spans="1:7">
      <c r="A1042" t="s">
        <v>116</v>
      </c>
      <c r="B1042" t="s">
        <v>2307</v>
      </c>
      <c r="C1042" t="s">
        <v>2306</v>
      </c>
      <c r="D1042">
        <v>4.1252799999999999E-2</v>
      </c>
      <c r="E1042" t="s">
        <v>1329</v>
      </c>
      <c r="F1042" t="s">
        <v>2308</v>
      </c>
      <c r="G1042" t="s">
        <v>2309</v>
      </c>
    </row>
    <row r="1043" spans="1:7">
      <c r="A1043" t="s">
        <v>116</v>
      </c>
      <c r="B1043" t="s">
        <v>2678</v>
      </c>
      <c r="C1043" t="s">
        <v>2677</v>
      </c>
      <c r="D1043">
        <v>3.1216199E-2</v>
      </c>
      <c r="E1043" t="s">
        <v>1329</v>
      </c>
      <c r="F1043" t="s">
        <v>2679</v>
      </c>
      <c r="G1043" t="s">
        <v>2680</v>
      </c>
    </row>
    <row r="1044" spans="1:7">
      <c r="A1044" t="s">
        <v>116</v>
      </c>
      <c r="B1044" t="s">
        <v>2682</v>
      </c>
      <c r="C1044" t="s">
        <v>2681</v>
      </c>
      <c r="D1044">
        <v>3.1014799999999999E-2</v>
      </c>
      <c r="E1044" t="s">
        <v>1028</v>
      </c>
      <c r="F1044" t="s">
        <v>2683</v>
      </c>
      <c r="G1044" t="s">
        <v>2684</v>
      </c>
    </row>
    <row r="1045" spans="1:7">
      <c r="A1045" t="s">
        <v>116</v>
      </c>
      <c r="B1045" t="s">
        <v>2700</v>
      </c>
      <c r="C1045" t="s">
        <v>2699</v>
      </c>
      <c r="D1045">
        <v>3.07973E-2</v>
      </c>
      <c r="E1045" t="s">
        <v>1028</v>
      </c>
      <c r="F1045" t="s">
        <v>2701</v>
      </c>
      <c r="G1045" t="s">
        <v>2702</v>
      </c>
    </row>
    <row r="1046" spans="1:7">
      <c r="A1046" t="s">
        <v>116</v>
      </c>
      <c r="B1046" t="s">
        <v>2717</v>
      </c>
      <c r="C1046" t="s">
        <v>2716</v>
      </c>
      <c r="D1046">
        <v>3.02955E-2</v>
      </c>
      <c r="E1046" t="s">
        <v>1028</v>
      </c>
      <c r="F1046" t="s">
        <v>2718</v>
      </c>
      <c r="G1046" t="s">
        <v>2719</v>
      </c>
    </row>
    <row r="1047" spans="1:7">
      <c r="A1047" t="s">
        <v>116</v>
      </c>
      <c r="B1047" t="s">
        <v>2721</v>
      </c>
      <c r="C1047" t="s">
        <v>2720</v>
      </c>
      <c r="D1047">
        <v>3.0294001000000001E-2</v>
      </c>
      <c r="E1047" t="s">
        <v>489</v>
      </c>
      <c r="F1047" t="s">
        <v>490</v>
      </c>
      <c r="G1047" t="s">
        <v>490</v>
      </c>
    </row>
    <row r="1048" spans="1:7">
      <c r="A1048" t="s">
        <v>116</v>
      </c>
      <c r="B1048" t="s">
        <v>2731</v>
      </c>
      <c r="C1048" t="s">
        <v>2730</v>
      </c>
      <c r="D1048">
        <v>3.02387E-2</v>
      </c>
      <c r="E1048" t="s">
        <v>1028</v>
      </c>
      <c r="F1048" t="s">
        <v>2732</v>
      </c>
      <c r="G1048" t="s">
        <v>2733</v>
      </c>
    </row>
    <row r="1049" spans="1:7">
      <c r="A1049" t="s">
        <v>116</v>
      </c>
      <c r="B1049" t="s">
        <v>2752</v>
      </c>
      <c r="C1049" t="s">
        <v>2751</v>
      </c>
      <c r="D1049">
        <v>2.9794899999999999E-2</v>
      </c>
      <c r="E1049" t="s">
        <v>1028</v>
      </c>
      <c r="F1049" t="s">
        <v>2753</v>
      </c>
      <c r="G1049" t="s">
        <v>2754</v>
      </c>
    </row>
    <row r="1050" spans="1:7">
      <c r="A1050" t="s">
        <v>117</v>
      </c>
      <c r="B1050" t="s">
        <v>949</v>
      </c>
      <c r="C1050" t="s">
        <v>948</v>
      </c>
      <c r="D1050">
        <v>0.18474930000000001</v>
      </c>
      <c r="E1050" t="s">
        <v>484</v>
      </c>
      <c r="F1050" t="s">
        <v>950</v>
      </c>
      <c r="G1050" t="s">
        <v>951</v>
      </c>
    </row>
    <row r="1051" spans="1:7">
      <c r="A1051" t="s">
        <v>117</v>
      </c>
      <c r="B1051" t="s">
        <v>1237</v>
      </c>
      <c r="C1051" t="s">
        <v>1236</v>
      </c>
      <c r="D1051">
        <v>0.16874430000000001</v>
      </c>
      <c r="E1051" t="s">
        <v>484</v>
      </c>
      <c r="F1051" t="s">
        <v>1238</v>
      </c>
      <c r="G1051" t="s">
        <v>1239</v>
      </c>
    </row>
    <row r="1052" spans="1:7">
      <c r="A1052" t="s">
        <v>117</v>
      </c>
      <c r="B1052" t="s">
        <v>1345</v>
      </c>
      <c r="C1052" t="s">
        <v>1344</v>
      </c>
      <c r="D1052">
        <v>5.8015400000000002E-2</v>
      </c>
      <c r="E1052" t="s">
        <v>484</v>
      </c>
      <c r="F1052" t="s">
        <v>1346</v>
      </c>
      <c r="G1052" t="s">
        <v>1347</v>
      </c>
    </row>
    <row r="1053" spans="1:7">
      <c r="A1053" t="s">
        <v>117</v>
      </c>
      <c r="B1053" t="s">
        <v>1515</v>
      </c>
      <c r="C1053" t="s">
        <v>1514</v>
      </c>
      <c r="D1053">
        <v>4.7397397000000001E-2</v>
      </c>
      <c r="E1053" t="s">
        <v>484</v>
      </c>
      <c r="F1053" t="s">
        <v>1516</v>
      </c>
      <c r="G1053" t="s">
        <v>1517</v>
      </c>
    </row>
    <row r="1054" spans="1:7">
      <c r="A1054" t="s">
        <v>117</v>
      </c>
      <c r="B1054" t="s">
        <v>1324</v>
      </c>
      <c r="C1054" t="s">
        <v>1323</v>
      </c>
      <c r="D1054">
        <v>4.5229400000000003E-2</v>
      </c>
      <c r="E1054" t="s">
        <v>484</v>
      </c>
      <c r="F1054" t="s">
        <v>1325</v>
      </c>
      <c r="G1054" t="s">
        <v>1326</v>
      </c>
    </row>
    <row r="1055" spans="1:7">
      <c r="A1055" t="s">
        <v>117</v>
      </c>
      <c r="B1055" t="s">
        <v>2124</v>
      </c>
      <c r="C1055" t="s">
        <v>2123</v>
      </c>
      <c r="D1055">
        <v>4.4758501999999999E-2</v>
      </c>
      <c r="E1055" t="s">
        <v>484</v>
      </c>
      <c r="F1055" t="s">
        <v>2125</v>
      </c>
      <c r="G1055" t="s">
        <v>2126</v>
      </c>
    </row>
    <row r="1056" spans="1:7">
      <c r="A1056" t="s">
        <v>117</v>
      </c>
      <c r="B1056" t="s">
        <v>2324</v>
      </c>
      <c r="C1056" t="s">
        <v>2323</v>
      </c>
      <c r="D1056">
        <v>4.0945500000000003E-2</v>
      </c>
      <c r="E1056" t="s">
        <v>484</v>
      </c>
      <c r="F1056" t="s">
        <v>2325</v>
      </c>
      <c r="G1056" t="s">
        <v>2326</v>
      </c>
    </row>
    <row r="1057" spans="1:7">
      <c r="A1057" t="s">
        <v>117</v>
      </c>
      <c r="B1057" t="s">
        <v>1387</v>
      </c>
      <c r="C1057" t="s">
        <v>1386</v>
      </c>
      <c r="D1057">
        <v>4.0731903E-2</v>
      </c>
      <c r="E1057" t="s">
        <v>484</v>
      </c>
      <c r="F1057" t="s">
        <v>1388</v>
      </c>
      <c r="G1057" t="s">
        <v>1389</v>
      </c>
    </row>
    <row r="1058" spans="1:7">
      <c r="A1058" t="s">
        <v>117</v>
      </c>
      <c r="B1058" t="s">
        <v>2385</v>
      </c>
      <c r="C1058" t="s">
        <v>2384</v>
      </c>
      <c r="D1058">
        <v>3.9587700000000003E-2</v>
      </c>
      <c r="E1058" t="s">
        <v>484</v>
      </c>
      <c r="F1058" t="s">
        <v>2386</v>
      </c>
      <c r="G1058" t="s">
        <v>2387</v>
      </c>
    </row>
    <row r="1059" spans="1:7">
      <c r="A1059" t="s">
        <v>117</v>
      </c>
      <c r="B1059" t="s">
        <v>2522</v>
      </c>
      <c r="C1059" t="s">
        <v>2521</v>
      </c>
      <c r="D1059">
        <v>3.5954300000000002E-2</v>
      </c>
      <c r="E1059" t="s">
        <v>1143</v>
      </c>
      <c r="F1059" t="s">
        <v>490</v>
      </c>
      <c r="G1059" t="s">
        <v>2523</v>
      </c>
    </row>
    <row r="1060" spans="1:7">
      <c r="A1060" t="s">
        <v>118</v>
      </c>
      <c r="B1060" t="s">
        <v>1694</v>
      </c>
      <c r="C1060" t="s">
        <v>1693</v>
      </c>
      <c r="D1060">
        <v>8.2572699999999999E-2</v>
      </c>
      <c r="E1060" t="s">
        <v>845</v>
      </c>
      <c r="F1060" t="s">
        <v>1695</v>
      </c>
      <c r="G1060" t="s">
        <v>1696</v>
      </c>
    </row>
    <row r="1061" spans="1:7">
      <c r="A1061" t="s">
        <v>118</v>
      </c>
      <c r="B1061" t="s">
        <v>1710</v>
      </c>
      <c r="C1061" t="s">
        <v>1709</v>
      </c>
      <c r="D1061">
        <v>7.7273300000000003E-2</v>
      </c>
      <c r="E1061" t="s">
        <v>489</v>
      </c>
      <c r="F1061" t="s">
        <v>490</v>
      </c>
      <c r="G1061" t="s">
        <v>490</v>
      </c>
    </row>
    <row r="1062" spans="1:7">
      <c r="A1062" t="s">
        <v>118</v>
      </c>
      <c r="B1062" t="s">
        <v>1328</v>
      </c>
      <c r="C1062" t="s">
        <v>1327</v>
      </c>
      <c r="D1062">
        <v>7.2540103999999994E-2</v>
      </c>
      <c r="E1062" t="s">
        <v>1329</v>
      </c>
      <c r="F1062" t="s">
        <v>1330</v>
      </c>
      <c r="G1062" t="s">
        <v>1331</v>
      </c>
    </row>
    <row r="1063" spans="1:7">
      <c r="A1063" t="s">
        <v>118</v>
      </c>
      <c r="B1063" t="s">
        <v>1732</v>
      </c>
      <c r="C1063" t="s">
        <v>1731</v>
      </c>
      <c r="D1063">
        <v>7.2109900000000005E-2</v>
      </c>
      <c r="E1063" t="s">
        <v>845</v>
      </c>
      <c r="F1063" t="s">
        <v>1733</v>
      </c>
      <c r="G1063" t="s">
        <v>1734</v>
      </c>
    </row>
    <row r="1064" spans="1:7">
      <c r="A1064" t="s">
        <v>118</v>
      </c>
      <c r="B1064" t="s">
        <v>1740</v>
      </c>
      <c r="C1064" t="s">
        <v>1739</v>
      </c>
      <c r="D1064">
        <v>7.1290396000000006E-2</v>
      </c>
      <c r="E1064" t="s">
        <v>489</v>
      </c>
      <c r="F1064" t="s">
        <v>490</v>
      </c>
      <c r="G1064" t="s">
        <v>490</v>
      </c>
    </row>
    <row r="1065" spans="1:7">
      <c r="A1065" t="s">
        <v>118</v>
      </c>
      <c r="B1065" t="s">
        <v>1027</v>
      </c>
      <c r="C1065" t="s">
        <v>1026</v>
      </c>
      <c r="D1065">
        <v>4.9522801999999998E-2</v>
      </c>
      <c r="E1065" t="s">
        <v>1028</v>
      </c>
      <c r="F1065" t="s">
        <v>1029</v>
      </c>
      <c r="G1065" t="s">
        <v>1030</v>
      </c>
    </row>
    <row r="1066" spans="1:7">
      <c r="A1066" t="s">
        <v>118</v>
      </c>
      <c r="B1066" t="s">
        <v>2022</v>
      </c>
      <c r="C1066" t="s">
        <v>2021</v>
      </c>
      <c r="D1066">
        <v>4.7138600000000003E-2</v>
      </c>
      <c r="E1066" t="s">
        <v>845</v>
      </c>
      <c r="F1066" t="s">
        <v>2023</v>
      </c>
      <c r="G1066" t="s">
        <v>2024</v>
      </c>
    </row>
    <row r="1067" spans="1:7">
      <c r="A1067" t="s">
        <v>118</v>
      </c>
      <c r="B1067" t="s">
        <v>2217</v>
      </c>
      <c r="C1067" t="s">
        <v>2216</v>
      </c>
      <c r="D1067">
        <v>4.2929202E-2</v>
      </c>
      <c r="E1067" t="s">
        <v>845</v>
      </c>
      <c r="F1067" t="s">
        <v>2218</v>
      </c>
      <c r="G1067" t="s">
        <v>2219</v>
      </c>
    </row>
    <row r="1068" spans="1:7">
      <c r="A1068" t="s">
        <v>118</v>
      </c>
      <c r="B1068" t="s">
        <v>2619</v>
      </c>
      <c r="C1068" t="s">
        <v>2618</v>
      </c>
      <c r="D1068">
        <v>3.36838E-2</v>
      </c>
      <c r="E1068" t="s">
        <v>1329</v>
      </c>
      <c r="F1068" t="s">
        <v>2620</v>
      </c>
      <c r="G1068" t="s">
        <v>2621</v>
      </c>
    </row>
    <row r="1069" spans="1:7">
      <c r="A1069" t="s">
        <v>118</v>
      </c>
      <c r="B1069" t="s">
        <v>2650</v>
      </c>
      <c r="C1069" t="s">
        <v>2649</v>
      </c>
      <c r="D1069">
        <v>3.2568899999999998E-2</v>
      </c>
      <c r="E1069" t="s">
        <v>845</v>
      </c>
      <c r="F1069" t="s">
        <v>2651</v>
      </c>
      <c r="G1069" t="s">
        <v>2652</v>
      </c>
    </row>
    <row r="1070" spans="1:7">
      <c r="A1070" t="s">
        <v>119</v>
      </c>
      <c r="B1070" t="s">
        <v>1647</v>
      </c>
      <c r="C1070" t="s">
        <v>1646</v>
      </c>
      <c r="D1070">
        <v>0.1488062</v>
      </c>
      <c r="E1070" t="s">
        <v>484</v>
      </c>
      <c r="F1070" t="s">
        <v>1648</v>
      </c>
      <c r="G1070" t="s">
        <v>1649</v>
      </c>
    </row>
    <row r="1071" spans="1:7">
      <c r="A1071" t="s">
        <v>119</v>
      </c>
      <c r="B1071" t="s">
        <v>483</v>
      </c>
      <c r="C1071" t="s">
        <v>482</v>
      </c>
      <c r="D1071">
        <v>0.119413204</v>
      </c>
      <c r="E1071" t="s">
        <v>484</v>
      </c>
      <c r="F1071" t="s">
        <v>485</v>
      </c>
      <c r="G1071" t="s">
        <v>486</v>
      </c>
    </row>
    <row r="1072" spans="1:7">
      <c r="A1072" t="s">
        <v>119</v>
      </c>
      <c r="B1072" t="s">
        <v>627</v>
      </c>
      <c r="C1072" t="s">
        <v>626</v>
      </c>
      <c r="D1072">
        <v>7.8599699999999995E-2</v>
      </c>
      <c r="E1072" t="s">
        <v>484</v>
      </c>
      <c r="F1072" t="s">
        <v>628</v>
      </c>
      <c r="G1072" t="s">
        <v>629</v>
      </c>
    </row>
    <row r="1073" spans="1:7">
      <c r="A1073" t="s">
        <v>119</v>
      </c>
      <c r="B1073" t="s">
        <v>1770</v>
      </c>
      <c r="C1073" t="s">
        <v>1769</v>
      </c>
      <c r="D1073">
        <v>6.4960695999999998E-2</v>
      </c>
      <c r="E1073" t="s">
        <v>484</v>
      </c>
      <c r="F1073" t="s">
        <v>1771</v>
      </c>
      <c r="G1073" t="s">
        <v>1772</v>
      </c>
    </row>
    <row r="1074" spans="1:7">
      <c r="A1074" t="s">
        <v>119</v>
      </c>
      <c r="B1074" t="s">
        <v>2478</v>
      </c>
      <c r="C1074" t="s">
        <v>2477</v>
      </c>
      <c r="D1074">
        <v>3.7285499999999999E-2</v>
      </c>
      <c r="E1074" t="s">
        <v>484</v>
      </c>
      <c r="F1074" t="s">
        <v>2479</v>
      </c>
      <c r="G1074" t="s">
        <v>2480</v>
      </c>
    </row>
    <row r="1075" spans="1:7">
      <c r="A1075" t="s">
        <v>119</v>
      </c>
      <c r="B1075" t="s">
        <v>1333</v>
      </c>
      <c r="C1075" t="s">
        <v>1332</v>
      </c>
      <c r="D1075">
        <v>3.6453600000000003E-2</v>
      </c>
      <c r="E1075" t="s">
        <v>484</v>
      </c>
      <c r="F1075" t="s">
        <v>1334</v>
      </c>
      <c r="G1075" t="s">
        <v>1335</v>
      </c>
    </row>
    <row r="1076" spans="1:7">
      <c r="A1076" t="s">
        <v>119</v>
      </c>
      <c r="B1076" t="s">
        <v>2664</v>
      </c>
      <c r="C1076" t="s">
        <v>2663</v>
      </c>
      <c r="D1076">
        <v>3.1841800000000003E-2</v>
      </c>
      <c r="E1076" t="s">
        <v>484</v>
      </c>
      <c r="F1076" t="s">
        <v>2665</v>
      </c>
      <c r="G1076" t="s">
        <v>2666</v>
      </c>
    </row>
    <row r="1077" spans="1:7">
      <c r="A1077" t="s">
        <v>119</v>
      </c>
      <c r="B1077" t="s">
        <v>1142</v>
      </c>
      <c r="C1077" t="s">
        <v>1141</v>
      </c>
      <c r="D1077">
        <v>2.74451E-2</v>
      </c>
      <c r="E1077" t="s">
        <v>1143</v>
      </c>
      <c r="F1077" t="s">
        <v>490</v>
      </c>
      <c r="G1077" t="s">
        <v>1144</v>
      </c>
    </row>
    <row r="1078" spans="1:7">
      <c r="A1078" t="s">
        <v>119</v>
      </c>
      <c r="B1078" t="s">
        <v>1593</v>
      </c>
      <c r="C1078" t="s">
        <v>1592</v>
      </c>
      <c r="D1078">
        <v>2.6964399999999999E-2</v>
      </c>
      <c r="E1078" t="s">
        <v>484</v>
      </c>
      <c r="F1078" t="s">
        <v>1594</v>
      </c>
      <c r="G1078" t="s">
        <v>1595</v>
      </c>
    </row>
    <row r="1079" spans="1:7">
      <c r="A1079" t="s">
        <v>119</v>
      </c>
      <c r="B1079" t="s">
        <v>1515</v>
      </c>
      <c r="C1079" t="s">
        <v>1514</v>
      </c>
      <c r="D1079">
        <v>2.5062398999999999E-2</v>
      </c>
      <c r="E1079" t="s">
        <v>484</v>
      </c>
      <c r="F1079" t="s">
        <v>1516</v>
      </c>
      <c r="G1079" t="s">
        <v>1517</v>
      </c>
    </row>
    <row r="1080" spans="1:7">
      <c r="A1080" t="s">
        <v>120</v>
      </c>
      <c r="B1080" t="s">
        <v>908</v>
      </c>
      <c r="C1080" t="s">
        <v>907</v>
      </c>
      <c r="D1080">
        <v>3.7056699999999998E-2</v>
      </c>
      <c r="E1080" t="s">
        <v>909</v>
      </c>
      <c r="F1080" t="s">
        <v>910</v>
      </c>
      <c r="G1080" t="s">
        <v>911</v>
      </c>
    </row>
    <row r="1081" spans="1:7">
      <c r="A1081" t="s">
        <v>120</v>
      </c>
      <c r="B1081" t="s">
        <v>825</v>
      </c>
      <c r="C1081" t="s">
        <v>824</v>
      </c>
      <c r="D1081">
        <v>3.2464600000000003E-2</v>
      </c>
      <c r="E1081" t="s">
        <v>826</v>
      </c>
      <c r="F1081" t="s">
        <v>827</v>
      </c>
      <c r="G1081" t="s">
        <v>828</v>
      </c>
    </row>
    <row r="1082" spans="1:7">
      <c r="A1082" t="s">
        <v>120</v>
      </c>
      <c r="B1082" t="s">
        <v>1040</v>
      </c>
      <c r="C1082" t="s">
        <v>1039</v>
      </c>
      <c r="D1082">
        <v>3.1299300000000002E-2</v>
      </c>
      <c r="E1082" t="s">
        <v>489</v>
      </c>
      <c r="F1082" t="s">
        <v>490</v>
      </c>
      <c r="G1082" t="s">
        <v>490</v>
      </c>
    </row>
    <row r="1083" spans="1:7">
      <c r="A1083" t="s">
        <v>120</v>
      </c>
      <c r="B1083" t="s">
        <v>1171</v>
      </c>
      <c r="C1083" t="s">
        <v>1170</v>
      </c>
      <c r="D1083">
        <v>3.0913E-2</v>
      </c>
      <c r="E1083" t="s">
        <v>1055</v>
      </c>
      <c r="F1083" t="s">
        <v>1172</v>
      </c>
      <c r="G1083" t="s">
        <v>1173</v>
      </c>
    </row>
    <row r="1084" spans="1:7">
      <c r="A1084" t="s">
        <v>120</v>
      </c>
      <c r="B1084" t="s">
        <v>2723</v>
      </c>
      <c r="C1084" t="s">
        <v>2722</v>
      </c>
      <c r="D1084">
        <v>3.0275099E-2</v>
      </c>
      <c r="E1084" t="s">
        <v>1055</v>
      </c>
      <c r="F1084" t="s">
        <v>2724</v>
      </c>
      <c r="G1084" t="s">
        <v>2725</v>
      </c>
    </row>
    <row r="1085" spans="1:7">
      <c r="A1085" t="s">
        <v>120</v>
      </c>
      <c r="B1085" t="s">
        <v>2843</v>
      </c>
      <c r="C1085" t="s">
        <v>2842</v>
      </c>
      <c r="D1085">
        <v>2.6791800000000001E-2</v>
      </c>
      <c r="E1085" t="s">
        <v>484</v>
      </c>
      <c r="F1085" t="s">
        <v>2844</v>
      </c>
      <c r="G1085" t="s">
        <v>2845</v>
      </c>
    </row>
    <row r="1086" spans="1:7">
      <c r="A1086" t="s">
        <v>120</v>
      </c>
      <c r="B1086" t="s">
        <v>1575</v>
      </c>
      <c r="C1086" t="s">
        <v>1574</v>
      </c>
      <c r="D1086">
        <v>2.5222498999999999E-2</v>
      </c>
      <c r="E1086" t="s">
        <v>1055</v>
      </c>
      <c r="F1086" t="s">
        <v>1576</v>
      </c>
      <c r="G1086" t="s">
        <v>1577</v>
      </c>
    </row>
    <row r="1087" spans="1:7">
      <c r="A1087" t="s">
        <v>120</v>
      </c>
      <c r="B1087" t="s">
        <v>1625</v>
      </c>
      <c r="C1087" t="s">
        <v>1624</v>
      </c>
      <c r="D1087">
        <v>2.4878899999999999E-2</v>
      </c>
      <c r="E1087" t="s">
        <v>585</v>
      </c>
      <c r="F1087" t="s">
        <v>1626</v>
      </c>
      <c r="G1087" t="s">
        <v>1627</v>
      </c>
    </row>
    <row r="1088" spans="1:7">
      <c r="A1088" t="s">
        <v>120</v>
      </c>
      <c r="B1088" t="s">
        <v>1200</v>
      </c>
      <c r="C1088" t="s">
        <v>1199</v>
      </c>
      <c r="D1088">
        <v>2.46994E-2</v>
      </c>
      <c r="E1088" t="s">
        <v>618</v>
      </c>
      <c r="F1088" t="s">
        <v>1201</v>
      </c>
      <c r="G1088" t="s">
        <v>1202</v>
      </c>
    </row>
    <row r="1089" spans="1:7">
      <c r="A1089" t="s">
        <v>120</v>
      </c>
      <c r="B1089" t="s">
        <v>1124</v>
      </c>
      <c r="C1089" t="s">
        <v>1123</v>
      </c>
      <c r="D1089">
        <v>2.4206399999999999E-2</v>
      </c>
      <c r="E1089" t="s">
        <v>1028</v>
      </c>
      <c r="F1089" t="s">
        <v>1125</v>
      </c>
      <c r="G1089" t="s">
        <v>1126</v>
      </c>
    </row>
    <row r="1090" spans="1:7">
      <c r="A1090" t="s">
        <v>121</v>
      </c>
      <c r="B1090" t="s">
        <v>1222</v>
      </c>
      <c r="C1090" t="s">
        <v>1221</v>
      </c>
      <c r="D1090">
        <v>1.6291699999999999E-2</v>
      </c>
      <c r="E1090" t="s">
        <v>963</v>
      </c>
      <c r="F1090" t="s">
        <v>1223</v>
      </c>
      <c r="G1090" t="s">
        <v>1224</v>
      </c>
    </row>
    <row r="1091" spans="1:7">
      <c r="A1091" t="s">
        <v>121</v>
      </c>
      <c r="B1091" t="s">
        <v>504</v>
      </c>
      <c r="C1091" t="s">
        <v>503</v>
      </c>
      <c r="D1091">
        <v>1.15201995E-2</v>
      </c>
      <c r="E1091" t="s">
        <v>505</v>
      </c>
      <c r="F1091" t="s">
        <v>506</v>
      </c>
      <c r="G1091" t="s">
        <v>507</v>
      </c>
    </row>
    <row r="1092" spans="1:7">
      <c r="A1092" t="s">
        <v>121</v>
      </c>
      <c r="B1092" t="s">
        <v>806</v>
      </c>
      <c r="C1092" t="s">
        <v>805</v>
      </c>
      <c r="D1092">
        <v>1.12306E-2</v>
      </c>
      <c r="E1092" t="s">
        <v>443</v>
      </c>
      <c r="F1092" t="s">
        <v>807</v>
      </c>
      <c r="G1092" t="s">
        <v>808</v>
      </c>
    </row>
    <row r="1093" spans="1:7">
      <c r="A1093" t="s">
        <v>121</v>
      </c>
      <c r="B1093" t="s">
        <v>1507</v>
      </c>
      <c r="C1093" t="s">
        <v>1506</v>
      </c>
      <c r="D1093">
        <v>1.04004005E-2</v>
      </c>
      <c r="E1093" t="s">
        <v>505</v>
      </c>
      <c r="F1093" t="s">
        <v>1508</v>
      </c>
      <c r="G1093" t="s">
        <v>1509</v>
      </c>
    </row>
    <row r="1094" spans="1:7">
      <c r="A1094" t="s">
        <v>121</v>
      </c>
      <c r="B1094" t="s">
        <v>3146</v>
      </c>
      <c r="C1094" t="s">
        <v>3145</v>
      </c>
      <c r="D1094">
        <v>9.9215999999999992E-3</v>
      </c>
      <c r="E1094" t="s">
        <v>443</v>
      </c>
      <c r="F1094" t="s">
        <v>3147</v>
      </c>
      <c r="G1094" t="s">
        <v>3148</v>
      </c>
    </row>
    <row r="1095" spans="1:7">
      <c r="A1095" t="s">
        <v>121</v>
      </c>
      <c r="B1095" t="s">
        <v>604</v>
      </c>
      <c r="C1095" t="s">
        <v>603</v>
      </c>
      <c r="D1095">
        <v>9.8896000000000001E-3</v>
      </c>
      <c r="E1095" t="s">
        <v>443</v>
      </c>
      <c r="F1095" t="s">
        <v>605</v>
      </c>
      <c r="G1095" t="s">
        <v>606</v>
      </c>
    </row>
    <row r="1096" spans="1:7">
      <c r="A1096" t="s">
        <v>121</v>
      </c>
      <c r="B1096" t="s">
        <v>1637</v>
      </c>
      <c r="C1096" t="s">
        <v>1636</v>
      </c>
      <c r="D1096">
        <v>9.6147000000000003E-3</v>
      </c>
      <c r="E1096" t="s">
        <v>489</v>
      </c>
      <c r="F1096" t="s">
        <v>490</v>
      </c>
      <c r="G1096" t="s">
        <v>490</v>
      </c>
    </row>
    <row r="1097" spans="1:7">
      <c r="A1097" t="s">
        <v>121</v>
      </c>
      <c r="B1097" t="s">
        <v>3158</v>
      </c>
      <c r="C1097" t="s">
        <v>3157</v>
      </c>
      <c r="D1097">
        <v>9.0124999999999997E-3</v>
      </c>
      <c r="E1097" t="s">
        <v>3159</v>
      </c>
      <c r="F1097" t="s">
        <v>3160</v>
      </c>
      <c r="G1097" t="s">
        <v>3161</v>
      </c>
    </row>
    <row r="1098" spans="1:7">
      <c r="A1098" t="s">
        <v>121</v>
      </c>
      <c r="B1098" t="s">
        <v>3165</v>
      </c>
      <c r="C1098" t="s">
        <v>3164</v>
      </c>
      <c r="D1098">
        <v>8.6053999999999992E-3</v>
      </c>
      <c r="E1098" t="s">
        <v>489</v>
      </c>
      <c r="F1098" t="s">
        <v>490</v>
      </c>
      <c r="G1098" t="s">
        <v>490</v>
      </c>
    </row>
    <row r="1099" spans="1:7">
      <c r="A1099" t="s">
        <v>121</v>
      </c>
      <c r="B1099" t="s">
        <v>1629</v>
      </c>
      <c r="C1099" t="s">
        <v>1628</v>
      </c>
      <c r="D1099">
        <v>8.5874999999999996E-3</v>
      </c>
      <c r="E1099" t="s">
        <v>792</v>
      </c>
      <c r="F1099" t="s">
        <v>1630</v>
      </c>
      <c r="G1099" t="s">
        <v>1631</v>
      </c>
    </row>
    <row r="1100" spans="1:7">
      <c r="A1100" t="s">
        <v>122</v>
      </c>
      <c r="B1100" t="s">
        <v>844</v>
      </c>
      <c r="C1100" t="s">
        <v>843</v>
      </c>
      <c r="D1100">
        <v>9.4606800000000005E-2</v>
      </c>
      <c r="E1100" t="s">
        <v>845</v>
      </c>
      <c r="F1100" t="s">
        <v>846</v>
      </c>
      <c r="G1100" t="s">
        <v>847</v>
      </c>
    </row>
    <row r="1101" spans="1:7">
      <c r="A1101" t="s">
        <v>122</v>
      </c>
      <c r="B1101" t="s">
        <v>854</v>
      </c>
      <c r="C1101" t="s">
        <v>853</v>
      </c>
      <c r="D1101">
        <v>9.2951000000000006E-2</v>
      </c>
      <c r="E1101" t="s">
        <v>845</v>
      </c>
      <c r="F1101" t="s">
        <v>855</v>
      </c>
      <c r="G1101" t="s">
        <v>856</v>
      </c>
    </row>
    <row r="1102" spans="1:7">
      <c r="A1102" t="s">
        <v>122</v>
      </c>
      <c r="B1102" t="s">
        <v>1002</v>
      </c>
      <c r="C1102" t="s">
        <v>1001</v>
      </c>
      <c r="D1102">
        <v>7.6636800000000005E-2</v>
      </c>
      <c r="E1102" t="s">
        <v>1003</v>
      </c>
      <c r="F1102" t="s">
        <v>1004</v>
      </c>
      <c r="G1102" t="s">
        <v>1005</v>
      </c>
    </row>
    <row r="1103" spans="1:7">
      <c r="A1103" t="s">
        <v>122</v>
      </c>
      <c r="B1103" t="s">
        <v>1032</v>
      </c>
      <c r="C1103" t="s">
        <v>1031</v>
      </c>
      <c r="D1103">
        <v>7.0238499999999995E-2</v>
      </c>
      <c r="E1103" t="s">
        <v>845</v>
      </c>
      <c r="F1103" t="s">
        <v>1033</v>
      </c>
      <c r="G1103" t="s">
        <v>1034</v>
      </c>
    </row>
    <row r="1104" spans="1:7">
      <c r="A1104" t="s">
        <v>122</v>
      </c>
      <c r="B1104" t="s">
        <v>1021</v>
      </c>
      <c r="C1104" t="s">
        <v>1020</v>
      </c>
      <c r="D1104">
        <v>6.7950800000000006E-2</v>
      </c>
      <c r="E1104" t="s">
        <v>845</v>
      </c>
      <c r="F1104" t="s">
        <v>1022</v>
      </c>
      <c r="G1104" t="s">
        <v>1023</v>
      </c>
    </row>
    <row r="1105" spans="1:7">
      <c r="A1105" t="s">
        <v>122</v>
      </c>
      <c r="B1105" t="s">
        <v>1383</v>
      </c>
      <c r="C1105" t="s">
        <v>1382</v>
      </c>
      <c r="D1105">
        <v>5.4876000000000001E-2</v>
      </c>
      <c r="E1105" t="s">
        <v>845</v>
      </c>
      <c r="F1105" t="s">
        <v>1384</v>
      </c>
      <c r="G1105" t="s">
        <v>1385</v>
      </c>
    </row>
    <row r="1106" spans="1:7">
      <c r="A1106" t="s">
        <v>122</v>
      </c>
      <c r="B1106" t="s">
        <v>1901</v>
      </c>
      <c r="C1106" t="s">
        <v>1900</v>
      </c>
      <c r="D1106">
        <v>5.1857199999999999E-2</v>
      </c>
      <c r="E1106" t="s">
        <v>845</v>
      </c>
      <c r="F1106" t="s">
        <v>1902</v>
      </c>
      <c r="G1106" t="s">
        <v>1903</v>
      </c>
    </row>
    <row r="1107" spans="1:7">
      <c r="A1107" t="s">
        <v>122</v>
      </c>
      <c r="B1107" t="s">
        <v>1365</v>
      </c>
      <c r="C1107" t="s">
        <v>1364</v>
      </c>
      <c r="D1107">
        <v>5.1475699999999999E-2</v>
      </c>
      <c r="E1107" t="s">
        <v>845</v>
      </c>
      <c r="F1107" t="s">
        <v>1366</v>
      </c>
      <c r="G1107" t="s">
        <v>1367</v>
      </c>
    </row>
    <row r="1108" spans="1:7">
      <c r="A1108" t="s">
        <v>122</v>
      </c>
      <c r="B1108" t="s">
        <v>2375</v>
      </c>
      <c r="C1108" t="s">
        <v>2374</v>
      </c>
      <c r="D1108">
        <v>3.9899499999999997E-2</v>
      </c>
      <c r="E1108" t="s">
        <v>489</v>
      </c>
      <c r="F1108" t="s">
        <v>490</v>
      </c>
      <c r="G1108" t="s">
        <v>490</v>
      </c>
    </row>
    <row r="1109" spans="1:7">
      <c r="A1109" t="s">
        <v>122</v>
      </c>
      <c r="B1109" t="s">
        <v>2529</v>
      </c>
      <c r="C1109" t="s">
        <v>2528</v>
      </c>
      <c r="D1109">
        <v>3.5951200000000003E-2</v>
      </c>
      <c r="E1109" t="s">
        <v>2530</v>
      </c>
      <c r="F1109" t="s">
        <v>2531</v>
      </c>
      <c r="G1109" t="s">
        <v>2532</v>
      </c>
    </row>
    <row r="1110" spans="1:7">
      <c r="A1110" t="s">
        <v>123</v>
      </c>
      <c r="B1110" t="s">
        <v>594</v>
      </c>
      <c r="C1110" t="s">
        <v>593</v>
      </c>
      <c r="D1110">
        <v>5.1595601999999997E-2</v>
      </c>
      <c r="E1110" t="s">
        <v>505</v>
      </c>
      <c r="F1110" t="s">
        <v>595</v>
      </c>
      <c r="G1110" t="s">
        <v>596</v>
      </c>
    </row>
    <row r="1111" spans="1:7">
      <c r="A1111" t="s">
        <v>123</v>
      </c>
      <c r="B1111" t="s">
        <v>442</v>
      </c>
      <c r="C1111" t="s">
        <v>441</v>
      </c>
      <c r="D1111">
        <v>5.0788595999999998E-2</v>
      </c>
      <c r="E1111" t="s">
        <v>443</v>
      </c>
      <c r="F1111" t="s">
        <v>444</v>
      </c>
      <c r="G1111" t="s">
        <v>445</v>
      </c>
    </row>
    <row r="1112" spans="1:7">
      <c r="A1112" t="s">
        <v>123</v>
      </c>
      <c r="B1112" t="s">
        <v>467</v>
      </c>
      <c r="C1112" t="s">
        <v>466</v>
      </c>
      <c r="D1112">
        <v>3.8634000000000002E-2</v>
      </c>
      <c r="E1112" t="s">
        <v>443</v>
      </c>
      <c r="F1112" t="s">
        <v>468</v>
      </c>
      <c r="G1112" t="s">
        <v>469</v>
      </c>
    </row>
    <row r="1113" spans="1:7">
      <c r="A1113" t="s">
        <v>123</v>
      </c>
      <c r="B1113" t="s">
        <v>643</v>
      </c>
      <c r="C1113" t="s">
        <v>642</v>
      </c>
      <c r="D1113">
        <v>3.4200300000000003E-2</v>
      </c>
      <c r="E1113" t="s">
        <v>443</v>
      </c>
      <c r="F1113" t="s">
        <v>644</v>
      </c>
      <c r="G1113" t="s">
        <v>645</v>
      </c>
    </row>
    <row r="1114" spans="1:7">
      <c r="A1114" t="s">
        <v>123</v>
      </c>
      <c r="B1114" t="s">
        <v>2635</v>
      </c>
      <c r="C1114" t="s">
        <v>2634</v>
      </c>
      <c r="D1114">
        <v>3.2798899999999999E-2</v>
      </c>
      <c r="E1114" t="s">
        <v>2636</v>
      </c>
      <c r="F1114" t="s">
        <v>2637</v>
      </c>
      <c r="G1114" t="s">
        <v>2638</v>
      </c>
    </row>
    <row r="1115" spans="1:7">
      <c r="A1115" t="s">
        <v>123</v>
      </c>
      <c r="B1115" t="s">
        <v>488</v>
      </c>
      <c r="C1115" t="s">
        <v>487</v>
      </c>
      <c r="D1115">
        <v>3.1731599999999999E-2</v>
      </c>
      <c r="E1115" t="s">
        <v>489</v>
      </c>
      <c r="F1115" t="s">
        <v>490</v>
      </c>
      <c r="G1115" t="s">
        <v>490</v>
      </c>
    </row>
    <row r="1116" spans="1:7">
      <c r="A1116" t="s">
        <v>123</v>
      </c>
      <c r="B1116" t="s">
        <v>580</v>
      </c>
      <c r="C1116" t="s">
        <v>579</v>
      </c>
      <c r="D1116">
        <v>3.1026600000000001E-2</v>
      </c>
      <c r="E1116" t="s">
        <v>505</v>
      </c>
      <c r="F1116" t="s">
        <v>581</v>
      </c>
      <c r="G1116" t="s">
        <v>582</v>
      </c>
    </row>
    <row r="1117" spans="1:7">
      <c r="A1117" t="s">
        <v>123</v>
      </c>
      <c r="B1117" t="s">
        <v>2907</v>
      </c>
      <c r="C1117" t="s">
        <v>2906</v>
      </c>
      <c r="D1117">
        <v>2.3707099999999998E-2</v>
      </c>
      <c r="E1117" t="s">
        <v>2603</v>
      </c>
      <c r="F1117" t="s">
        <v>2908</v>
      </c>
      <c r="G1117" t="s">
        <v>2909</v>
      </c>
    </row>
    <row r="1118" spans="1:7">
      <c r="A1118" t="s">
        <v>123</v>
      </c>
      <c r="B1118" t="s">
        <v>2915</v>
      </c>
      <c r="C1118" t="s">
        <v>2914</v>
      </c>
      <c r="D1118">
        <v>2.3509100000000002E-2</v>
      </c>
      <c r="E1118" t="s">
        <v>489</v>
      </c>
      <c r="F1118" t="s">
        <v>490</v>
      </c>
      <c r="G1118" t="s">
        <v>490</v>
      </c>
    </row>
    <row r="1119" spans="1:7">
      <c r="A1119" t="s">
        <v>123</v>
      </c>
      <c r="B1119" t="s">
        <v>535</v>
      </c>
      <c r="C1119" t="s">
        <v>534</v>
      </c>
      <c r="D1119">
        <v>2.2706899999999999E-2</v>
      </c>
      <c r="E1119" t="s">
        <v>443</v>
      </c>
      <c r="F1119" t="s">
        <v>536</v>
      </c>
      <c r="G1119" t="s">
        <v>537</v>
      </c>
    </row>
    <row r="1120" spans="1:7">
      <c r="A1120" t="s">
        <v>124</v>
      </c>
      <c r="B1120" t="s">
        <v>447</v>
      </c>
      <c r="C1120" t="s">
        <v>446</v>
      </c>
      <c r="D1120">
        <v>7.8478099999999995E-2</v>
      </c>
      <c r="E1120" t="s">
        <v>443</v>
      </c>
      <c r="F1120" t="s">
        <v>448</v>
      </c>
      <c r="G1120" t="s">
        <v>449</v>
      </c>
    </row>
    <row r="1121" spans="1:7">
      <c r="A1121" t="s">
        <v>124</v>
      </c>
      <c r="B1121" t="s">
        <v>442</v>
      </c>
      <c r="C1121" t="s">
        <v>441</v>
      </c>
      <c r="D1121">
        <v>6.0082099999999999E-2</v>
      </c>
      <c r="E1121" t="s">
        <v>443</v>
      </c>
      <c r="F1121" t="s">
        <v>444</v>
      </c>
      <c r="G1121" t="s">
        <v>445</v>
      </c>
    </row>
    <row r="1122" spans="1:7">
      <c r="A1122" t="s">
        <v>124</v>
      </c>
      <c r="B1122" t="s">
        <v>898</v>
      </c>
      <c r="C1122" t="s">
        <v>897</v>
      </c>
      <c r="D1122">
        <v>5.5652800000000002E-2</v>
      </c>
      <c r="E1122" t="s">
        <v>489</v>
      </c>
      <c r="F1122" t="s">
        <v>490</v>
      </c>
      <c r="G1122" t="s">
        <v>490</v>
      </c>
    </row>
    <row r="1123" spans="1:7">
      <c r="A1123" t="s">
        <v>124</v>
      </c>
      <c r="B1123" t="s">
        <v>475</v>
      </c>
      <c r="C1123" t="s">
        <v>474</v>
      </c>
      <c r="D1123">
        <v>5.1756200000000002E-2</v>
      </c>
      <c r="E1123" t="s">
        <v>443</v>
      </c>
      <c r="F1123" t="s">
        <v>476</v>
      </c>
      <c r="G1123" t="s">
        <v>477</v>
      </c>
    </row>
    <row r="1124" spans="1:7">
      <c r="A1124" t="s">
        <v>124</v>
      </c>
      <c r="B1124" t="s">
        <v>451</v>
      </c>
      <c r="C1124" t="s">
        <v>450</v>
      </c>
      <c r="D1124">
        <v>4.6057201999999998E-2</v>
      </c>
      <c r="E1124" t="s">
        <v>443</v>
      </c>
      <c r="F1124" t="s">
        <v>452</v>
      </c>
      <c r="G1124" t="s">
        <v>453</v>
      </c>
    </row>
    <row r="1125" spans="1:7">
      <c r="A1125" t="s">
        <v>124</v>
      </c>
      <c r="B1125" t="s">
        <v>529</v>
      </c>
      <c r="C1125" t="s">
        <v>528</v>
      </c>
      <c r="D1125">
        <v>4.5677799999999998E-2</v>
      </c>
      <c r="E1125" t="s">
        <v>489</v>
      </c>
      <c r="F1125" t="s">
        <v>490</v>
      </c>
      <c r="G1125" t="s">
        <v>490</v>
      </c>
    </row>
    <row r="1126" spans="1:7">
      <c r="A1126" t="s">
        <v>124</v>
      </c>
      <c r="B1126" t="s">
        <v>467</v>
      </c>
      <c r="C1126" t="s">
        <v>466</v>
      </c>
      <c r="D1126">
        <v>4.39704E-2</v>
      </c>
      <c r="E1126" t="s">
        <v>443</v>
      </c>
      <c r="F1126" t="s">
        <v>468</v>
      </c>
      <c r="G1126" t="s">
        <v>469</v>
      </c>
    </row>
    <row r="1127" spans="1:7">
      <c r="A1127" t="s">
        <v>124</v>
      </c>
      <c r="B1127" t="s">
        <v>459</v>
      </c>
      <c r="C1127" t="s">
        <v>458</v>
      </c>
      <c r="D1127">
        <v>3.9076399999999997E-2</v>
      </c>
      <c r="E1127" t="s">
        <v>443</v>
      </c>
      <c r="F1127" t="s">
        <v>460</v>
      </c>
      <c r="G1127" t="s">
        <v>461</v>
      </c>
    </row>
    <row r="1128" spans="1:7">
      <c r="A1128" t="s">
        <v>124</v>
      </c>
      <c r="B1128" t="s">
        <v>492</v>
      </c>
      <c r="C1128" t="s">
        <v>491</v>
      </c>
      <c r="D1128">
        <v>3.8074299999999998E-2</v>
      </c>
      <c r="E1128" t="s">
        <v>443</v>
      </c>
      <c r="F1128" t="s">
        <v>493</v>
      </c>
      <c r="G1128" t="s">
        <v>494</v>
      </c>
    </row>
    <row r="1129" spans="1:7">
      <c r="A1129" t="s">
        <v>124</v>
      </c>
      <c r="B1129" t="s">
        <v>471</v>
      </c>
      <c r="C1129" t="s">
        <v>470</v>
      </c>
      <c r="D1129">
        <v>3.3116199999999998E-2</v>
      </c>
      <c r="E1129" t="s">
        <v>443</v>
      </c>
      <c r="F1129" t="s">
        <v>472</v>
      </c>
      <c r="G1129" t="s">
        <v>473</v>
      </c>
    </row>
    <row r="1130" spans="1:7">
      <c r="A1130" t="s">
        <v>125</v>
      </c>
      <c r="B1130" t="s">
        <v>500</v>
      </c>
      <c r="C1130" t="s">
        <v>499</v>
      </c>
      <c r="D1130">
        <v>0.10373640000000001</v>
      </c>
      <c r="E1130" t="s">
        <v>443</v>
      </c>
      <c r="F1130" t="s">
        <v>501</v>
      </c>
      <c r="G1130" t="s">
        <v>502</v>
      </c>
    </row>
    <row r="1131" spans="1:7">
      <c r="A1131" t="s">
        <v>125</v>
      </c>
      <c r="B1131" t="s">
        <v>600</v>
      </c>
      <c r="C1131" t="s">
        <v>599</v>
      </c>
      <c r="D1131">
        <v>9.9845890000000007E-2</v>
      </c>
      <c r="E1131" t="s">
        <v>505</v>
      </c>
      <c r="F1131" t="s">
        <v>601</v>
      </c>
      <c r="G1131" t="s">
        <v>602</v>
      </c>
    </row>
    <row r="1132" spans="1:7">
      <c r="A1132" t="s">
        <v>125</v>
      </c>
      <c r="B1132" t="s">
        <v>442</v>
      </c>
      <c r="C1132" t="s">
        <v>441</v>
      </c>
      <c r="D1132">
        <v>7.7848404999999996E-2</v>
      </c>
      <c r="E1132" t="s">
        <v>443</v>
      </c>
      <c r="F1132" t="s">
        <v>444</v>
      </c>
      <c r="G1132" t="s">
        <v>445</v>
      </c>
    </row>
    <row r="1133" spans="1:7">
      <c r="A1133" t="s">
        <v>125</v>
      </c>
      <c r="B1133" t="s">
        <v>451</v>
      </c>
      <c r="C1133" t="s">
        <v>450</v>
      </c>
      <c r="D1133">
        <v>6.7146300000000006E-2</v>
      </c>
      <c r="E1133" t="s">
        <v>443</v>
      </c>
      <c r="F1133" t="s">
        <v>452</v>
      </c>
      <c r="G1133" t="s">
        <v>453</v>
      </c>
    </row>
    <row r="1134" spans="1:7">
      <c r="A1134" t="s">
        <v>125</v>
      </c>
      <c r="B1134" t="s">
        <v>689</v>
      </c>
      <c r="C1134" t="s">
        <v>688</v>
      </c>
      <c r="D1134">
        <v>6.2631599999999996E-2</v>
      </c>
      <c r="E1134" t="s">
        <v>623</v>
      </c>
      <c r="F1134" t="s">
        <v>690</v>
      </c>
      <c r="G1134" t="s">
        <v>691</v>
      </c>
    </row>
    <row r="1135" spans="1:7">
      <c r="A1135" t="s">
        <v>125</v>
      </c>
      <c r="B1135" t="s">
        <v>608</v>
      </c>
      <c r="C1135" t="s">
        <v>607</v>
      </c>
      <c r="D1135">
        <v>6.2361396999999999E-2</v>
      </c>
      <c r="E1135" t="s">
        <v>489</v>
      </c>
      <c r="F1135" t="s">
        <v>490</v>
      </c>
      <c r="G1135" t="s">
        <v>490</v>
      </c>
    </row>
    <row r="1136" spans="1:7">
      <c r="A1136" t="s">
        <v>125</v>
      </c>
      <c r="B1136" t="s">
        <v>535</v>
      </c>
      <c r="C1136" t="s">
        <v>534</v>
      </c>
      <c r="D1136">
        <v>5.1835096999999997E-2</v>
      </c>
      <c r="E1136" t="s">
        <v>443</v>
      </c>
      <c r="F1136" t="s">
        <v>536</v>
      </c>
      <c r="G1136" t="s">
        <v>537</v>
      </c>
    </row>
    <row r="1137" spans="1:7">
      <c r="A1137" t="s">
        <v>125</v>
      </c>
      <c r="B1137" t="s">
        <v>937</v>
      </c>
      <c r="C1137" t="s">
        <v>936</v>
      </c>
      <c r="D1137">
        <v>5.0208903999999999E-2</v>
      </c>
      <c r="E1137" t="s">
        <v>489</v>
      </c>
      <c r="F1137" t="s">
        <v>490</v>
      </c>
      <c r="G1137" t="s">
        <v>490</v>
      </c>
    </row>
    <row r="1138" spans="1:7">
      <c r="A1138" t="s">
        <v>125</v>
      </c>
      <c r="B1138" t="s">
        <v>447</v>
      </c>
      <c r="C1138" t="s">
        <v>446</v>
      </c>
      <c r="D1138">
        <v>4.9419798000000001E-2</v>
      </c>
      <c r="E1138" t="s">
        <v>443</v>
      </c>
      <c r="F1138" t="s">
        <v>448</v>
      </c>
      <c r="G1138" t="s">
        <v>449</v>
      </c>
    </row>
    <row r="1139" spans="1:7">
      <c r="A1139" t="s">
        <v>125</v>
      </c>
      <c r="B1139" t="s">
        <v>479</v>
      </c>
      <c r="C1139" t="s">
        <v>478</v>
      </c>
      <c r="D1139">
        <v>4.5763202000000003E-2</v>
      </c>
      <c r="E1139" t="s">
        <v>443</v>
      </c>
      <c r="F1139" t="s">
        <v>480</v>
      </c>
      <c r="G1139" t="s">
        <v>481</v>
      </c>
    </row>
    <row r="1140" spans="1:7">
      <c r="A1140" t="s">
        <v>126</v>
      </c>
      <c r="B1140" t="s">
        <v>580</v>
      </c>
      <c r="C1140" t="s">
        <v>579</v>
      </c>
      <c r="D1140">
        <v>4.5584899999999998E-2</v>
      </c>
      <c r="E1140" t="s">
        <v>505</v>
      </c>
      <c r="F1140" t="s">
        <v>581</v>
      </c>
      <c r="G1140" t="s">
        <v>582</v>
      </c>
    </row>
    <row r="1141" spans="1:7">
      <c r="A1141" t="s">
        <v>126</v>
      </c>
      <c r="B1141" t="s">
        <v>557</v>
      </c>
      <c r="C1141" t="s">
        <v>556</v>
      </c>
      <c r="D1141">
        <v>4.3057900000000003E-2</v>
      </c>
      <c r="E1141" t="s">
        <v>489</v>
      </c>
      <c r="F1141" t="s">
        <v>490</v>
      </c>
      <c r="G1141" t="s">
        <v>490</v>
      </c>
    </row>
    <row r="1142" spans="1:7">
      <c r="A1142" t="s">
        <v>126</v>
      </c>
      <c r="B1142" t="s">
        <v>612</v>
      </c>
      <c r="C1142" t="s">
        <v>611</v>
      </c>
      <c r="D1142">
        <v>4.1464500000000001E-2</v>
      </c>
      <c r="E1142" t="s">
        <v>613</v>
      </c>
      <c r="F1142" t="s">
        <v>614</v>
      </c>
      <c r="G1142" t="s">
        <v>615</v>
      </c>
    </row>
    <row r="1143" spans="1:7">
      <c r="A1143" t="s">
        <v>126</v>
      </c>
      <c r="B1143" t="s">
        <v>2289</v>
      </c>
      <c r="C1143" t="s">
        <v>2288</v>
      </c>
      <c r="D1143">
        <v>4.1385997000000001E-2</v>
      </c>
      <c r="E1143" t="s">
        <v>505</v>
      </c>
      <c r="F1143" t="s">
        <v>2290</v>
      </c>
      <c r="G1143" t="s">
        <v>2291</v>
      </c>
    </row>
    <row r="1144" spans="1:7">
      <c r="A1144" t="s">
        <v>126</v>
      </c>
      <c r="B1144" t="s">
        <v>1443</v>
      </c>
      <c r="C1144" t="s">
        <v>1442</v>
      </c>
      <c r="D1144">
        <v>4.0714100000000003E-2</v>
      </c>
      <c r="E1144" t="s">
        <v>505</v>
      </c>
      <c r="F1144" t="s">
        <v>1444</v>
      </c>
      <c r="G1144" t="s">
        <v>1445</v>
      </c>
    </row>
    <row r="1145" spans="1:7">
      <c r="A1145" t="s">
        <v>126</v>
      </c>
      <c r="B1145" t="s">
        <v>709</v>
      </c>
      <c r="C1145" t="s">
        <v>708</v>
      </c>
      <c r="D1145">
        <v>3.6586500000000001E-2</v>
      </c>
      <c r="E1145" t="s">
        <v>443</v>
      </c>
      <c r="F1145" t="s">
        <v>710</v>
      </c>
      <c r="G1145" t="s">
        <v>711</v>
      </c>
    </row>
    <row r="1146" spans="1:7">
      <c r="A1146" t="s">
        <v>126</v>
      </c>
      <c r="B1146" t="s">
        <v>1523</v>
      </c>
      <c r="C1146" t="s">
        <v>1522</v>
      </c>
      <c r="D1146">
        <v>3.4867401999999999E-2</v>
      </c>
      <c r="E1146" t="s">
        <v>505</v>
      </c>
      <c r="F1146" t="s">
        <v>680</v>
      </c>
      <c r="G1146" t="s">
        <v>1524</v>
      </c>
    </row>
    <row r="1147" spans="1:7">
      <c r="A1147" t="s">
        <v>126</v>
      </c>
      <c r="B1147" t="s">
        <v>675</v>
      </c>
      <c r="C1147" t="s">
        <v>674</v>
      </c>
      <c r="D1147">
        <v>3.3605999999999997E-2</v>
      </c>
      <c r="E1147" t="s">
        <v>505</v>
      </c>
      <c r="F1147" t="s">
        <v>676</v>
      </c>
      <c r="G1147" t="s">
        <v>677</v>
      </c>
    </row>
    <row r="1148" spans="1:7">
      <c r="A1148" t="s">
        <v>126</v>
      </c>
      <c r="B1148" t="s">
        <v>1597</v>
      </c>
      <c r="C1148" t="s">
        <v>1596</v>
      </c>
      <c r="D1148">
        <v>3.1667800000000003E-2</v>
      </c>
      <c r="E1148" t="s">
        <v>505</v>
      </c>
      <c r="F1148" t="s">
        <v>1598</v>
      </c>
      <c r="G1148" t="s">
        <v>1599</v>
      </c>
    </row>
    <row r="1149" spans="1:7">
      <c r="A1149" t="s">
        <v>126</v>
      </c>
      <c r="B1149" t="s">
        <v>945</v>
      </c>
      <c r="C1149" t="s">
        <v>944</v>
      </c>
      <c r="D1149">
        <v>3.1401699999999998E-2</v>
      </c>
      <c r="E1149" t="s">
        <v>505</v>
      </c>
      <c r="F1149" t="s">
        <v>946</v>
      </c>
      <c r="G1149" t="s">
        <v>947</v>
      </c>
    </row>
    <row r="1150" spans="1:7">
      <c r="A1150" t="s">
        <v>127</v>
      </c>
      <c r="B1150" t="s">
        <v>513</v>
      </c>
      <c r="C1150" t="s">
        <v>512</v>
      </c>
      <c r="D1150">
        <v>0.1417533</v>
      </c>
      <c r="E1150" t="s">
        <v>443</v>
      </c>
      <c r="F1150" t="s">
        <v>514</v>
      </c>
      <c r="G1150" t="s">
        <v>515</v>
      </c>
    </row>
    <row r="1151" spans="1:7">
      <c r="A1151" t="s">
        <v>127</v>
      </c>
      <c r="B1151" t="s">
        <v>647</v>
      </c>
      <c r="C1151" t="s">
        <v>646</v>
      </c>
      <c r="D1151">
        <v>8.8031700000000004E-2</v>
      </c>
      <c r="E1151" t="s">
        <v>443</v>
      </c>
      <c r="F1151" t="s">
        <v>648</v>
      </c>
      <c r="G1151" t="s">
        <v>649</v>
      </c>
    </row>
    <row r="1152" spans="1:7">
      <c r="A1152" t="s">
        <v>127</v>
      </c>
      <c r="B1152" t="s">
        <v>870</v>
      </c>
      <c r="C1152" t="s">
        <v>869</v>
      </c>
      <c r="D1152">
        <v>7.22217E-2</v>
      </c>
      <c r="E1152" t="s">
        <v>489</v>
      </c>
      <c r="F1152" t="s">
        <v>490</v>
      </c>
      <c r="G1152" t="s">
        <v>490</v>
      </c>
    </row>
    <row r="1153" spans="1:7">
      <c r="A1153" t="s">
        <v>127</v>
      </c>
      <c r="B1153" t="s">
        <v>631</v>
      </c>
      <c r="C1153" t="s">
        <v>630</v>
      </c>
      <c r="D1153">
        <v>5.7745699999999997E-2</v>
      </c>
      <c r="E1153" t="s">
        <v>505</v>
      </c>
      <c r="F1153" t="s">
        <v>632</v>
      </c>
      <c r="G1153" t="s">
        <v>633</v>
      </c>
    </row>
    <row r="1154" spans="1:7">
      <c r="A1154" t="s">
        <v>127</v>
      </c>
      <c r="B1154" t="s">
        <v>575</v>
      </c>
      <c r="C1154" t="s">
        <v>574</v>
      </c>
      <c r="D1154">
        <v>4.9395498000000003E-2</v>
      </c>
      <c r="E1154" t="s">
        <v>576</v>
      </c>
      <c r="F1154" t="s">
        <v>577</v>
      </c>
      <c r="G1154" t="s">
        <v>578</v>
      </c>
    </row>
    <row r="1155" spans="1:7">
      <c r="A1155" t="s">
        <v>127</v>
      </c>
      <c r="B1155" t="s">
        <v>697</v>
      </c>
      <c r="C1155" t="s">
        <v>696</v>
      </c>
      <c r="D1155">
        <v>4.2991399999999999E-2</v>
      </c>
      <c r="E1155" t="s">
        <v>489</v>
      </c>
      <c r="F1155" t="s">
        <v>490</v>
      </c>
      <c r="G1155" t="s">
        <v>490</v>
      </c>
    </row>
    <row r="1156" spans="1:7">
      <c r="A1156" t="s">
        <v>127</v>
      </c>
      <c r="B1156" t="s">
        <v>2267</v>
      </c>
      <c r="C1156" t="s">
        <v>2266</v>
      </c>
      <c r="D1156">
        <v>4.1960600000000001E-2</v>
      </c>
      <c r="E1156" t="s">
        <v>826</v>
      </c>
      <c r="F1156" t="s">
        <v>2268</v>
      </c>
      <c r="G1156" t="s">
        <v>2269</v>
      </c>
    </row>
    <row r="1157" spans="1:7">
      <c r="A1157" t="s">
        <v>127</v>
      </c>
      <c r="B1157" t="s">
        <v>758</v>
      </c>
      <c r="C1157" t="s">
        <v>757</v>
      </c>
      <c r="D1157">
        <v>4.0792000000000002E-2</v>
      </c>
      <c r="E1157" t="s">
        <v>505</v>
      </c>
      <c r="F1157" t="s">
        <v>759</v>
      </c>
      <c r="G1157" t="s">
        <v>760</v>
      </c>
    </row>
    <row r="1158" spans="1:7">
      <c r="A1158" t="s">
        <v>127</v>
      </c>
      <c r="B1158" t="s">
        <v>1130</v>
      </c>
      <c r="C1158" t="s">
        <v>1129</v>
      </c>
      <c r="D1158">
        <v>3.9061800000000001E-2</v>
      </c>
      <c r="E1158" t="s">
        <v>443</v>
      </c>
      <c r="F1158" t="s">
        <v>1131</v>
      </c>
      <c r="G1158" t="s">
        <v>1132</v>
      </c>
    </row>
    <row r="1159" spans="1:7">
      <c r="A1159" t="s">
        <v>127</v>
      </c>
      <c r="B1159" t="s">
        <v>2426</v>
      </c>
      <c r="C1159" t="s">
        <v>2425</v>
      </c>
      <c r="D1159">
        <v>3.84556E-2</v>
      </c>
      <c r="E1159" t="s">
        <v>1055</v>
      </c>
      <c r="F1159" t="s">
        <v>2427</v>
      </c>
      <c r="G1159" t="s">
        <v>2428</v>
      </c>
    </row>
    <row r="1160" spans="1:7">
      <c r="A1160" t="s">
        <v>128</v>
      </c>
      <c r="B1160" t="s">
        <v>525</v>
      </c>
      <c r="C1160" t="s">
        <v>524</v>
      </c>
      <c r="D1160">
        <v>9.1910000000000006E-2</v>
      </c>
      <c r="E1160" t="s">
        <v>443</v>
      </c>
      <c r="F1160" t="s">
        <v>526</v>
      </c>
      <c r="G1160" t="s">
        <v>527</v>
      </c>
    </row>
    <row r="1161" spans="1:7">
      <c r="A1161" t="s">
        <v>128</v>
      </c>
      <c r="B1161" t="s">
        <v>545</v>
      </c>
      <c r="C1161" t="s">
        <v>544</v>
      </c>
      <c r="D1161">
        <v>7.9858200000000004E-2</v>
      </c>
      <c r="E1161" t="s">
        <v>505</v>
      </c>
      <c r="F1161" t="s">
        <v>546</v>
      </c>
      <c r="G1161" t="s">
        <v>547</v>
      </c>
    </row>
    <row r="1162" spans="1:7">
      <c r="A1162" t="s">
        <v>128</v>
      </c>
      <c r="B1162" t="s">
        <v>513</v>
      </c>
      <c r="C1162" t="s">
        <v>512</v>
      </c>
      <c r="D1162">
        <v>7.9274700000000003E-2</v>
      </c>
      <c r="E1162" t="s">
        <v>443</v>
      </c>
      <c r="F1162" t="s">
        <v>514</v>
      </c>
      <c r="G1162" t="s">
        <v>515</v>
      </c>
    </row>
    <row r="1163" spans="1:7">
      <c r="A1163" t="s">
        <v>128</v>
      </c>
      <c r="B1163" t="s">
        <v>594</v>
      </c>
      <c r="C1163" t="s">
        <v>593</v>
      </c>
      <c r="D1163">
        <v>7.8966300000000003E-2</v>
      </c>
      <c r="E1163" t="s">
        <v>505</v>
      </c>
      <c r="F1163" t="s">
        <v>595</v>
      </c>
      <c r="G1163" t="s">
        <v>596</v>
      </c>
    </row>
    <row r="1164" spans="1:7">
      <c r="A1164" t="s">
        <v>128</v>
      </c>
      <c r="B1164" t="s">
        <v>571</v>
      </c>
      <c r="C1164" t="s">
        <v>570</v>
      </c>
      <c r="D1164">
        <v>6.7041404999999998E-2</v>
      </c>
      <c r="E1164" t="s">
        <v>505</v>
      </c>
      <c r="F1164" t="s">
        <v>572</v>
      </c>
      <c r="G1164" t="s">
        <v>573</v>
      </c>
    </row>
    <row r="1165" spans="1:7">
      <c r="A1165" t="s">
        <v>128</v>
      </c>
      <c r="B1165" t="s">
        <v>563</v>
      </c>
      <c r="C1165" t="s">
        <v>562</v>
      </c>
      <c r="D1165">
        <v>6.4963999999999994E-2</v>
      </c>
      <c r="E1165" t="s">
        <v>505</v>
      </c>
      <c r="F1165" t="s">
        <v>564</v>
      </c>
      <c r="G1165" t="s">
        <v>565</v>
      </c>
    </row>
    <row r="1166" spans="1:7">
      <c r="A1166" t="s">
        <v>128</v>
      </c>
      <c r="B1166" t="s">
        <v>647</v>
      </c>
      <c r="C1166" t="s">
        <v>646</v>
      </c>
      <c r="D1166">
        <v>4.4921700000000002E-2</v>
      </c>
      <c r="E1166" t="s">
        <v>443</v>
      </c>
      <c r="F1166" t="s">
        <v>648</v>
      </c>
      <c r="G1166" t="s">
        <v>649</v>
      </c>
    </row>
    <row r="1167" spans="1:7">
      <c r="A1167" t="s">
        <v>128</v>
      </c>
      <c r="B1167" t="s">
        <v>1479</v>
      </c>
      <c r="C1167" t="s">
        <v>1478</v>
      </c>
      <c r="D1167">
        <v>4.4119600000000002E-2</v>
      </c>
      <c r="E1167" t="s">
        <v>505</v>
      </c>
      <c r="F1167" t="s">
        <v>1480</v>
      </c>
      <c r="G1167" t="s">
        <v>1481</v>
      </c>
    </row>
    <row r="1168" spans="1:7">
      <c r="A1168" t="s">
        <v>128</v>
      </c>
      <c r="B1168" t="s">
        <v>2400</v>
      </c>
      <c r="C1168" t="s">
        <v>2399</v>
      </c>
      <c r="D1168">
        <v>3.9267499999999997E-2</v>
      </c>
      <c r="E1168" t="s">
        <v>489</v>
      </c>
      <c r="F1168" t="s">
        <v>490</v>
      </c>
      <c r="G1168" t="s">
        <v>490</v>
      </c>
    </row>
    <row r="1169" spans="1:7">
      <c r="A1169" t="s">
        <v>128</v>
      </c>
      <c r="B1169" t="s">
        <v>693</v>
      </c>
      <c r="C1169" t="s">
        <v>692</v>
      </c>
      <c r="D1169">
        <v>3.89206E-2</v>
      </c>
      <c r="E1169" t="s">
        <v>505</v>
      </c>
      <c r="F1169" t="s">
        <v>694</v>
      </c>
      <c r="G1169" t="s">
        <v>695</v>
      </c>
    </row>
    <row r="1170" spans="1:7">
      <c r="A1170" t="s">
        <v>129</v>
      </c>
      <c r="B1170" t="s">
        <v>130</v>
      </c>
      <c r="C1170" t="s">
        <v>3143</v>
      </c>
      <c r="D1170">
        <v>1.005232E-2</v>
      </c>
      <c r="E1170" t="s">
        <v>1659</v>
      </c>
      <c r="F1170" t="s">
        <v>490</v>
      </c>
      <c r="G1170" t="s">
        <v>3144</v>
      </c>
    </row>
    <row r="1171" spans="1:7">
      <c r="A1171" t="s">
        <v>130</v>
      </c>
      <c r="B1171" t="s">
        <v>687</v>
      </c>
      <c r="C1171" t="s">
        <v>686</v>
      </c>
      <c r="D1171">
        <v>9.2463400000000001E-2</v>
      </c>
      <c r="E1171" t="s">
        <v>489</v>
      </c>
      <c r="F1171" t="s">
        <v>490</v>
      </c>
      <c r="G1171" t="s">
        <v>490</v>
      </c>
    </row>
    <row r="1172" spans="1:7">
      <c r="A1172" t="s">
        <v>130</v>
      </c>
      <c r="B1172" t="s">
        <v>635</v>
      </c>
      <c r="C1172" t="s">
        <v>634</v>
      </c>
      <c r="D1172">
        <v>8.9982993999999997E-2</v>
      </c>
      <c r="E1172" t="s">
        <v>590</v>
      </c>
      <c r="F1172" t="s">
        <v>636</v>
      </c>
      <c r="G1172" t="s">
        <v>637</v>
      </c>
    </row>
    <row r="1173" spans="1:7">
      <c r="A1173" t="s">
        <v>130</v>
      </c>
      <c r="B1173" t="s">
        <v>539</v>
      </c>
      <c r="C1173" t="s">
        <v>538</v>
      </c>
      <c r="D1173">
        <v>8.5531200000000002E-2</v>
      </c>
      <c r="E1173" t="s">
        <v>489</v>
      </c>
      <c r="F1173" t="s">
        <v>490</v>
      </c>
      <c r="G1173" t="s">
        <v>490</v>
      </c>
    </row>
    <row r="1174" spans="1:7">
      <c r="A1174" t="s">
        <v>130</v>
      </c>
      <c r="B1174" t="s">
        <v>858</v>
      </c>
      <c r="C1174" t="s">
        <v>857</v>
      </c>
      <c r="D1174">
        <v>7.4290800000000004E-2</v>
      </c>
      <c r="E1174" t="s">
        <v>505</v>
      </c>
      <c r="F1174" t="s">
        <v>859</v>
      </c>
      <c r="G1174" t="s">
        <v>860</v>
      </c>
    </row>
    <row r="1175" spans="1:7">
      <c r="A1175" t="s">
        <v>130</v>
      </c>
      <c r="B1175" t="s">
        <v>1013</v>
      </c>
      <c r="C1175" t="s">
        <v>1012</v>
      </c>
      <c r="D1175">
        <v>6.5762399999999999E-2</v>
      </c>
      <c r="E1175" t="s">
        <v>505</v>
      </c>
      <c r="F1175" t="s">
        <v>1014</v>
      </c>
      <c r="G1175" t="s">
        <v>1015</v>
      </c>
    </row>
    <row r="1176" spans="1:7">
      <c r="A1176" t="s">
        <v>130</v>
      </c>
      <c r="B1176" t="s">
        <v>762</v>
      </c>
      <c r="C1176" t="s">
        <v>761</v>
      </c>
      <c r="D1176">
        <v>6.3575804E-2</v>
      </c>
      <c r="E1176" t="s">
        <v>505</v>
      </c>
      <c r="F1176" t="s">
        <v>763</v>
      </c>
      <c r="G1176" t="s">
        <v>764</v>
      </c>
    </row>
    <row r="1177" spans="1:7">
      <c r="A1177" t="s">
        <v>130</v>
      </c>
      <c r="B1177" t="s">
        <v>598</v>
      </c>
      <c r="C1177" t="s">
        <v>597</v>
      </c>
      <c r="D1177">
        <v>4.9898699999999997E-2</v>
      </c>
      <c r="E1177" t="s">
        <v>489</v>
      </c>
      <c r="F1177" t="s">
        <v>490</v>
      </c>
      <c r="G1177" t="s">
        <v>490</v>
      </c>
    </row>
    <row r="1178" spans="1:7">
      <c r="A1178" t="s">
        <v>130</v>
      </c>
      <c r="B1178" t="s">
        <v>1082</v>
      </c>
      <c r="C1178" t="s">
        <v>1081</v>
      </c>
      <c r="D1178">
        <v>4.5578899999999999E-2</v>
      </c>
      <c r="E1178" t="s">
        <v>590</v>
      </c>
      <c r="F1178" t="s">
        <v>1083</v>
      </c>
      <c r="G1178" t="s">
        <v>1084</v>
      </c>
    </row>
    <row r="1179" spans="1:7">
      <c r="A1179" t="s">
        <v>130</v>
      </c>
      <c r="B1179" t="s">
        <v>872</v>
      </c>
      <c r="C1179" t="s">
        <v>871</v>
      </c>
      <c r="D1179">
        <v>4.5348199999999998E-2</v>
      </c>
      <c r="E1179" t="s">
        <v>505</v>
      </c>
      <c r="F1179" t="s">
        <v>873</v>
      </c>
      <c r="G1179" t="s">
        <v>874</v>
      </c>
    </row>
    <row r="1180" spans="1:7">
      <c r="A1180" t="s">
        <v>130</v>
      </c>
      <c r="B1180" t="s">
        <v>639</v>
      </c>
      <c r="C1180" t="s">
        <v>638</v>
      </c>
      <c r="D1180">
        <v>4.4829401999999997E-2</v>
      </c>
      <c r="E1180" t="s">
        <v>505</v>
      </c>
      <c r="F1180" t="s">
        <v>640</v>
      </c>
      <c r="G1180" t="s">
        <v>641</v>
      </c>
    </row>
    <row r="1181" spans="1:7">
      <c r="A1181" t="s">
        <v>131</v>
      </c>
      <c r="B1181" t="s">
        <v>622</v>
      </c>
      <c r="C1181" t="s">
        <v>621</v>
      </c>
      <c r="D1181">
        <v>7.3949399999999998E-2</v>
      </c>
      <c r="E1181" t="s">
        <v>623</v>
      </c>
      <c r="F1181" t="s">
        <v>624</v>
      </c>
      <c r="G1181" t="s">
        <v>625</v>
      </c>
    </row>
    <row r="1182" spans="1:7">
      <c r="A1182" t="s">
        <v>131</v>
      </c>
      <c r="B1182" t="s">
        <v>1291</v>
      </c>
      <c r="C1182" t="s">
        <v>1290</v>
      </c>
      <c r="D1182">
        <v>7.2561100000000003E-2</v>
      </c>
      <c r="E1182" t="s">
        <v>783</v>
      </c>
      <c r="F1182" t="s">
        <v>1292</v>
      </c>
      <c r="G1182" t="s">
        <v>1293</v>
      </c>
    </row>
    <row r="1183" spans="1:7">
      <c r="A1183" t="s">
        <v>131</v>
      </c>
      <c r="B1183" t="s">
        <v>1434</v>
      </c>
      <c r="C1183" t="s">
        <v>1433</v>
      </c>
      <c r="D1183">
        <v>3.8309000000000003E-2</v>
      </c>
      <c r="E1183" t="s">
        <v>1118</v>
      </c>
      <c r="F1183" t="s">
        <v>1435</v>
      </c>
      <c r="G1183" t="s">
        <v>1436</v>
      </c>
    </row>
    <row r="1184" spans="1:7">
      <c r="A1184" t="s">
        <v>131</v>
      </c>
      <c r="B1184" t="s">
        <v>737</v>
      </c>
      <c r="C1184" t="s">
        <v>736</v>
      </c>
      <c r="D1184">
        <v>3.8131699999999998E-2</v>
      </c>
      <c r="E1184" t="s">
        <v>505</v>
      </c>
      <c r="F1184" t="s">
        <v>738</v>
      </c>
      <c r="G1184" t="s">
        <v>739</v>
      </c>
    </row>
    <row r="1185" spans="1:7">
      <c r="A1185" t="s">
        <v>131</v>
      </c>
      <c r="B1185" t="s">
        <v>1447</v>
      </c>
      <c r="C1185" t="s">
        <v>1446</v>
      </c>
      <c r="D1185">
        <v>3.6443099999999999E-2</v>
      </c>
      <c r="E1185" t="s">
        <v>754</v>
      </c>
      <c r="F1185" t="s">
        <v>1448</v>
      </c>
      <c r="G1185" t="s">
        <v>1449</v>
      </c>
    </row>
    <row r="1186" spans="1:7">
      <c r="A1186" t="s">
        <v>131</v>
      </c>
      <c r="B1186" t="s">
        <v>2696</v>
      </c>
      <c r="C1186" t="s">
        <v>2695</v>
      </c>
      <c r="D1186">
        <v>3.08276E-2</v>
      </c>
      <c r="E1186" t="s">
        <v>1055</v>
      </c>
      <c r="F1186" t="s">
        <v>2697</v>
      </c>
      <c r="G1186" t="s">
        <v>2698</v>
      </c>
    </row>
    <row r="1187" spans="1:7">
      <c r="A1187" t="s">
        <v>131</v>
      </c>
      <c r="B1187" t="s">
        <v>549</v>
      </c>
      <c r="C1187" t="s">
        <v>548</v>
      </c>
      <c r="D1187">
        <v>3.00518E-2</v>
      </c>
      <c r="E1187" t="s">
        <v>505</v>
      </c>
      <c r="F1187" t="s">
        <v>550</v>
      </c>
      <c r="G1187" t="s">
        <v>551</v>
      </c>
    </row>
    <row r="1188" spans="1:7">
      <c r="A1188" t="s">
        <v>131</v>
      </c>
      <c r="B1188" t="s">
        <v>2766</v>
      </c>
      <c r="C1188" t="s">
        <v>2765</v>
      </c>
      <c r="D1188">
        <v>2.9307598000000001E-2</v>
      </c>
      <c r="E1188" t="s">
        <v>590</v>
      </c>
      <c r="F1188" t="s">
        <v>2767</v>
      </c>
      <c r="G1188" t="s">
        <v>2768</v>
      </c>
    </row>
    <row r="1189" spans="1:7">
      <c r="A1189" t="s">
        <v>131</v>
      </c>
      <c r="B1189" t="s">
        <v>667</v>
      </c>
      <c r="C1189" t="s">
        <v>666</v>
      </c>
      <c r="D1189">
        <v>2.3207700000000001E-2</v>
      </c>
      <c r="E1189" t="s">
        <v>613</v>
      </c>
      <c r="F1189" t="s">
        <v>668</v>
      </c>
      <c r="G1189" t="s">
        <v>669</v>
      </c>
    </row>
    <row r="1190" spans="1:7">
      <c r="A1190" t="s">
        <v>131</v>
      </c>
      <c r="B1190" t="s">
        <v>2932</v>
      </c>
      <c r="C1190" t="s">
        <v>2931</v>
      </c>
      <c r="D1190">
        <v>2.31519E-2</v>
      </c>
      <c r="E1190" t="s">
        <v>2933</v>
      </c>
      <c r="F1190" t="s">
        <v>2934</v>
      </c>
      <c r="G1190" t="s">
        <v>2935</v>
      </c>
    </row>
    <row r="1191" spans="1:7">
      <c r="A1191" t="s">
        <v>133</v>
      </c>
      <c r="B1191" t="s">
        <v>594</v>
      </c>
      <c r="C1191" t="s">
        <v>593</v>
      </c>
      <c r="D1191">
        <v>8.3041699999999996E-2</v>
      </c>
      <c r="E1191" t="s">
        <v>505</v>
      </c>
      <c r="F1191" t="s">
        <v>595</v>
      </c>
      <c r="G1191" t="s">
        <v>596</v>
      </c>
    </row>
    <row r="1192" spans="1:7">
      <c r="A1192" t="s">
        <v>133</v>
      </c>
      <c r="B1192" t="s">
        <v>545</v>
      </c>
      <c r="C1192" t="s">
        <v>544</v>
      </c>
      <c r="D1192">
        <v>7.6567895999999996E-2</v>
      </c>
      <c r="E1192" t="s">
        <v>505</v>
      </c>
      <c r="F1192" t="s">
        <v>546</v>
      </c>
      <c r="G1192" t="s">
        <v>547</v>
      </c>
    </row>
    <row r="1193" spans="1:7">
      <c r="A1193" t="s">
        <v>133</v>
      </c>
      <c r="B1193" t="s">
        <v>571</v>
      </c>
      <c r="C1193" t="s">
        <v>570</v>
      </c>
      <c r="D1193">
        <v>7.0987800000000004E-2</v>
      </c>
      <c r="E1193" t="s">
        <v>505</v>
      </c>
      <c r="F1193" t="s">
        <v>572</v>
      </c>
      <c r="G1193" t="s">
        <v>573</v>
      </c>
    </row>
    <row r="1194" spans="1:7">
      <c r="A1194" t="s">
        <v>133</v>
      </c>
      <c r="B1194" t="s">
        <v>753</v>
      </c>
      <c r="C1194" t="s">
        <v>752</v>
      </c>
      <c r="D1194">
        <v>6.6337495999999996E-2</v>
      </c>
      <c r="E1194" t="s">
        <v>754</v>
      </c>
      <c r="F1194" t="s">
        <v>755</v>
      </c>
      <c r="G1194" t="s">
        <v>756</v>
      </c>
    </row>
    <row r="1195" spans="1:7">
      <c r="A1195" t="s">
        <v>133</v>
      </c>
      <c r="B1195" t="s">
        <v>709</v>
      </c>
      <c r="C1195" t="s">
        <v>708</v>
      </c>
      <c r="D1195">
        <v>6.5982399999999997E-2</v>
      </c>
      <c r="E1195" t="s">
        <v>443</v>
      </c>
      <c r="F1195" t="s">
        <v>710</v>
      </c>
      <c r="G1195" t="s">
        <v>711</v>
      </c>
    </row>
    <row r="1196" spans="1:7">
      <c r="A1196" t="s">
        <v>133</v>
      </c>
      <c r="B1196" t="s">
        <v>563</v>
      </c>
      <c r="C1196" t="s">
        <v>562</v>
      </c>
      <c r="D1196">
        <v>5.3235600000000001E-2</v>
      </c>
      <c r="E1196" t="s">
        <v>505</v>
      </c>
      <c r="F1196" t="s">
        <v>564</v>
      </c>
      <c r="G1196" t="s">
        <v>565</v>
      </c>
    </row>
    <row r="1197" spans="1:7">
      <c r="A1197" t="s">
        <v>133</v>
      </c>
      <c r="B1197" t="s">
        <v>1277</v>
      </c>
      <c r="C1197" t="s">
        <v>1276</v>
      </c>
      <c r="D1197">
        <v>4.7429199999999998E-2</v>
      </c>
      <c r="E1197" t="s">
        <v>1278</v>
      </c>
      <c r="F1197" t="s">
        <v>1279</v>
      </c>
      <c r="G1197" t="s">
        <v>1280</v>
      </c>
    </row>
    <row r="1198" spans="1:7">
      <c r="A1198" t="s">
        <v>133</v>
      </c>
      <c r="B1198" t="s">
        <v>1078</v>
      </c>
      <c r="C1198" t="s">
        <v>1077</v>
      </c>
      <c r="D1198">
        <v>4.5905899999999999E-2</v>
      </c>
      <c r="E1198" t="s">
        <v>505</v>
      </c>
      <c r="F1198" t="s">
        <v>1079</v>
      </c>
      <c r="G1198" t="s">
        <v>1080</v>
      </c>
    </row>
    <row r="1199" spans="1:7">
      <c r="A1199" t="s">
        <v>133</v>
      </c>
      <c r="B1199" t="s">
        <v>1301</v>
      </c>
      <c r="C1199" t="s">
        <v>1300</v>
      </c>
      <c r="D1199">
        <v>4.3611496999999999E-2</v>
      </c>
      <c r="E1199" t="s">
        <v>489</v>
      </c>
      <c r="F1199" t="s">
        <v>490</v>
      </c>
      <c r="G1199" t="s">
        <v>490</v>
      </c>
    </row>
    <row r="1200" spans="1:7">
      <c r="A1200" t="s">
        <v>133</v>
      </c>
      <c r="B1200" t="s">
        <v>866</v>
      </c>
      <c r="C1200" t="s">
        <v>865</v>
      </c>
      <c r="D1200">
        <v>3.70447E-2</v>
      </c>
      <c r="E1200" t="s">
        <v>754</v>
      </c>
      <c r="F1200" t="s">
        <v>867</v>
      </c>
      <c r="G1200" t="s">
        <v>868</v>
      </c>
    </row>
    <row r="1201" spans="1:7">
      <c r="A1201" t="s">
        <v>134</v>
      </c>
      <c r="B1201" t="s">
        <v>598</v>
      </c>
      <c r="C1201" t="s">
        <v>597</v>
      </c>
      <c r="D1201">
        <v>9.4096094000000005E-2</v>
      </c>
      <c r="E1201" t="s">
        <v>489</v>
      </c>
      <c r="F1201" t="s">
        <v>490</v>
      </c>
      <c r="G1201" t="s">
        <v>490</v>
      </c>
    </row>
    <row r="1202" spans="1:7">
      <c r="A1202" t="s">
        <v>134</v>
      </c>
      <c r="B1202" t="s">
        <v>836</v>
      </c>
      <c r="C1202" t="s">
        <v>835</v>
      </c>
      <c r="D1202">
        <v>7.6186100000000007E-2</v>
      </c>
      <c r="E1202" t="s">
        <v>505</v>
      </c>
      <c r="F1202" t="s">
        <v>837</v>
      </c>
      <c r="G1202" t="s">
        <v>838</v>
      </c>
    </row>
    <row r="1203" spans="1:7">
      <c r="A1203" t="s">
        <v>134</v>
      </c>
      <c r="B1203" t="s">
        <v>639</v>
      </c>
      <c r="C1203" t="s">
        <v>638</v>
      </c>
      <c r="D1203">
        <v>7.5200100000000006E-2</v>
      </c>
      <c r="E1203" t="s">
        <v>505</v>
      </c>
      <c r="F1203" t="s">
        <v>640</v>
      </c>
      <c r="G1203" t="s">
        <v>641</v>
      </c>
    </row>
    <row r="1204" spans="1:7">
      <c r="A1204" t="s">
        <v>134</v>
      </c>
      <c r="B1204" t="s">
        <v>872</v>
      </c>
      <c r="C1204" t="s">
        <v>871</v>
      </c>
      <c r="D1204">
        <v>6.0463099999999999E-2</v>
      </c>
      <c r="E1204" t="s">
        <v>505</v>
      </c>
      <c r="F1204" t="s">
        <v>873</v>
      </c>
      <c r="G1204" t="s">
        <v>874</v>
      </c>
    </row>
    <row r="1205" spans="1:7">
      <c r="A1205" t="s">
        <v>134</v>
      </c>
      <c r="B1205" t="s">
        <v>539</v>
      </c>
      <c r="C1205" t="s">
        <v>538</v>
      </c>
      <c r="D1205">
        <v>5.33731E-2</v>
      </c>
      <c r="E1205" t="s">
        <v>489</v>
      </c>
      <c r="F1205" t="s">
        <v>490</v>
      </c>
      <c r="G1205" t="s">
        <v>490</v>
      </c>
    </row>
    <row r="1206" spans="1:7">
      <c r="A1206" t="s">
        <v>134</v>
      </c>
      <c r="B1206" t="s">
        <v>762</v>
      </c>
      <c r="C1206" t="s">
        <v>761</v>
      </c>
      <c r="D1206">
        <v>5.1891E-2</v>
      </c>
      <c r="E1206" t="s">
        <v>505</v>
      </c>
      <c r="F1206" t="s">
        <v>763</v>
      </c>
      <c r="G1206" t="s">
        <v>764</v>
      </c>
    </row>
    <row r="1207" spans="1:7">
      <c r="A1207" t="s">
        <v>134</v>
      </c>
      <c r="B1207" t="s">
        <v>1086</v>
      </c>
      <c r="C1207" t="s">
        <v>1085</v>
      </c>
      <c r="D1207">
        <v>4.3407302000000002E-2</v>
      </c>
      <c r="E1207" t="s">
        <v>505</v>
      </c>
      <c r="F1207" t="s">
        <v>1087</v>
      </c>
      <c r="G1207" t="s">
        <v>1088</v>
      </c>
    </row>
    <row r="1208" spans="1:7">
      <c r="A1208" t="s">
        <v>134</v>
      </c>
      <c r="B1208" t="s">
        <v>2285</v>
      </c>
      <c r="C1208" t="s">
        <v>2284</v>
      </c>
      <c r="D1208">
        <v>4.1738699999999997E-2</v>
      </c>
      <c r="E1208" t="s">
        <v>489</v>
      </c>
      <c r="F1208" t="s">
        <v>490</v>
      </c>
      <c r="G1208" t="s">
        <v>490</v>
      </c>
    </row>
    <row r="1209" spans="1:7">
      <c r="A1209" t="s">
        <v>134</v>
      </c>
      <c r="B1209" t="s">
        <v>2435</v>
      </c>
      <c r="C1209" t="s">
        <v>2434</v>
      </c>
      <c r="D1209">
        <v>3.8332100000000001E-2</v>
      </c>
      <c r="E1209" t="s">
        <v>505</v>
      </c>
      <c r="F1209" t="s">
        <v>2436</v>
      </c>
      <c r="G1209" t="s">
        <v>2437</v>
      </c>
    </row>
    <row r="1210" spans="1:7">
      <c r="A1210" t="s">
        <v>134</v>
      </c>
      <c r="B1210" t="s">
        <v>2580</v>
      </c>
      <c r="C1210" t="s">
        <v>2579</v>
      </c>
      <c r="D1210">
        <v>3.4609599999999997E-2</v>
      </c>
      <c r="E1210" t="s">
        <v>505</v>
      </c>
      <c r="F1210" t="s">
        <v>2581</v>
      </c>
      <c r="G1210" t="s">
        <v>2582</v>
      </c>
    </row>
    <row r="1211" spans="1:7">
      <c r="A1211" t="s">
        <v>135</v>
      </c>
      <c r="B1211" t="s">
        <v>1724</v>
      </c>
      <c r="C1211" t="s">
        <v>1723</v>
      </c>
      <c r="D1211">
        <v>7.3368100000000006E-2</v>
      </c>
      <c r="E1211" t="s">
        <v>505</v>
      </c>
      <c r="F1211" t="s">
        <v>1725</v>
      </c>
      <c r="G1211" t="s">
        <v>1726</v>
      </c>
    </row>
    <row r="1212" spans="1:7">
      <c r="A1212" t="s">
        <v>135</v>
      </c>
      <c r="B1212" t="s">
        <v>977</v>
      </c>
      <c r="C1212" t="s">
        <v>976</v>
      </c>
      <c r="D1212">
        <v>5.1064999999999999E-2</v>
      </c>
      <c r="E1212" t="s">
        <v>505</v>
      </c>
      <c r="F1212" t="s">
        <v>978</v>
      </c>
      <c r="G1212" t="s">
        <v>979</v>
      </c>
    </row>
    <row r="1213" spans="1:7">
      <c r="A1213" t="s">
        <v>135</v>
      </c>
      <c r="B1213" t="s">
        <v>1919</v>
      </c>
      <c r="C1213" t="s">
        <v>1918</v>
      </c>
      <c r="D1213">
        <v>5.0883003000000003E-2</v>
      </c>
      <c r="E1213" t="s">
        <v>1920</v>
      </c>
      <c r="F1213" t="s">
        <v>1921</v>
      </c>
      <c r="G1213" t="s">
        <v>1922</v>
      </c>
    </row>
    <row r="1214" spans="1:7">
      <c r="A1214" t="s">
        <v>135</v>
      </c>
      <c r="B1214" t="s">
        <v>1969</v>
      </c>
      <c r="C1214" t="s">
        <v>1968</v>
      </c>
      <c r="D1214">
        <v>4.88274E-2</v>
      </c>
      <c r="E1214" t="s">
        <v>590</v>
      </c>
      <c r="F1214" t="s">
        <v>1970</v>
      </c>
      <c r="G1214" t="s">
        <v>1971</v>
      </c>
    </row>
    <row r="1215" spans="1:7">
      <c r="A1215" t="s">
        <v>135</v>
      </c>
      <c r="B1215" t="s">
        <v>2041</v>
      </c>
      <c r="C1215" t="s">
        <v>2040</v>
      </c>
      <c r="D1215">
        <v>4.6374899999999997E-2</v>
      </c>
      <c r="E1215" t="s">
        <v>489</v>
      </c>
      <c r="F1215" t="s">
        <v>490</v>
      </c>
      <c r="G1215" t="s">
        <v>490</v>
      </c>
    </row>
    <row r="1216" spans="1:7">
      <c r="A1216" t="s">
        <v>135</v>
      </c>
      <c r="B1216" t="s">
        <v>1113</v>
      </c>
      <c r="C1216" t="s">
        <v>1112</v>
      </c>
      <c r="D1216">
        <v>4.4291902000000001E-2</v>
      </c>
      <c r="E1216" t="s">
        <v>505</v>
      </c>
      <c r="F1216" t="s">
        <v>1114</v>
      </c>
      <c r="G1216" t="s">
        <v>1115</v>
      </c>
    </row>
    <row r="1217" spans="1:7">
      <c r="A1217" t="s">
        <v>135</v>
      </c>
      <c r="B1217" t="s">
        <v>2275</v>
      </c>
      <c r="C1217" t="s">
        <v>2274</v>
      </c>
      <c r="D1217">
        <v>4.17936E-2</v>
      </c>
      <c r="E1217" t="s">
        <v>505</v>
      </c>
      <c r="F1217" t="s">
        <v>2276</v>
      </c>
      <c r="G1217" t="s">
        <v>2277</v>
      </c>
    </row>
    <row r="1218" spans="1:7">
      <c r="A1218" t="s">
        <v>135</v>
      </c>
      <c r="B1218" t="s">
        <v>2338</v>
      </c>
      <c r="C1218" t="s">
        <v>2337</v>
      </c>
      <c r="D1218">
        <v>4.0710499999999997E-2</v>
      </c>
      <c r="E1218" t="s">
        <v>489</v>
      </c>
      <c r="F1218" t="s">
        <v>490</v>
      </c>
      <c r="G1218" t="s">
        <v>490</v>
      </c>
    </row>
    <row r="1219" spans="1:7">
      <c r="A1219" t="s">
        <v>135</v>
      </c>
      <c r="B1219" t="s">
        <v>2445</v>
      </c>
      <c r="C1219" t="s">
        <v>2444</v>
      </c>
      <c r="D1219">
        <v>3.7997700000000002E-2</v>
      </c>
      <c r="E1219" t="s">
        <v>505</v>
      </c>
      <c r="F1219" t="s">
        <v>2446</v>
      </c>
      <c r="G1219" t="s">
        <v>2314</v>
      </c>
    </row>
    <row r="1220" spans="1:7">
      <c r="A1220" t="s">
        <v>135</v>
      </c>
      <c r="B1220" t="s">
        <v>2611</v>
      </c>
      <c r="C1220" t="s">
        <v>2610</v>
      </c>
      <c r="D1220">
        <v>3.3897999999999998E-2</v>
      </c>
      <c r="E1220" t="s">
        <v>505</v>
      </c>
      <c r="F1220" t="s">
        <v>2612</v>
      </c>
      <c r="G1220" t="s">
        <v>2613</v>
      </c>
    </row>
    <row r="1221" spans="1:7">
      <c r="A1221" t="s">
        <v>136</v>
      </c>
      <c r="B1221" t="s">
        <v>2418</v>
      </c>
      <c r="C1221" t="s">
        <v>2417</v>
      </c>
      <c r="D1221">
        <v>3.8504099999999999E-2</v>
      </c>
      <c r="E1221" t="s">
        <v>443</v>
      </c>
      <c r="F1221" t="s">
        <v>2419</v>
      </c>
      <c r="G1221" t="s">
        <v>2420</v>
      </c>
    </row>
    <row r="1222" spans="1:7">
      <c r="A1222" t="s">
        <v>136</v>
      </c>
      <c r="B1222" t="s">
        <v>1581</v>
      </c>
      <c r="C1222" t="s">
        <v>1580</v>
      </c>
      <c r="D1222">
        <v>3.7708499999999999E-2</v>
      </c>
      <c r="E1222" t="s">
        <v>505</v>
      </c>
      <c r="F1222" t="s">
        <v>1582</v>
      </c>
      <c r="G1222" t="s">
        <v>1583</v>
      </c>
    </row>
    <row r="1223" spans="1:7">
      <c r="A1223" t="s">
        <v>136</v>
      </c>
      <c r="B1223" t="s">
        <v>1401</v>
      </c>
      <c r="C1223" t="s">
        <v>1400</v>
      </c>
      <c r="D1223">
        <v>3.7393401999999999E-2</v>
      </c>
      <c r="E1223" t="s">
        <v>505</v>
      </c>
      <c r="F1223" t="s">
        <v>942</v>
      </c>
      <c r="G1223" t="s">
        <v>1402</v>
      </c>
    </row>
    <row r="1224" spans="1:7">
      <c r="A1224" t="s">
        <v>136</v>
      </c>
      <c r="B1224" t="s">
        <v>892</v>
      </c>
      <c r="C1224" t="s">
        <v>891</v>
      </c>
      <c r="D1224">
        <v>3.5451099999999999E-2</v>
      </c>
      <c r="E1224" t="s">
        <v>443</v>
      </c>
      <c r="F1224" t="s">
        <v>893</v>
      </c>
      <c r="G1224" t="s">
        <v>894</v>
      </c>
    </row>
    <row r="1225" spans="1:7">
      <c r="A1225" t="s">
        <v>136</v>
      </c>
      <c r="B1225" t="s">
        <v>2566</v>
      </c>
      <c r="C1225" t="s">
        <v>2565</v>
      </c>
      <c r="D1225">
        <v>3.4751299999999999E-2</v>
      </c>
      <c r="E1225" t="s">
        <v>489</v>
      </c>
      <c r="F1225" t="s">
        <v>490</v>
      </c>
      <c r="G1225" t="s">
        <v>490</v>
      </c>
    </row>
    <row r="1226" spans="1:7">
      <c r="A1226" t="s">
        <v>136</v>
      </c>
      <c r="B1226" t="s">
        <v>2568</v>
      </c>
      <c r="C1226" t="s">
        <v>2567</v>
      </c>
      <c r="D1226">
        <v>3.4720599999999997E-2</v>
      </c>
      <c r="E1226" t="s">
        <v>505</v>
      </c>
      <c r="F1226" t="s">
        <v>2569</v>
      </c>
      <c r="G1226" t="s">
        <v>2570</v>
      </c>
    </row>
    <row r="1227" spans="1:7">
      <c r="A1227" t="s">
        <v>136</v>
      </c>
      <c r="B1227" t="s">
        <v>2576</v>
      </c>
      <c r="C1227" t="s">
        <v>2575</v>
      </c>
      <c r="D1227">
        <v>3.4629500000000001E-2</v>
      </c>
      <c r="E1227" t="s">
        <v>505</v>
      </c>
      <c r="F1227" t="s">
        <v>2577</v>
      </c>
      <c r="G1227" t="s">
        <v>2578</v>
      </c>
    </row>
    <row r="1228" spans="1:7">
      <c r="A1228" t="s">
        <v>136</v>
      </c>
      <c r="B1228" t="s">
        <v>1050</v>
      </c>
      <c r="C1228" t="s">
        <v>1049</v>
      </c>
      <c r="D1228">
        <v>3.4237299999999998E-2</v>
      </c>
      <c r="E1228" t="s">
        <v>505</v>
      </c>
      <c r="F1228" t="s">
        <v>1051</v>
      </c>
      <c r="G1228" t="s">
        <v>1052</v>
      </c>
    </row>
    <row r="1229" spans="1:7">
      <c r="A1229" t="s">
        <v>136</v>
      </c>
      <c r="B1229" t="s">
        <v>492</v>
      </c>
      <c r="C1229" t="s">
        <v>491</v>
      </c>
      <c r="D1229">
        <v>3.4201299999999997E-2</v>
      </c>
      <c r="E1229" t="s">
        <v>443</v>
      </c>
      <c r="F1229" t="s">
        <v>493</v>
      </c>
      <c r="G1229" t="s">
        <v>494</v>
      </c>
    </row>
    <row r="1230" spans="1:7">
      <c r="A1230" t="s">
        <v>136</v>
      </c>
      <c r="B1230" t="s">
        <v>870</v>
      </c>
      <c r="C1230" t="s">
        <v>869</v>
      </c>
      <c r="D1230">
        <v>3.4159500000000002E-2</v>
      </c>
      <c r="E1230" t="s">
        <v>489</v>
      </c>
      <c r="F1230" t="s">
        <v>490</v>
      </c>
      <c r="G1230" t="s">
        <v>490</v>
      </c>
    </row>
    <row r="1231" spans="1:7">
      <c r="A1231" t="s">
        <v>137</v>
      </c>
      <c r="B1231" t="s">
        <v>1393</v>
      </c>
      <c r="C1231" t="s">
        <v>1392</v>
      </c>
      <c r="D1231">
        <v>5.3423400000000003E-2</v>
      </c>
      <c r="E1231" t="s">
        <v>1055</v>
      </c>
      <c r="F1231" t="s">
        <v>1394</v>
      </c>
      <c r="G1231" t="s">
        <v>1395</v>
      </c>
    </row>
    <row r="1232" spans="1:7">
      <c r="A1232" t="s">
        <v>137</v>
      </c>
      <c r="B1232" t="s">
        <v>1459</v>
      </c>
      <c r="C1232" t="s">
        <v>1458</v>
      </c>
      <c r="D1232">
        <v>3.7686999999999998E-2</v>
      </c>
      <c r="E1232" t="s">
        <v>590</v>
      </c>
      <c r="F1232" t="s">
        <v>1460</v>
      </c>
      <c r="G1232" t="s">
        <v>1461</v>
      </c>
    </row>
    <row r="1233" spans="1:7">
      <c r="A1233" t="s">
        <v>137</v>
      </c>
      <c r="B1233" t="s">
        <v>2615</v>
      </c>
      <c r="C1233" t="s">
        <v>2614</v>
      </c>
      <c r="D1233">
        <v>3.3725199999999997E-2</v>
      </c>
      <c r="E1233" t="s">
        <v>826</v>
      </c>
      <c r="F1233" t="s">
        <v>2616</v>
      </c>
      <c r="G1233" t="s">
        <v>2617</v>
      </c>
    </row>
    <row r="1234" spans="1:7">
      <c r="A1234" t="s">
        <v>137</v>
      </c>
      <c r="B1234" t="s">
        <v>876</v>
      </c>
      <c r="C1234" t="s">
        <v>875</v>
      </c>
      <c r="D1234">
        <v>3.1227800999999999E-2</v>
      </c>
      <c r="E1234" t="s">
        <v>590</v>
      </c>
      <c r="F1234" t="s">
        <v>877</v>
      </c>
      <c r="G1234" t="s">
        <v>878</v>
      </c>
    </row>
    <row r="1235" spans="1:7">
      <c r="A1235" t="s">
        <v>137</v>
      </c>
      <c r="B1235" t="s">
        <v>1601</v>
      </c>
      <c r="C1235" t="s">
        <v>1600</v>
      </c>
      <c r="D1235">
        <v>2.6695199999999999E-2</v>
      </c>
      <c r="E1235" t="s">
        <v>489</v>
      </c>
      <c r="F1235" t="s">
        <v>490</v>
      </c>
      <c r="G1235" t="s">
        <v>490</v>
      </c>
    </row>
    <row r="1236" spans="1:7">
      <c r="A1236" t="s">
        <v>137</v>
      </c>
      <c r="B1236" t="s">
        <v>1567</v>
      </c>
      <c r="C1236" t="s">
        <v>1566</v>
      </c>
      <c r="D1236">
        <v>2.6597701000000001E-2</v>
      </c>
      <c r="E1236" t="s">
        <v>826</v>
      </c>
      <c r="F1236" t="s">
        <v>1568</v>
      </c>
      <c r="G1236" t="s">
        <v>1569</v>
      </c>
    </row>
    <row r="1237" spans="1:7">
      <c r="A1237" t="s">
        <v>137</v>
      </c>
      <c r="B1237" t="s">
        <v>717</v>
      </c>
      <c r="C1237" t="s">
        <v>716</v>
      </c>
      <c r="D1237">
        <v>2.40135E-2</v>
      </c>
      <c r="E1237" t="s">
        <v>505</v>
      </c>
      <c r="F1237" t="s">
        <v>718</v>
      </c>
      <c r="G1237" t="s">
        <v>719</v>
      </c>
    </row>
    <row r="1238" spans="1:7">
      <c r="A1238" t="s">
        <v>137</v>
      </c>
      <c r="B1238" t="s">
        <v>1623</v>
      </c>
      <c r="C1238" t="s">
        <v>1622</v>
      </c>
      <c r="D1238">
        <v>2.2925401000000002E-2</v>
      </c>
      <c r="E1238" t="s">
        <v>489</v>
      </c>
      <c r="F1238" t="s">
        <v>490</v>
      </c>
      <c r="G1238" t="s">
        <v>490</v>
      </c>
    </row>
    <row r="1239" spans="1:7">
      <c r="A1239" t="s">
        <v>137</v>
      </c>
      <c r="B1239" t="s">
        <v>820</v>
      </c>
      <c r="C1239" t="s">
        <v>819</v>
      </c>
      <c r="D1239">
        <v>2.1838699999999999E-2</v>
      </c>
      <c r="E1239" t="s">
        <v>821</v>
      </c>
      <c r="F1239" t="s">
        <v>822</v>
      </c>
      <c r="G1239" t="s">
        <v>823</v>
      </c>
    </row>
    <row r="1240" spans="1:7">
      <c r="A1240" t="s">
        <v>137</v>
      </c>
      <c r="B1240" t="s">
        <v>610</v>
      </c>
      <c r="C1240" t="s">
        <v>609</v>
      </c>
      <c r="D1240">
        <v>2.0698498999999999E-2</v>
      </c>
      <c r="E1240" t="s">
        <v>489</v>
      </c>
      <c r="F1240" t="s">
        <v>490</v>
      </c>
      <c r="G1240" t="s">
        <v>490</v>
      </c>
    </row>
    <row r="1241" spans="1:7">
      <c r="A1241" t="s">
        <v>138</v>
      </c>
      <c r="B1241" t="s">
        <v>610</v>
      </c>
      <c r="C1241" t="s">
        <v>609</v>
      </c>
      <c r="D1241">
        <v>5.1609103000000003E-2</v>
      </c>
      <c r="E1241" t="s">
        <v>489</v>
      </c>
      <c r="F1241" t="s">
        <v>490</v>
      </c>
      <c r="G1241" t="s">
        <v>490</v>
      </c>
    </row>
    <row r="1242" spans="1:7">
      <c r="A1242" t="s">
        <v>138</v>
      </c>
      <c r="B1242" t="s">
        <v>884</v>
      </c>
      <c r="C1242" t="s">
        <v>883</v>
      </c>
      <c r="D1242">
        <v>4.9142397999999997E-2</v>
      </c>
      <c r="E1242" t="s">
        <v>754</v>
      </c>
      <c r="F1242" t="s">
        <v>885</v>
      </c>
      <c r="G1242" t="s">
        <v>886</v>
      </c>
    </row>
    <row r="1243" spans="1:7">
      <c r="A1243" t="s">
        <v>138</v>
      </c>
      <c r="B1243" t="s">
        <v>539</v>
      </c>
      <c r="C1243" t="s">
        <v>538</v>
      </c>
      <c r="D1243">
        <v>4.7131800000000001E-2</v>
      </c>
      <c r="E1243" t="s">
        <v>489</v>
      </c>
      <c r="F1243" t="s">
        <v>490</v>
      </c>
      <c r="G1243" t="s">
        <v>490</v>
      </c>
    </row>
    <row r="1244" spans="1:7">
      <c r="A1244" t="s">
        <v>138</v>
      </c>
      <c r="B1244" t="s">
        <v>2190</v>
      </c>
      <c r="C1244" t="s">
        <v>2189</v>
      </c>
      <c r="D1244">
        <v>4.3281399999999998E-2</v>
      </c>
      <c r="E1244" t="s">
        <v>505</v>
      </c>
      <c r="F1244" t="s">
        <v>2191</v>
      </c>
      <c r="G1244" t="s">
        <v>2192</v>
      </c>
    </row>
    <row r="1245" spans="1:7">
      <c r="A1245" t="s">
        <v>138</v>
      </c>
      <c r="B1245" t="s">
        <v>2332</v>
      </c>
      <c r="C1245" t="s">
        <v>2331</v>
      </c>
      <c r="D1245">
        <v>4.0867500000000001E-2</v>
      </c>
      <c r="E1245" t="s">
        <v>489</v>
      </c>
      <c r="F1245" t="s">
        <v>490</v>
      </c>
      <c r="G1245" t="s">
        <v>490</v>
      </c>
    </row>
    <row r="1246" spans="1:7">
      <c r="A1246" t="s">
        <v>138</v>
      </c>
      <c r="B1246" t="s">
        <v>598</v>
      </c>
      <c r="C1246" t="s">
        <v>597</v>
      </c>
      <c r="D1246">
        <v>4.0696802999999997E-2</v>
      </c>
      <c r="E1246" t="s">
        <v>489</v>
      </c>
      <c r="F1246" t="s">
        <v>490</v>
      </c>
      <c r="G1246" t="s">
        <v>490</v>
      </c>
    </row>
    <row r="1247" spans="1:7">
      <c r="A1247" t="s">
        <v>138</v>
      </c>
      <c r="B1247" t="s">
        <v>2340</v>
      </c>
      <c r="C1247" t="s">
        <v>2339</v>
      </c>
      <c r="D1247">
        <v>4.06059E-2</v>
      </c>
      <c r="E1247" t="s">
        <v>505</v>
      </c>
      <c r="F1247" t="s">
        <v>2341</v>
      </c>
      <c r="G1247" t="s">
        <v>2342</v>
      </c>
    </row>
    <row r="1248" spans="1:7">
      <c r="A1248" t="s">
        <v>138</v>
      </c>
      <c r="B1248" t="s">
        <v>717</v>
      </c>
      <c r="C1248" t="s">
        <v>716</v>
      </c>
      <c r="D1248">
        <v>4.0325596999999998E-2</v>
      </c>
      <c r="E1248" t="s">
        <v>505</v>
      </c>
      <c r="F1248" t="s">
        <v>718</v>
      </c>
      <c r="G1248" t="s">
        <v>719</v>
      </c>
    </row>
    <row r="1249" spans="1:7">
      <c r="A1249" t="s">
        <v>138</v>
      </c>
      <c r="B1249" t="s">
        <v>876</v>
      </c>
      <c r="C1249" t="s">
        <v>875</v>
      </c>
      <c r="D1249">
        <v>3.9046600000000001E-2</v>
      </c>
      <c r="E1249" t="s">
        <v>590</v>
      </c>
      <c r="F1249" t="s">
        <v>877</v>
      </c>
      <c r="G1249" t="s">
        <v>878</v>
      </c>
    </row>
    <row r="1250" spans="1:7">
      <c r="A1250" t="s">
        <v>138</v>
      </c>
      <c r="B1250" t="s">
        <v>687</v>
      </c>
      <c r="C1250" t="s">
        <v>686</v>
      </c>
      <c r="D1250">
        <v>3.6145299999999998E-2</v>
      </c>
      <c r="E1250" t="s">
        <v>489</v>
      </c>
      <c r="F1250" t="s">
        <v>490</v>
      </c>
      <c r="G1250" t="s">
        <v>490</v>
      </c>
    </row>
    <row r="1251" spans="1:7">
      <c r="A1251" t="s">
        <v>140</v>
      </c>
      <c r="B1251" t="s">
        <v>589</v>
      </c>
      <c r="C1251" t="s">
        <v>588</v>
      </c>
      <c r="D1251">
        <v>8.2161300000000007E-2</v>
      </c>
      <c r="E1251" t="s">
        <v>590</v>
      </c>
      <c r="F1251" t="s">
        <v>591</v>
      </c>
      <c r="G1251" t="s">
        <v>592</v>
      </c>
    </row>
    <row r="1252" spans="1:7">
      <c r="A1252" t="s">
        <v>140</v>
      </c>
      <c r="B1252" t="s">
        <v>778</v>
      </c>
      <c r="C1252" t="s">
        <v>777</v>
      </c>
      <c r="D1252">
        <v>8.1114099999999995E-2</v>
      </c>
      <c r="E1252" t="s">
        <v>443</v>
      </c>
      <c r="F1252" t="s">
        <v>779</v>
      </c>
      <c r="G1252" t="s">
        <v>780</v>
      </c>
    </row>
    <row r="1253" spans="1:7">
      <c r="A1253" t="s">
        <v>140</v>
      </c>
      <c r="B1253" t="s">
        <v>1287</v>
      </c>
      <c r="C1253" t="s">
        <v>1286</v>
      </c>
      <c r="D1253">
        <v>6.3539200000000004E-2</v>
      </c>
      <c r="E1253" t="s">
        <v>505</v>
      </c>
      <c r="F1253" t="s">
        <v>1288</v>
      </c>
      <c r="G1253" t="s">
        <v>1289</v>
      </c>
    </row>
    <row r="1254" spans="1:7">
      <c r="A1254" t="s">
        <v>140</v>
      </c>
      <c r="B1254" t="s">
        <v>1050</v>
      </c>
      <c r="C1254" t="s">
        <v>1049</v>
      </c>
      <c r="D1254">
        <v>5.9056703000000002E-2</v>
      </c>
      <c r="E1254" t="s">
        <v>505</v>
      </c>
      <c r="F1254" t="s">
        <v>1051</v>
      </c>
      <c r="G1254" t="s">
        <v>1052</v>
      </c>
    </row>
    <row r="1255" spans="1:7">
      <c r="A1255" t="s">
        <v>140</v>
      </c>
      <c r="B1255" t="s">
        <v>1905</v>
      </c>
      <c r="C1255" t="s">
        <v>1904</v>
      </c>
      <c r="D1255">
        <v>5.1695499999999998E-2</v>
      </c>
      <c r="E1255" t="s">
        <v>505</v>
      </c>
      <c r="F1255" t="s">
        <v>1906</v>
      </c>
      <c r="G1255" t="s">
        <v>1907</v>
      </c>
    </row>
    <row r="1256" spans="1:7">
      <c r="A1256" t="s">
        <v>140</v>
      </c>
      <c r="B1256" t="s">
        <v>1310</v>
      </c>
      <c r="C1256" t="s">
        <v>1309</v>
      </c>
      <c r="D1256">
        <v>5.0808102000000001E-2</v>
      </c>
      <c r="E1256" t="s">
        <v>505</v>
      </c>
      <c r="F1256" t="s">
        <v>1311</v>
      </c>
      <c r="G1256" t="s">
        <v>1312</v>
      </c>
    </row>
    <row r="1257" spans="1:7">
      <c r="A1257" t="s">
        <v>140</v>
      </c>
      <c r="B1257" t="s">
        <v>1997</v>
      </c>
      <c r="C1257" t="s">
        <v>1996</v>
      </c>
      <c r="D1257">
        <v>4.8011098000000002E-2</v>
      </c>
      <c r="E1257" t="s">
        <v>1998</v>
      </c>
      <c r="F1257" t="s">
        <v>1999</v>
      </c>
      <c r="G1257" t="s">
        <v>2000</v>
      </c>
    </row>
    <row r="1258" spans="1:7">
      <c r="A1258" t="s">
        <v>140</v>
      </c>
      <c r="B1258" t="s">
        <v>1483</v>
      </c>
      <c r="C1258" t="s">
        <v>1482</v>
      </c>
      <c r="D1258">
        <v>4.7316700000000003E-2</v>
      </c>
      <c r="E1258" t="s">
        <v>1484</v>
      </c>
      <c r="F1258" t="s">
        <v>1485</v>
      </c>
      <c r="G1258" t="s">
        <v>1486</v>
      </c>
    </row>
    <row r="1259" spans="1:7">
      <c r="A1259" t="s">
        <v>140</v>
      </c>
      <c r="B1259" t="s">
        <v>776</v>
      </c>
      <c r="C1259" t="s">
        <v>775</v>
      </c>
      <c r="D1259">
        <v>4.6047999999999999E-2</v>
      </c>
      <c r="E1259" t="s">
        <v>489</v>
      </c>
      <c r="F1259" t="s">
        <v>490</v>
      </c>
      <c r="G1259" t="s">
        <v>490</v>
      </c>
    </row>
    <row r="1260" spans="1:7">
      <c r="A1260" t="s">
        <v>140</v>
      </c>
      <c r="B1260" t="s">
        <v>840</v>
      </c>
      <c r="C1260" t="s">
        <v>839</v>
      </c>
      <c r="D1260">
        <v>4.3692796999999998E-2</v>
      </c>
      <c r="E1260" t="s">
        <v>783</v>
      </c>
      <c r="F1260" t="s">
        <v>841</v>
      </c>
      <c r="G1260" t="s">
        <v>842</v>
      </c>
    </row>
    <row r="1261" spans="1:7">
      <c r="A1261" t="s">
        <v>141</v>
      </c>
      <c r="B1261" t="s">
        <v>488</v>
      </c>
      <c r="C1261" t="s">
        <v>487</v>
      </c>
      <c r="D1261">
        <v>0.15912299999999999</v>
      </c>
      <c r="E1261" t="s">
        <v>489</v>
      </c>
      <c r="F1261" t="s">
        <v>490</v>
      </c>
      <c r="G1261" t="s">
        <v>490</v>
      </c>
    </row>
    <row r="1262" spans="1:7">
      <c r="A1262" t="s">
        <v>141</v>
      </c>
      <c r="B1262" t="s">
        <v>1680</v>
      </c>
      <c r="C1262" t="s">
        <v>1679</v>
      </c>
      <c r="D1262">
        <v>9.0968099999999996E-2</v>
      </c>
      <c r="E1262" t="s">
        <v>489</v>
      </c>
      <c r="F1262" t="s">
        <v>490</v>
      </c>
      <c r="G1262" t="s">
        <v>490</v>
      </c>
    </row>
    <row r="1263" spans="1:7">
      <c r="A1263" t="s">
        <v>141</v>
      </c>
      <c r="B1263" t="s">
        <v>2503</v>
      </c>
      <c r="C1263" t="s">
        <v>2502</v>
      </c>
      <c r="D1263">
        <v>3.6515802E-2</v>
      </c>
      <c r="E1263" t="s">
        <v>489</v>
      </c>
      <c r="F1263" t="s">
        <v>490</v>
      </c>
      <c r="G1263" t="s">
        <v>490</v>
      </c>
    </row>
    <row r="1264" spans="1:7">
      <c r="A1264" t="s">
        <v>141</v>
      </c>
      <c r="B1264" t="s">
        <v>2517</v>
      </c>
      <c r="C1264" t="s">
        <v>2516</v>
      </c>
      <c r="D1264">
        <v>3.6008301999999999E-2</v>
      </c>
      <c r="E1264" t="s">
        <v>2518</v>
      </c>
      <c r="F1264" t="s">
        <v>2519</v>
      </c>
      <c r="G1264" t="s">
        <v>2520</v>
      </c>
    </row>
    <row r="1265" spans="1:7">
      <c r="A1265" t="s">
        <v>141</v>
      </c>
      <c r="B1265" t="s">
        <v>2602</v>
      </c>
      <c r="C1265" t="s">
        <v>2601</v>
      </c>
      <c r="D1265">
        <v>3.3986002000000001E-2</v>
      </c>
      <c r="E1265" t="s">
        <v>2603</v>
      </c>
      <c r="F1265" t="s">
        <v>2604</v>
      </c>
      <c r="G1265" t="s">
        <v>2605</v>
      </c>
    </row>
    <row r="1266" spans="1:7">
      <c r="A1266" t="s">
        <v>141</v>
      </c>
      <c r="B1266" t="s">
        <v>2888</v>
      </c>
      <c r="C1266" t="s">
        <v>2887</v>
      </c>
      <c r="D1266">
        <v>2.4547901E-2</v>
      </c>
      <c r="E1266" t="s">
        <v>2603</v>
      </c>
      <c r="F1266" t="s">
        <v>2712</v>
      </c>
      <c r="G1266" t="s">
        <v>2889</v>
      </c>
    </row>
    <row r="1267" spans="1:7">
      <c r="A1267" t="s">
        <v>141</v>
      </c>
      <c r="B1267" t="s">
        <v>1002</v>
      </c>
      <c r="C1267" t="s">
        <v>1001</v>
      </c>
      <c r="D1267">
        <v>2.4486698000000001E-2</v>
      </c>
      <c r="E1267" t="s">
        <v>1003</v>
      </c>
      <c r="F1267" t="s">
        <v>1004</v>
      </c>
      <c r="G1267" t="s">
        <v>1005</v>
      </c>
    </row>
    <row r="1268" spans="1:7">
      <c r="A1268" t="s">
        <v>141</v>
      </c>
      <c r="B1268" t="s">
        <v>2996</v>
      </c>
      <c r="C1268" t="s">
        <v>2995</v>
      </c>
      <c r="D1268">
        <v>2.2187700000000001E-2</v>
      </c>
      <c r="E1268" t="s">
        <v>2997</v>
      </c>
      <c r="F1268" t="s">
        <v>2998</v>
      </c>
      <c r="G1268" t="s">
        <v>1641</v>
      </c>
    </row>
    <row r="1269" spans="1:7">
      <c r="A1269" t="s">
        <v>141</v>
      </c>
      <c r="B1269" t="s">
        <v>3002</v>
      </c>
      <c r="C1269" t="s">
        <v>3001</v>
      </c>
      <c r="D1269">
        <v>2.2087098999999999E-2</v>
      </c>
      <c r="E1269" t="s">
        <v>489</v>
      </c>
      <c r="F1269" t="s">
        <v>490</v>
      </c>
      <c r="G1269" t="s">
        <v>490</v>
      </c>
    </row>
    <row r="1270" spans="1:7">
      <c r="A1270" t="s">
        <v>141</v>
      </c>
      <c r="B1270" t="s">
        <v>1563</v>
      </c>
      <c r="C1270" t="s">
        <v>1562</v>
      </c>
      <c r="D1270">
        <v>2.0240299999999999E-2</v>
      </c>
      <c r="E1270" t="s">
        <v>1074</v>
      </c>
      <c r="F1270" t="s">
        <v>1564</v>
      </c>
      <c r="G1270" t="s">
        <v>1565</v>
      </c>
    </row>
    <row r="1271" spans="1:7">
      <c r="A1271" t="s">
        <v>143</v>
      </c>
      <c r="B1271" t="s">
        <v>589</v>
      </c>
      <c r="C1271" t="s">
        <v>588</v>
      </c>
      <c r="D1271">
        <v>9.0640499999999999E-2</v>
      </c>
      <c r="E1271" t="s">
        <v>590</v>
      </c>
      <c r="F1271" t="s">
        <v>591</v>
      </c>
      <c r="G1271" t="s">
        <v>592</v>
      </c>
    </row>
    <row r="1272" spans="1:7">
      <c r="A1272" t="s">
        <v>143</v>
      </c>
      <c r="B1272" t="s">
        <v>1554</v>
      </c>
      <c r="C1272" t="s">
        <v>1553</v>
      </c>
      <c r="D1272">
        <v>3.43638E-2</v>
      </c>
      <c r="E1272" t="s">
        <v>484</v>
      </c>
      <c r="F1272" t="s">
        <v>1555</v>
      </c>
      <c r="G1272" t="s">
        <v>1556</v>
      </c>
    </row>
    <row r="1273" spans="1:7">
      <c r="A1273" t="s">
        <v>143</v>
      </c>
      <c r="B1273" t="s">
        <v>559</v>
      </c>
      <c r="C1273" t="s">
        <v>558</v>
      </c>
      <c r="D1273">
        <v>3.3250000000000002E-2</v>
      </c>
      <c r="E1273" t="s">
        <v>505</v>
      </c>
      <c r="F1273" t="s">
        <v>560</v>
      </c>
      <c r="G1273" t="s">
        <v>561</v>
      </c>
    </row>
    <row r="1274" spans="1:7">
      <c r="A1274" t="s">
        <v>143</v>
      </c>
      <c r="B1274" t="s">
        <v>1025</v>
      </c>
      <c r="C1274" t="s">
        <v>1024</v>
      </c>
      <c r="D1274">
        <v>3.2565200000000002E-2</v>
      </c>
      <c r="E1274" t="s">
        <v>489</v>
      </c>
      <c r="F1274" t="s">
        <v>490</v>
      </c>
      <c r="G1274" t="s">
        <v>490</v>
      </c>
    </row>
    <row r="1275" spans="1:7">
      <c r="A1275" t="s">
        <v>143</v>
      </c>
      <c r="B1275" t="s">
        <v>753</v>
      </c>
      <c r="C1275" t="s">
        <v>752</v>
      </c>
      <c r="D1275">
        <v>3.0057799999999999E-2</v>
      </c>
      <c r="E1275" t="s">
        <v>754</v>
      </c>
      <c r="F1275" t="s">
        <v>755</v>
      </c>
      <c r="G1275" t="s">
        <v>756</v>
      </c>
    </row>
    <row r="1276" spans="1:7">
      <c r="A1276" t="s">
        <v>143</v>
      </c>
      <c r="B1276" t="s">
        <v>1483</v>
      </c>
      <c r="C1276" t="s">
        <v>1482</v>
      </c>
      <c r="D1276">
        <v>2.9679998999999999E-2</v>
      </c>
      <c r="E1276" t="s">
        <v>1484</v>
      </c>
      <c r="F1276" t="s">
        <v>1485</v>
      </c>
      <c r="G1276" t="s">
        <v>1486</v>
      </c>
    </row>
    <row r="1277" spans="1:7">
      <c r="A1277" t="s">
        <v>143</v>
      </c>
      <c r="B1277" t="s">
        <v>2770</v>
      </c>
      <c r="C1277" t="s">
        <v>2769</v>
      </c>
      <c r="D1277">
        <v>2.9097499999999998E-2</v>
      </c>
      <c r="E1277" t="s">
        <v>505</v>
      </c>
      <c r="F1277" t="s">
        <v>2771</v>
      </c>
      <c r="G1277" t="s">
        <v>2772</v>
      </c>
    </row>
    <row r="1278" spans="1:7">
      <c r="A1278" t="s">
        <v>143</v>
      </c>
      <c r="B1278" t="s">
        <v>2784</v>
      </c>
      <c r="C1278" t="s">
        <v>2783</v>
      </c>
      <c r="D1278">
        <v>2.8557300000000001E-2</v>
      </c>
      <c r="E1278" t="s">
        <v>821</v>
      </c>
      <c r="F1278" t="s">
        <v>2785</v>
      </c>
      <c r="G1278" t="s">
        <v>2786</v>
      </c>
    </row>
    <row r="1279" spans="1:7">
      <c r="A1279" t="s">
        <v>143</v>
      </c>
      <c r="B1279" t="s">
        <v>915</v>
      </c>
      <c r="C1279" t="s">
        <v>914</v>
      </c>
      <c r="D1279">
        <v>2.74224E-2</v>
      </c>
      <c r="E1279" t="s">
        <v>489</v>
      </c>
      <c r="F1279" t="s">
        <v>490</v>
      </c>
      <c r="G1279" t="s">
        <v>490</v>
      </c>
    </row>
    <row r="1280" spans="1:7">
      <c r="A1280" t="s">
        <v>143</v>
      </c>
      <c r="B1280" t="s">
        <v>2833</v>
      </c>
      <c r="C1280" t="s">
        <v>2832</v>
      </c>
      <c r="D1280">
        <v>2.7040801999999999E-2</v>
      </c>
      <c r="E1280" t="s">
        <v>489</v>
      </c>
      <c r="F1280" t="s">
        <v>490</v>
      </c>
      <c r="G1280" t="s">
        <v>490</v>
      </c>
    </row>
    <row r="1281" spans="1:7">
      <c r="A1281" t="s">
        <v>144</v>
      </c>
      <c r="B1281" t="s">
        <v>459</v>
      </c>
      <c r="C1281" t="s">
        <v>458</v>
      </c>
      <c r="D1281">
        <v>6.9288105000000003E-2</v>
      </c>
      <c r="E1281" t="s">
        <v>443</v>
      </c>
      <c r="F1281" t="s">
        <v>460</v>
      </c>
      <c r="G1281" t="s">
        <v>461</v>
      </c>
    </row>
    <row r="1282" spans="1:7">
      <c r="A1282" t="s">
        <v>144</v>
      </c>
      <c r="B1282" t="s">
        <v>463</v>
      </c>
      <c r="C1282" t="s">
        <v>462</v>
      </c>
      <c r="D1282">
        <v>6.7200599999999999E-2</v>
      </c>
      <c r="E1282" t="s">
        <v>443</v>
      </c>
      <c r="F1282" t="s">
        <v>464</v>
      </c>
      <c r="G1282" t="s">
        <v>465</v>
      </c>
    </row>
    <row r="1283" spans="1:7">
      <c r="A1283" t="s">
        <v>144</v>
      </c>
      <c r="B1283" t="s">
        <v>467</v>
      </c>
      <c r="C1283" t="s">
        <v>466</v>
      </c>
      <c r="D1283">
        <v>6.0155100000000003E-2</v>
      </c>
      <c r="E1283" t="s">
        <v>443</v>
      </c>
      <c r="F1283" t="s">
        <v>468</v>
      </c>
      <c r="G1283" t="s">
        <v>469</v>
      </c>
    </row>
    <row r="1284" spans="1:7">
      <c r="A1284" t="s">
        <v>144</v>
      </c>
      <c r="B1284" t="s">
        <v>521</v>
      </c>
      <c r="C1284" t="s">
        <v>520</v>
      </c>
      <c r="D1284">
        <v>5.4039403999999999E-2</v>
      </c>
      <c r="E1284" t="s">
        <v>505</v>
      </c>
      <c r="F1284" t="s">
        <v>522</v>
      </c>
      <c r="G1284" t="s">
        <v>523</v>
      </c>
    </row>
    <row r="1285" spans="1:7">
      <c r="A1285" t="s">
        <v>144</v>
      </c>
      <c r="B1285" t="s">
        <v>492</v>
      </c>
      <c r="C1285" t="s">
        <v>491</v>
      </c>
      <c r="D1285">
        <v>5.3237602000000002E-2</v>
      </c>
      <c r="E1285" t="s">
        <v>443</v>
      </c>
      <c r="F1285" t="s">
        <v>493</v>
      </c>
      <c r="G1285" t="s">
        <v>494</v>
      </c>
    </row>
    <row r="1286" spans="1:7">
      <c r="A1286" t="s">
        <v>144</v>
      </c>
      <c r="B1286" t="s">
        <v>525</v>
      </c>
      <c r="C1286" t="s">
        <v>524</v>
      </c>
      <c r="D1286">
        <v>3.6104499999999998E-2</v>
      </c>
      <c r="E1286" t="s">
        <v>443</v>
      </c>
      <c r="F1286" t="s">
        <v>526</v>
      </c>
      <c r="G1286" t="s">
        <v>527</v>
      </c>
    </row>
    <row r="1287" spans="1:7">
      <c r="A1287" t="s">
        <v>144</v>
      </c>
      <c r="B1287" t="s">
        <v>892</v>
      </c>
      <c r="C1287" t="s">
        <v>891</v>
      </c>
      <c r="D1287">
        <v>3.3020797999999997E-2</v>
      </c>
      <c r="E1287" t="s">
        <v>443</v>
      </c>
      <c r="F1287" t="s">
        <v>893</v>
      </c>
      <c r="G1287" t="s">
        <v>894</v>
      </c>
    </row>
    <row r="1288" spans="1:7">
      <c r="A1288" t="s">
        <v>144</v>
      </c>
      <c r="B1288" t="s">
        <v>500</v>
      </c>
      <c r="C1288" t="s">
        <v>499</v>
      </c>
      <c r="D1288">
        <v>2.9477799999999998E-2</v>
      </c>
      <c r="E1288" t="s">
        <v>443</v>
      </c>
      <c r="F1288" t="s">
        <v>501</v>
      </c>
      <c r="G1288" t="s">
        <v>502</v>
      </c>
    </row>
    <row r="1289" spans="1:7">
      <c r="A1289" t="s">
        <v>144</v>
      </c>
      <c r="B1289" t="s">
        <v>479</v>
      </c>
      <c r="C1289" t="s">
        <v>478</v>
      </c>
      <c r="D1289">
        <v>2.6946899999999999E-2</v>
      </c>
      <c r="E1289" t="s">
        <v>443</v>
      </c>
      <c r="F1289" t="s">
        <v>480</v>
      </c>
      <c r="G1289" t="s">
        <v>481</v>
      </c>
    </row>
    <row r="1290" spans="1:7">
      <c r="A1290" t="s">
        <v>144</v>
      </c>
      <c r="B1290" t="s">
        <v>535</v>
      </c>
      <c r="C1290" t="s">
        <v>534</v>
      </c>
      <c r="D1290">
        <v>2.3777900000000001E-2</v>
      </c>
      <c r="E1290" t="s">
        <v>443</v>
      </c>
      <c r="F1290" t="s">
        <v>536</v>
      </c>
      <c r="G1290" t="s">
        <v>537</v>
      </c>
    </row>
    <row r="1291" spans="1:7">
      <c r="A1291" t="s">
        <v>145</v>
      </c>
      <c r="B1291" t="s">
        <v>513</v>
      </c>
      <c r="C1291" t="s">
        <v>512</v>
      </c>
      <c r="D1291">
        <v>0.22657279999999999</v>
      </c>
      <c r="E1291" t="s">
        <v>443</v>
      </c>
      <c r="F1291" t="s">
        <v>514</v>
      </c>
      <c r="G1291" t="s">
        <v>515</v>
      </c>
    </row>
    <row r="1292" spans="1:7">
      <c r="A1292" t="s">
        <v>145</v>
      </c>
      <c r="B1292" t="s">
        <v>631</v>
      </c>
      <c r="C1292" t="s">
        <v>630</v>
      </c>
      <c r="D1292">
        <v>0.119668</v>
      </c>
      <c r="E1292" t="s">
        <v>505</v>
      </c>
      <c r="F1292" t="s">
        <v>632</v>
      </c>
      <c r="G1292" t="s">
        <v>633</v>
      </c>
    </row>
    <row r="1293" spans="1:7">
      <c r="A1293" t="s">
        <v>145</v>
      </c>
      <c r="B1293" t="s">
        <v>647</v>
      </c>
      <c r="C1293" t="s">
        <v>646</v>
      </c>
      <c r="D1293">
        <v>7.9120999999999997E-2</v>
      </c>
      <c r="E1293" t="s">
        <v>443</v>
      </c>
      <c r="F1293" t="s">
        <v>648</v>
      </c>
      <c r="G1293" t="s">
        <v>649</v>
      </c>
    </row>
    <row r="1294" spans="1:7">
      <c r="A1294" t="s">
        <v>145</v>
      </c>
      <c r="B1294" t="s">
        <v>575</v>
      </c>
      <c r="C1294" t="s">
        <v>574</v>
      </c>
      <c r="D1294">
        <v>6.1688600000000003E-2</v>
      </c>
      <c r="E1294" t="s">
        <v>576</v>
      </c>
      <c r="F1294" t="s">
        <v>577</v>
      </c>
      <c r="G1294" t="s">
        <v>578</v>
      </c>
    </row>
    <row r="1295" spans="1:7">
      <c r="A1295" t="s">
        <v>145</v>
      </c>
      <c r="B1295" t="s">
        <v>1316</v>
      </c>
      <c r="C1295" t="s">
        <v>1315</v>
      </c>
      <c r="D1295">
        <v>5.8570499999999998E-2</v>
      </c>
      <c r="E1295" t="s">
        <v>576</v>
      </c>
      <c r="F1295" t="s">
        <v>1317</v>
      </c>
      <c r="G1295" t="s">
        <v>1318</v>
      </c>
    </row>
    <row r="1296" spans="1:7">
      <c r="A1296" t="s">
        <v>145</v>
      </c>
      <c r="B1296" t="s">
        <v>604</v>
      </c>
      <c r="C1296" t="s">
        <v>603</v>
      </c>
      <c r="D1296">
        <v>5.6894E-2</v>
      </c>
      <c r="E1296" t="s">
        <v>443</v>
      </c>
      <c r="F1296" t="s">
        <v>605</v>
      </c>
      <c r="G1296" t="s">
        <v>606</v>
      </c>
    </row>
    <row r="1297" spans="1:7">
      <c r="A1297" t="s">
        <v>145</v>
      </c>
      <c r="B1297" t="s">
        <v>697</v>
      </c>
      <c r="C1297" t="s">
        <v>696</v>
      </c>
      <c r="D1297">
        <v>4.3595700000000001E-2</v>
      </c>
      <c r="E1297" t="s">
        <v>489</v>
      </c>
      <c r="F1297" t="s">
        <v>490</v>
      </c>
      <c r="G1297" t="s">
        <v>490</v>
      </c>
    </row>
    <row r="1298" spans="1:7">
      <c r="A1298" t="s">
        <v>145</v>
      </c>
      <c r="B1298" t="s">
        <v>758</v>
      </c>
      <c r="C1298" t="s">
        <v>757</v>
      </c>
      <c r="D1298">
        <v>4.0914103E-2</v>
      </c>
      <c r="E1298" t="s">
        <v>505</v>
      </c>
      <c r="F1298" t="s">
        <v>759</v>
      </c>
      <c r="G1298" t="s">
        <v>760</v>
      </c>
    </row>
    <row r="1299" spans="1:7">
      <c r="A1299" t="s">
        <v>145</v>
      </c>
      <c r="B1299" t="s">
        <v>900</v>
      </c>
      <c r="C1299" t="s">
        <v>899</v>
      </c>
      <c r="D1299">
        <v>3.8805899999999997E-2</v>
      </c>
      <c r="E1299" t="s">
        <v>590</v>
      </c>
      <c r="F1299" t="s">
        <v>901</v>
      </c>
      <c r="G1299" t="s">
        <v>902</v>
      </c>
    </row>
    <row r="1300" spans="1:7">
      <c r="A1300" t="s">
        <v>145</v>
      </c>
      <c r="B1300" t="s">
        <v>1463</v>
      </c>
      <c r="C1300" t="s">
        <v>1462</v>
      </c>
      <c r="D1300">
        <v>3.66895E-2</v>
      </c>
      <c r="E1300" t="s">
        <v>489</v>
      </c>
      <c r="F1300" t="s">
        <v>490</v>
      </c>
      <c r="G1300" t="s">
        <v>490</v>
      </c>
    </row>
    <row r="1301" spans="1:7">
      <c r="A1301" t="s">
        <v>146</v>
      </c>
      <c r="B1301" t="s">
        <v>1404</v>
      </c>
      <c r="C1301" t="s">
        <v>1403</v>
      </c>
      <c r="D1301">
        <v>2.4037200000000002E-2</v>
      </c>
      <c r="E1301" t="s">
        <v>754</v>
      </c>
      <c r="F1301" t="s">
        <v>1405</v>
      </c>
      <c r="G1301" t="s">
        <v>1406</v>
      </c>
    </row>
    <row r="1302" spans="1:7">
      <c r="A1302" t="s">
        <v>146</v>
      </c>
      <c r="B1302" t="s">
        <v>1067</v>
      </c>
      <c r="C1302" t="s">
        <v>1066</v>
      </c>
      <c r="D1302">
        <v>2.2602601E-2</v>
      </c>
      <c r="E1302" t="s">
        <v>590</v>
      </c>
      <c r="F1302" t="s">
        <v>1068</v>
      </c>
      <c r="G1302" t="s">
        <v>1069</v>
      </c>
    </row>
    <row r="1303" spans="1:7">
      <c r="A1303" t="s">
        <v>146</v>
      </c>
      <c r="B1303" t="s">
        <v>1157</v>
      </c>
      <c r="C1303" t="s">
        <v>1156</v>
      </c>
      <c r="D1303">
        <v>2.12258E-2</v>
      </c>
      <c r="E1303" t="s">
        <v>754</v>
      </c>
      <c r="F1303" t="s">
        <v>1158</v>
      </c>
      <c r="G1303" t="s">
        <v>1159</v>
      </c>
    </row>
    <row r="1304" spans="1:7">
      <c r="A1304" t="s">
        <v>146</v>
      </c>
      <c r="B1304" t="s">
        <v>1249</v>
      </c>
      <c r="C1304" t="s">
        <v>1248</v>
      </c>
      <c r="D1304">
        <v>1.7631000000000001E-2</v>
      </c>
      <c r="E1304" t="s">
        <v>484</v>
      </c>
      <c r="F1304" t="s">
        <v>1250</v>
      </c>
      <c r="G1304" t="s">
        <v>1251</v>
      </c>
    </row>
    <row r="1305" spans="1:7">
      <c r="A1305" t="s">
        <v>146</v>
      </c>
      <c r="B1305" t="s">
        <v>1169</v>
      </c>
      <c r="C1305" t="s">
        <v>1168</v>
      </c>
      <c r="D1305">
        <v>1.65054E-2</v>
      </c>
      <c r="E1305" t="s">
        <v>489</v>
      </c>
      <c r="F1305" t="s">
        <v>490</v>
      </c>
      <c r="G1305" t="s">
        <v>490</v>
      </c>
    </row>
    <row r="1306" spans="1:7">
      <c r="A1306" t="s">
        <v>146</v>
      </c>
      <c r="B1306" t="s">
        <v>791</v>
      </c>
      <c r="C1306" t="s">
        <v>790</v>
      </c>
      <c r="D1306">
        <v>1.6144700000000001E-2</v>
      </c>
      <c r="E1306" t="s">
        <v>792</v>
      </c>
      <c r="F1306" t="s">
        <v>793</v>
      </c>
      <c r="G1306" t="s">
        <v>794</v>
      </c>
    </row>
    <row r="1307" spans="1:7">
      <c r="A1307" t="s">
        <v>146</v>
      </c>
      <c r="B1307" t="s">
        <v>504</v>
      </c>
      <c r="C1307" t="s">
        <v>503</v>
      </c>
      <c r="D1307">
        <v>1.5244499999999999E-2</v>
      </c>
      <c r="E1307" t="s">
        <v>505</v>
      </c>
      <c r="F1307" t="s">
        <v>506</v>
      </c>
      <c r="G1307" t="s">
        <v>507</v>
      </c>
    </row>
    <row r="1308" spans="1:7">
      <c r="A1308" t="s">
        <v>146</v>
      </c>
      <c r="B1308" t="s">
        <v>3104</v>
      </c>
      <c r="C1308" t="s">
        <v>3103</v>
      </c>
      <c r="D1308">
        <v>1.4573899E-2</v>
      </c>
      <c r="E1308" t="s">
        <v>489</v>
      </c>
      <c r="F1308" t="s">
        <v>490</v>
      </c>
      <c r="G1308" t="s">
        <v>490</v>
      </c>
    </row>
    <row r="1309" spans="1:7">
      <c r="A1309" t="s">
        <v>146</v>
      </c>
      <c r="B1309" t="s">
        <v>1233</v>
      </c>
      <c r="C1309" t="s">
        <v>1232</v>
      </c>
      <c r="D1309">
        <v>1.4021699E-2</v>
      </c>
      <c r="E1309" t="s">
        <v>585</v>
      </c>
      <c r="F1309" t="s">
        <v>1234</v>
      </c>
      <c r="G1309" t="s">
        <v>1235</v>
      </c>
    </row>
    <row r="1310" spans="1:7">
      <c r="A1310" t="s">
        <v>146</v>
      </c>
      <c r="B1310" t="s">
        <v>1603</v>
      </c>
      <c r="C1310" t="s">
        <v>1602</v>
      </c>
      <c r="D1310">
        <v>1.36287995E-2</v>
      </c>
      <c r="E1310" t="s">
        <v>963</v>
      </c>
      <c r="F1310" t="s">
        <v>1604</v>
      </c>
      <c r="G1310" t="s">
        <v>1605</v>
      </c>
    </row>
    <row r="1311" spans="1:7">
      <c r="A1311" t="s">
        <v>148</v>
      </c>
      <c r="B1311" t="s">
        <v>2430</v>
      </c>
      <c r="C1311" t="s">
        <v>2429</v>
      </c>
      <c r="D1311">
        <v>3.8451899999999997E-2</v>
      </c>
      <c r="E1311" t="s">
        <v>2431</v>
      </c>
      <c r="F1311" t="s">
        <v>2432</v>
      </c>
      <c r="G1311" t="s">
        <v>2433</v>
      </c>
    </row>
    <row r="1312" spans="1:7">
      <c r="A1312" t="s">
        <v>148</v>
      </c>
      <c r="B1312" t="s">
        <v>998</v>
      </c>
      <c r="C1312" t="s">
        <v>997</v>
      </c>
      <c r="D1312">
        <v>3.3738600000000001E-2</v>
      </c>
      <c r="E1312" t="s">
        <v>576</v>
      </c>
      <c r="F1312" t="s">
        <v>999</v>
      </c>
      <c r="G1312" t="s">
        <v>1000</v>
      </c>
    </row>
    <row r="1313" spans="1:7">
      <c r="A1313" t="s">
        <v>148</v>
      </c>
      <c r="B1313" t="s">
        <v>1183</v>
      </c>
      <c r="C1313" t="s">
        <v>1182</v>
      </c>
      <c r="D1313">
        <v>3.0286299999999999E-2</v>
      </c>
      <c r="E1313" t="s">
        <v>576</v>
      </c>
      <c r="F1313" t="s">
        <v>1184</v>
      </c>
      <c r="G1313" t="s">
        <v>1185</v>
      </c>
    </row>
    <row r="1314" spans="1:7">
      <c r="A1314" t="s">
        <v>148</v>
      </c>
      <c r="B1314" t="s">
        <v>1067</v>
      </c>
      <c r="C1314" t="s">
        <v>1066</v>
      </c>
      <c r="D1314">
        <v>2.5610398999999999E-2</v>
      </c>
      <c r="E1314" t="s">
        <v>590</v>
      </c>
      <c r="F1314" t="s">
        <v>1068</v>
      </c>
      <c r="G1314" t="s">
        <v>1069</v>
      </c>
    </row>
    <row r="1315" spans="1:7">
      <c r="A1315" t="s">
        <v>148</v>
      </c>
      <c r="B1315" t="s">
        <v>1204</v>
      </c>
      <c r="C1315" t="s">
        <v>1203</v>
      </c>
      <c r="D1315">
        <v>2.2060898999999998E-2</v>
      </c>
      <c r="E1315" t="s">
        <v>505</v>
      </c>
      <c r="F1315" t="s">
        <v>1205</v>
      </c>
      <c r="G1315" t="s">
        <v>1206</v>
      </c>
    </row>
    <row r="1316" spans="1:7">
      <c r="A1316" t="s">
        <v>148</v>
      </c>
      <c r="B1316" t="s">
        <v>1208</v>
      </c>
      <c r="C1316" t="s">
        <v>1207</v>
      </c>
      <c r="D1316">
        <v>2.0853198999999999E-2</v>
      </c>
      <c r="E1316" t="s">
        <v>489</v>
      </c>
      <c r="F1316" t="s">
        <v>490</v>
      </c>
      <c r="G1316" t="s">
        <v>490</v>
      </c>
    </row>
    <row r="1317" spans="1:7">
      <c r="A1317" t="s">
        <v>148</v>
      </c>
      <c r="B1317" t="s">
        <v>504</v>
      </c>
      <c r="C1317" t="s">
        <v>503</v>
      </c>
      <c r="D1317">
        <v>2.06018E-2</v>
      </c>
      <c r="E1317" t="s">
        <v>505</v>
      </c>
      <c r="F1317" t="s">
        <v>506</v>
      </c>
      <c r="G1317" t="s">
        <v>507</v>
      </c>
    </row>
    <row r="1318" spans="1:7">
      <c r="A1318" t="s">
        <v>148</v>
      </c>
      <c r="B1318" t="s">
        <v>3032</v>
      </c>
      <c r="C1318" t="s">
        <v>3031</v>
      </c>
      <c r="D1318">
        <v>2.0518702E-2</v>
      </c>
      <c r="E1318" t="s">
        <v>505</v>
      </c>
      <c r="F1318" t="s">
        <v>3033</v>
      </c>
      <c r="G1318" t="s">
        <v>3034</v>
      </c>
    </row>
    <row r="1319" spans="1:7">
      <c r="A1319" t="s">
        <v>148</v>
      </c>
      <c r="B1319" t="s">
        <v>3068</v>
      </c>
      <c r="C1319" t="s">
        <v>3067</v>
      </c>
      <c r="D1319">
        <v>1.87283E-2</v>
      </c>
      <c r="E1319" t="s">
        <v>505</v>
      </c>
      <c r="F1319" t="s">
        <v>3069</v>
      </c>
      <c r="G1319" t="s">
        <v>3070</v>
      </c>
    </row>
    <row r="1320" spans="1:7">
      <c r="A1320" t="s">
        <v>148</v>
      </c>
      <c r="B1320" t="s">
        <v>941</v>
      </c>
      <c r="C1320" t="s">
        <v>940</v>
      </c>
      <c r="D1320">
        <v>1.7679899999999998E-2</v>
      </c>
      <c r="E1320" t="s">
        <v>443</v>
      </c>
      <c r="F1320" t="s">
        <v>942</v>
      </c>
      <c r="G1320" t="s">
        <v>943</v>
      </c>
    </row>
    <row r="1321" spans="1:7">
      <c r="A1321" t="s">
        <v>149</v>
      </c>
      <c r="B1321" t="s">
        <v>442</v>
      </c>
      <c r="C1321" t="s">
        <v>441</v>
      </c>
      <c r="D1321">
        <v>9.8392999999999994E-2</v>
      </c>
      <c r="E1321" t="s">
        <v>443</v>
      </c>
      <c r="F1321" t="s">
        <v>444</v>
      </c>
      <c r="G1321" t="s">
        <v>445</v>
      </c>
    </row>
    <row r="1322" spans="1:7">
      <c r="A1322" t="s">
        <v>149</v>
      </c>
      <c r="B1322" t="s">
        <v>475</v>
      </c>
      <c r="C1322" t="s">
        <v>474</v>
      </c>
      <c r="D1322">
        <v>6.2145100000000002E-2</v>
      </c>
      <c r="E1322" t="s">
        <v>443</v>
      </c>
      <c r="F1322" t="s">
        <v>476</v>
      </c>
      <c r="G1322" t="s">
        <v>477</v>
      </c>
    </row>
    <row r="1323" spans="1:7">
      <c r="A1323" t="s">
        <v>149</v>
      </c>
      <c r="B1323" t="s">
        <v>459</v>
      </c>
      <c r="C1323" t="s">
        <v>458</v>
      </c>
      <c r="D1323">
        <v>6.0648800000000003E-2</v>
      </c>
      <c r="E1323" t="s">
        <v>443</v>
      </c>
      <c r="F1323" t="s">
        <v>460</v>
      </c>
      <c r="G1323" t="s">
        <v>461</v>
      </c>
    </row>
    <row r="1324" spans="1:7">
      <c r="A1324" t="s">
        <v>149</v>
      </c>
      <c r="B1324" t="s">
        <v>467</v>
      </c>
      <c r="C1324" t="s">
        <v>466</v>
      </c>
      <c r="D1324">
        <v>5.1971299999999998E-2</v>
      </c>
      <c r="E1324" t="s">
        <v>443</v>
      </c>
      <c r="F1324" t="s">
        <v>468</v>
      </c>
      <c r="G1324" t="s">
        <v>469</v>
      </c>
    </row>
    <row r="1325" spans="1:7">
      <c r="A1325" t="s">
        <v>149</v>
      </c>
      <c r="B1325" t="s">
        <v>455</v>
      </c>
      <c r="C1325" t="s">
        <v>454</v>
      </c>
      <c r="D1325">
        <v>4.3054099999999998E-2</v>
      </c>
      <c r="E1325" t="s">
        <v>443</v>
      </c>
      <c r="F1325" t="s">
        <v>456</v>
      </c>
      <c r="G1325" t="s">
        <v>457</v>
      </c>
    </row>
    <row r="1326" spans="1:7">
      <c r="A1326" t="s">
        <v>149</v>
      </c>
      <c r="B1326" t="s">
        <v>447</v>
      </c>
      <c r="C1326" t="s">
        <v>446</v>
      </c>
      <c r="D1326">
        <v>3.8036E-2</v>
      </c>
      <c r="E1326" t="s">
        <v>443</v>
      </c>
      <c r="F1326" t="s">
        <v>448</v>
      </c>
      <c r="G1326" t="s">
        <v>449</v>
      </c>
    </row>
    <row r="1327" spans="1:7">
      <c r="A1327" t="s">
        <v>149</v>
      </c>
      <c r="B1327" t="s">
        <v>463</v>
      </c>
      <c r="C1327" t="s">
        <v>462</v>
      </c>
      <c r="D1327">
        <v>3.39601E-2</v>
      </c>
      <c r="E1327" t="s">
        <v>443</v>
      </c>
      <c r="F1327" t="s">
        <v>464</v>
      </c>
      <c r="G1327" t="s">
        <v>465</v>
      </c>
    </row>
    <row r="1328" spans="1:7">
      <c r="A1328" t="s">
        <v>149</v>
      </c>
      <c r="B1328" t="s">
        <v>541</v>
      </c>
      <c r="C1328" t="s">
        <v>540</v>
      </c>
      <c r="D1328">
        <v>2.5469499999999999E-2</v>
      </c>
      <c r="E1328" t="s">
        <v>443</v>
      </c>
      <c r="F1328" t="s">
        <v>542</v>
      </c>
      <c r="G1328" t="s">
        <v>543</v>
      </c>
    </row>
    <row r="1329" spans="1:7">
      <c r="A1329" t="s">
        <v>149</v>
      </c>
      <c r="B1329" t="s">
        <v>2992</v>
      </c>
      <c r="C1329" t="s">
        <v>2991</v>
      </c>
      <c r="D1329">
        <v>2.2388699000000001E-2</v>
      </c>
      <c r="E1329" t="s">
        <v>505</v>
      </c>
      <c r="F1329" t="s">
        <v>2993</v>
      </c>
      <c r="G1329" t="s">
        <v>2994</v>
      </c>
    </row>
    <row r="1330" spans="1:7">
      <c r="A1330" t="s">
        <v>149</v>
      </c>
      <c r="B1330" t="s">
        <v>451</v>
      </c>
      <c r="C1330" t="s">
        <v>450</v>
      </c>
      <c r="D1330">
        <v>2.1559399999999999E-2</v>
      </c>
      <c r="E1330" t="s">
        <v>443</v>
      </c>
      <c r="F1330" t="s">
        <v>452</v>
      </c>
      <c r="G1330" t="s">
        <v>453</v>
      </c>
    </row>
    <row r="1331" spans="1:7">
      <c r="A1331" t="s">
        <v>150</v>
      </c>
      <c r="B1331" t="s">
        <v>787</v>
      </c>
      <c r="C1331" t="s">
        <v>786</v>
      </c>
      <c r="D1331">
        <v>6.5887799999999996E-2</v>
      </c>
      <c r="E1331" t="s">
        <v>505</v>
      </c>
      <c r="F1331" t="s">
        <v>788</v>
      </c>
      <c r="G1331" t="s">
        <v>789</v>
      </c>
    </row>
    <row r="1332" spans="1:7">
      <c r="A1332" t="s">
        <v>150</v>
      </c>
      <c r="B1332" t="s">
        <v>1961</v>
      </c>
      <c r="C1332" t="s">
        <v>1960</v>
      </c>
      <c r="D1332">
        <v>4.9036196999999997E-2</v>
      </c>
      <c r="E1332" t="s">
        <v>613</v>
      </c>
      <c r="F1332" t="s">
        <v>1962</v>
      </c>
      <c r="G1332" t="s">
        <v>1963</v>
      </c>
    </row>
    <row r="1333" spans="1:7">
      <c r="A1333" t="s">
        <v>150</v>
      </c>
      <c r="B1333" t="s">
        <v>941</v>
      </c>
      <c r="C1333" t="s">
        <v>940</v>
      </c>
      <c r="D1333">
        <v>4.8093900000000002E-2</v>
      </c>
      <c r="E1333" t="s">
        <v>443</v>
      </c>
      <c r="F1333" t="s">
        <v>942</v>
      </c>
      <c r="G1333" t="s">
        <v>943</v>
      </c>
    </row>
    <row r="1334" spans="1:7">
      <c r="A1334" t="s">
        <v>150</v>
      </c>
      <c r="B1334" t="s">
        <v>814</v>
      </c>
      <c r="C1334" t="s">
        <v>813</v>
      </c>
      <c r="D1334">
        <v>4.7080799999999999E-2</v>
      </c>
      <c r="E1334" t="s">
        <v>489</v>
      </c>
      <c r="F1334" t="s">
        <v>490</v>
      </c>
      <c r="G1334" t="s">
        <v>490</v>
      </c>
    </row>
    <row r="1335" spans="1:7">
      <c r="A1335" t="s">
        <v>150</v>
      </c>
      <c r="B1335" t="s">
        <v>667</v>
      </c>
      <c r="C1335" t="s">
        <v>666</v>
      </c>
      <c r="D1335">
        <v>4.6918201999999999E-2</v>
      </c>
      <c r="E1335" t="s">
        <v>613</v>
      </c>
      <c r="F1335" t="s">
        <v>668</v>
      </c>
      <c r="G1335" t="s">
        <v>669</v>
      </c>
    </row>
    <row r="1336" spans="1:7">
      <c r="A1336" t="s">
        <v>150</v>
      </c>
      <c r="B1336" t="s">
        <v>2161</v>
      </c>
      <c r="C1336" t="s">
        <v>2160</v>
      </c>
      <c r="D1336">
        <v>4.4145897000000003E-2</v>
      </c>
      <c r="E1336" t="s">
        <v>505</v>
      </c>
      <c r="F1336" t="s">
        <v>2162</v>
      </c>
      <c r="G1336" t="s">
        <v>2163</v>
      </c>
    </row>
    <row r="1337" spans="1:7">
      <c r="A1337" t="s">
        <v>150</v>
      </c>
      <c r="B1337" t="s">
        <v>2169</v>
      </c>
      <c r="C1337" t="s">
        <v>2168</v>
      </c>
      <c r="D1337">
        <v>4.4040000000000003E-2</v>
      </c>
      <c r="E1337" t="s">
        <v>850</v>
      </c>
      <c r="F1337" t="s">
        <v>2170</v>
      </c>
      <c r="G1337" t="s">
        <v>2171</v>
      </c>
    </row>
    <row r="1338" spans="1:7">
      <c r="A1338" t="s">
        <v>150</v>
      </c>
      <c r="B1338" t="s">
        <v>1273</v>
      </c>
      <c r="C1338" t="s">
        <v>1272</v>
      </c>
      <c r="D1338">
        <v>4.3636597999999999E-2</v>
      </c>
      <c r="E1338" t="s">
        <v>505</v>
      </c>
      <c r="F1338" t="s">
        <v>1274</v>
      </c>
      <c r="G1338" t="s">
        <v>1275</v>
      </c>
    </row>
    <row r="1339" spans="1:7">
      <c r="A1339" t="s">
        <v>150</v>
      </c>
      <c r="B1339" t="s">
        <v>1154</v>
      </c>
      <c r="C1339" t="s">
        <v>1153</v>
      </c>
      <c r="D1339">
        <v>4.2986397000000003E-2</v>
      </c>
      <c r="E1339" t="s">
        <v>505</v>
      </c>
      <c r="F1339" t="s">
        <v>1131</v>
      </c>
      <c r="G1339" t="s">
        <v>1155</v>
      </c>
    </row>
    <row r="1340" spans="1:7">
      <c r="A1340" t="s">
        <v>150</v>
      </c>
      <c r="B1340" t="s">
        <v>1412</v>
      </c>
      <c r="C1340" t="s">
        <v>1411</v>
      </c>
      <c r="D1340">
        <v>4.0707502999999999E-2</v>
      </c>
      <c r="E1340" t="s">
        <v>505</v>
      </c>
      <c r="F1340" t="s">
        <v>1413</v>
      </c>
      <c r="G1340" t="s">
        <v>1414</v>
      </c>
    </row>
    <row r="1341" spans="1:7">
      <c r="A1341" t="s">
        <v>151</v>
      </c>
      <c r="B1341" t="s">
        <v>459</v>
      </c>
      <c r="C1341" t="s">
        <v>458</v>
      </c>
      <c r="D1341">
        <v>9.8827600000000002E-2</v>
      </c>
      <c r="E1341" t="s">
        <v>443</v>
      </c>
      <c r="F1341" t="s">
        <v>460</v>
      </c>
      <c r="G1341" t="s">
        <v>461</v>
      </c>
    </row>
    <row r="1342" spans="1:7">
      <c r="A1342" t="s">
        <v>151</v>
      </c>
      <c r="B1342" t="s">
        <v>541</v>
      </c>
      <c r="C1342" t="s">
        <v>540</v>
      </c>
      <c r="D1342">
        <v>9.2690700000000001E-2</v>
      </c>
      <c r="E1342" t="s">
        <v>443</v>
      </c>
      <c r="F1342" t="s">
        <v>542</v>
      </c>
      <c r="G1342" t="s">
        <v>543</v>
      </c>
    </row>
    <row r="1343" spans="1:7">
      <c r="A1343" t="s">
        <v>151</v>
      </c>
      <c r="B1343" t="s">
        <v>475</v>
      </c>
      <c r="C1343" t="s">
        <v>474</v>
      </c>
      <c r="D1343">
        <v>9.0582599999999999E-2</v>
      </c>
      <c r="E1343" t="s">
        <v>443</v>
      </c>
      <c r="F1343" t="s">
        <v>476</v>
      </c>
      <c r="G1343" t="s">
        <v>477</v>
      </c>
    </row>
    <row r="1344" spans="1:7">
      <c r="A1344" t="s">
        <v>151</v>
      </c>
      <c r="B1344" t="s">
        <v>467</v>
      </c>
      <c r="C1344" t="s">
        <v>466</v>
      </c>
      <c r="D1344">
        <v>8.7912299999999999E-2</v>
      </c>
      <c r="E1344" t="s">
        <v>443</v>
      </c>
      <c r="F1344" t="s">
        <v>468</v>
      </c>
      <c r="G1344" t="s">
        <v>469</v>
      </c>
    </row>
    <row r="1345" spans="1:7">
      <c r="A1345" t="s">
        <v>151</v>
      </c>
      <c r="B1345" t="s">
        <v>492</v>
      </c>
      <c r="C1345" t="s">
        <v>491</v>
      </c>
      <c r="D1345">
        <v>7.4832599999999999E-2</v>
      </c>
      <c r="E1345" t="s">
        <v>443</v>
      </c>
      <c r="F1345" t="s">
        <v>493</v>
      </c>
      <c r="G1345" t="s">
        <v>494</v>
      </c>
    </row>
    <row r="1346" spans="1:7">
      <c r="A1346" t="s">
        <v>151</v>
      </c>
      <c r="B1346" t="s">
        <v>985</v>
      </c>
      <c r="C1346" t="s">
        <v>984</v>
      </c>
      <c r="D1346">
        <v>3.7699999999999997E-2</v>
      </c>
      <c r="E1346" t="s">
        <v>489</v>
      </c>
      <c r="F1346" t="s">
        <v>490</v>
      </c>
      <c r="G1346" t="s">
        <v>490</v>
      </c>
    </row>
    <row r="1347" spans="1:7">
      <c r="A1347" t="s">
        <v>151</v>
      </c>
      <c r="B1347" t="s">
        <v>2499</v>
      </c>
      <c r="C1347" t="s">
        <v>2498</v>
      </c>
      <c r="D1347">
        <v>3.6820199999999997E-2</v>
      </c>
      <c r="E1347" t="s">
        <v>505</v>
      </c>
      <c r="F1347" t="s">
        <v>2500</v>
      </c>
      <c r="G1347" t="s">
        <v>2501</v>
      </c>
    </row>
    <row r="1348" spans="1:7">
      <c r="A1348" t="s">
        <v>151</v>
      </c>
      <c r="B1348" t="s">
        <v>933</v>
      </c>
      <c r="C1348" t="s">
        <v>932</v>
      </c>
      <c r="D1348">
        <v>3.60071E-2</v>
      </c>
      <c r="E1348" t="s">
        <v>443</v>
      </c>
      <c r="F1348" t="s">
        <v>934</v>
      </c>
      <c r="G1348" t="s">
        <v>935</v>
      </c>
    </row>
    <row r="1349" spans="1:7">
      <c r="A1349" t="s">
        <v>151</v>
      </c>
      <c r="B1349" t="s">
        <v>939</v>
      </c>
      <c r="C1349" t="s">
        <v>938</v>
      </c>
      <c r="D1349">
        <v>3.5789700000000001E-2</v>
      </c>
      <c r="E1349" t="s">
        <v>489</v>
      </c>
      <c r="F1349" t="s">
        <v>490</v>
      </c>
      <c r="G1349" t="s">
        <v>490</v>
      </c>
    </row>
    <row r="1350" spans="1:7">
      <c r="A1350" t="s">
        <v>151</v>
      </c>
      <c r="B1350" t="s">
        <v>1357</v>
      </c>
      <c r="C1350" t="s">
        <v>1356</v>
      </c>
      <c r="D1350">
        <v>3.4270799999999997E-2</v>
      </c>
      <c r="E1350" t="s">
        <v>443</v>
      </c>
      <c r="F1350" t="s">
        <v>1358</v>
      </c>
      <c r="G1350" t="s">
        <v>1359</v>
      </c>
    </row>
    <row r="1351" spans="1:7">
      <c r="A1351" t="s">
        <v>153</v>
      </c>
      <c r="B1351" t="s">
        <v>545</v>
      </c>
      <c r="C1351" t="s">
        <v>544</v>
      </c>
      <c r="D1351">
        <v>8.6713894999999999E-2</v>
      </c>
      <c r="E1351" t="s">
        <v>505</v>
      </c>
      <c r="F1351" t="s">
        <v>546</v>
      </c>
      <c r="G1351" t="s">
        <v>547</v>
      </c>
    </row>
    <row r="1352" spans="1:7">
      <c r="A1352" t="s">
        <v>153</v>
      </c>
      <c r="B1352" t="s">
        <v>594</v>
      </c>
      <c r="C1352" t="s">
        <v>593</v>
      </c>
      <c r="D1352">
        <v>8.2657604999999995E-2</v>
      </c>
      <c r="E1352" t="s">
        <v>505</v>
      </c>
      <c r="F1352" t="s">
        <v>595</v>
      </c>
      <c r="G1352" t="s">
        <v>596</v>
      </c>
    </row>
    <row r="1353" spans="1:7">
      <c r="A1353" t="s">
        <v>153</v>
      </c>
      <c r="B1353" t="s">
        <v>571</v>
      </c>
      <c r="C1353" t="s">
        <v>570</v>
      </c>
      <c r="D1353">
        <v>6.8640000000000007E-2</v>
      </c>
      <c r="E1353" t="s">
        <v>505</v>
      </c>
      <c r="F1353" t="s">
        <v>572</v>
      </c>
      <c r="G1353" t="s">
        <v>573</v>
      </c>
    </row>
    <row r="1354" spans="1:7">
      <c r="A1354" t="s">
        <v>153</v>
      </c>
      <c r="B1354" t="s">
        <v>563</v>
      </c>
      <c r="C1354" t="s">
        <v>562</v>
      </c>
      <c r="D1354">
        <v>6.1689800000000003E-2</v>
      </c>
      <c r="E1354" t="s">
        <v>505</v>
      </c>
      <c r="F1354" t="s">
        <v>564</v>
      </c>
      <c r="G1354" t="s">
        <v>565</v>
      </c>
    </row>
    <row r="1355" spans="1:7">
      <c r="A1355" t="s">
        <v>153</v>
      </c>
      <c r="B1355" t="s">
        <v>709</v>
      </c>
      <c r="C1355" t="s">
        <v>708</v>
      </c>
      <c r="D1355">
        <v>4.5897399999999998E-2</v>
      </c>
      <c r="E1355" t="s">
        <v>443</v>
      </c>
      <c r="F1355" t="s">
        <v>710</v>
      </c>
      <c r="G1355" t="s">
        <v>711</v>
      </c>
    </row>
    <row r="1356" spans="1:7">
      <c r="A1356" t="s">
        <v>153</v>
      </c>
      <c r="B1356" t="s">
        <v>513</v>
      </c>
      <c r="C1356" t="s">
        <v>512</v>
      </c>
      <c r="D1356">
        <v>4.5430400000000003E-2</v>
      </c>
      <c r="E1356" t="s">
        <v>443</v>
      </c>
      <c r="F1356" t="s">
        <v>514</v>
      </c>
      <c r="G1356" t="s">
        <v>515</v>
      </c>
    </row>
    <row r="1357" spans="1:7">
      <c r="A1357" t="s">
        <v>153</v>
      </c>
      <c r="B1357" t="s">
        <v>693</v>
      </c>
      <c r="C1357" t="s">
        <v>692</v>
      </c>
      <c r="D1357">
        <v>4.2964099999999998E-2</v>
      </c>
      <c r="E1357" t="s">
        <v>505</v>
      </c>
      <c r="F1357" t="s">
        <v>694</v>
      </c>
      <c r="G1357" t="s">
        <v>695</v>
      </c>
    </row>
    <row r="1358" spans="1:7">
      <c r="A1358" t="s">
        <v>153</v>
      </c>
      <c r="B1358" t="s">
        <v>1078</v>
      </c>
      <c r="C1358" t="s">
        <v>1077</v>
      </c>
      <c r="D1358">
        <v>4.1849900000000002E-2</v>
      </c>
      <c r="E1358" t="s">
        <v>505</v>
      </c>
      <c r="F1358" t="s">
        <v>1079</v>
      </c>
      <c r="G1358" t="s">
        <v>1080</v>
      </c>
    </row>
    <row r="1359" spans="1:7">
      <c r="A1359" t="s">
        <v>153</v>
      </c>
      <c r="B1359" t="s">
        <v>749</v>
      </c>
      <c r="C1359" t="s">
        <v>748</v>
      </c>
      <c r="D1359">
        <v>4.0859699999999999E-2</v>
      </c>
      <c r="E1359" t="s">
        <v>505</v>
      </c>
      <c r="F1359" t="s">
        <v>750</v>
      </c>
      <c r="G1359" t="s">
        <v>751</v>
      </c>
    </row>
    <row r="1360" spans="1:7">
      <c r="A1360" t="s">
        <v>153</v>
      </c>
      <c r="B1360" t="s">
        <v>1222</v>
      </c>
      <c r="C1360" t="s">
        <v>1221</v>
      </c>
      <c r="D1360">
        <v>3.5410900000000002E-2</v>
      </c>
      <c r="E1360" t="s">
        <v>963</v>
      </c>
      <c r="F1360" t="s">
        <v>1223</v>
      </c>
      <c r="G1360" t="s">
        <v>1224</v>
      </c>
    </row>
    <row r="1361" spans="1:7">
      <c r="A1361" t="s">
        <v>156</v>
      </c>
      <c r="B1361" t="s">
        <v>1154</v>
      </c>
      <c r="C1361" t="s">
        <v>1153</v>
      </c>
      <c r="D1361">
        <v>3.1843799999999998E-2</v>
      </c>
      <c r="E1361" t="s">
        <v>505</v>
      </c>
      <c r="F1361" t="s">
        <v>1131</v>
      </c>
      <c r="G1361" t="s">
        <v>1155</v>
      </c>
    </row>
    <row r="1362" spans="1:7">
      <c r="A1362" t="s">
        <v>156</v>
      </c>
      <c r="B1362" t="s">
        <v>1134</v>
      </c>
      <c r="C1362" t="s">
        <v>1133</v>
      </c>
      <c r="D1362">
        <v>2.7812801000000002E-2</v>
      </c>
      <c r="E1362" t="s">
        <v>443</v>
      </c>
      <c r="F1362" t="s">
        <v>1135</v>
      </c>
      <c r="G1362" t="s">
        <v>1136</v>
      </c>
    </row>
    <row r="1363" spans="1:7">
      <c r="A1363" t="s">
        <v>156</v>
      </c>
      <c r="B1363" t="s">
        <v>2857</v>
      </c>
      <c r="C1363" t="s">
        <v>2856</v>
      </c>
      <c r="D1363">
        <v>2.6108800000000001E-2</v>
      </c>
      <c r="E1363" t="s">
        <v>505</v>
      </c>
      <c r="F1363" t="s">
        <v>2858</v>
      </c>
      <c r="G1363" t="s">
        <v>2859</v>
      </c>
    </row>
    <row r="1364" spans="1:7">
      <c r="A1364" t="s">
        <v>156</v>
      </c>
      <c r="B1364" t="s">
        <v>1589</v>
      </c>
      <c r="C1364" t="s">
        <v>1588</v>
      </c>
      <c r="D1364">
        <v>2.6011699999999999E-2</v>
      </c>
      <c r="E1364" t="s">
        <v>505</v>
      </c>
      <c r="F1364" t="s">
        <v>1590</v>
      </c>
      <c r="G1364" t="s">
        <v>1591</v>
      </c>
    </row>
    <row r="1365" spans="1:7">
      <c r="A1365" t="s">
        <v>156</v>
      </c>
      <c r="B1365" t="s">
        <v>941</v>
      </c>
      <c r="C1365" t="s">
        <v>940</v>
      </c>
      <c r="D1365">
        <v>2.4838699999999998E-2</v>
      </c>
      <c r="E1365" t="s">
        <v>443</v>
      </c>
      <c r="F1365" t="s">
        <v>942</v>
      </c>
      <c r="G1365" t="s">
        <v>943</v>
      </c>
    </row>
    <row r="1366" spans="1:7">
      <c r="A1366" t="s">
        <v>156</v>
      </c>
      <c r="B1366" t="s">
        <v>2893</v>
      </c>
      <c r="C1366" t="s">
        <v>2892</v>
      </c>
      <c r="D1366">
        <v>2.4032398999999999E-2</v>
      </c>
      <c r="E1366" t="s">
        <v>505</v>
      </c>
      <c r="F1366" t="s">
        <v>2894</v>
      </c>
      <c r="G1366" t="s">
        <v>2895</v>
      </c>
    </row>
    <row r="1367" spans="1:7">
      <c r="A1367" t="s">
        <v>156</v>
      </c>
      <c r="B1367" t="s">
        <v>2897</v>
      </c>
      <c r="C1367" t="s">
        <v>2896</v>
      </c>
      <c r="D1367">
        <v>2.4012200000000001E-2</v>
      </c>
      <c r="E1367" t="s">
        <v>489</v>
      </c>
      <c r="F1367" t="s">
        <v>490</v>
      </c>
      <c r="G1367" t="s">
        <v>490</v>
      </c>
    </row>
    <row r="1368" spans="1:7">
      <c r="A1368" t="s">
        <v>156</v>
      </c>
      <c r="B1368" t="s">
        <v>1571</v>
      </c>
      <c r="C1368" t="s">
        <v>1570</v>
      </c>
      <c r="D1368">
        <v>2.3487600000000001E-2</v>
      </c>
      <c r="E1368" t="s">
        <v>505</v>
      </c>
      <c r="F1368" t="s">
        <v>1572</v>
      </c>
      <c r="G1368" t="s">
        <v>1573</v>
      </c>
    </row>
    <row r="1369" spans="1:7">
      <c r="A1369" t="s">
        <v>156</v>
      </c>
      <c r="B1369" t="s">
        <v>2917</v>
      </c>
      <c r="C1369" t="s">
        <v>2916</v>
      </c>
      <c r="D1369">
        <v>2.3430099999999999E-2</v>
      </c>
      <c r="E1369" t="s">
        <v>505</v>
      </c>
      <c r="F1369" t="s">
        <v>2918</v>
      </c>
      <c r="G1369" t="s">
        <v>2919</v>
      </c>
    </row>
    <row r="1370" spans="1:7">
      <c r="A1370" t="s">
        <v>156</v>
      </c>
      <c r="B1370" t="s">
        <v>2925</v>
      </c>
      <c r="C1370" t="s">
        <v>2924</v>
      </c>
      <c r="D1370">
        <v>2.3387000000000002E-2</v>
      </c>
      <c r="E1370" t="s">
        <v>505</v>
      </c>
      <c r="F1370" t="s">
        <v>2484</v>
      </c>
      <c r="G1370" t="s">
        <v>2926</v>
      </c>
    </row>
    <row r="1371" spans="1:7">
      <c r="A1371" t="s">
        <v>157</v>
      </c>
      <c r="B1371" t="s">
        <v>1666</v>
      </c>
      <c r="C1371" t="s">
        <v>1665</v>
      </c>
      <c r="D1371">
        <v>0.1217046</v>
      </c>
      <c r="E1371" t="s">
        <v>505</v>
      </c>
      <c r="F1371" t="s">
        <v>1667</v>
      </c>
      <c r="G1371" t="s">
        <v>1668</v>
      </c>
    </row>
    <row r="1372" spans="1:7">
      <c r="A1372" t="s">
        <v>157</v>
      </c>
      <c r="B1372" t="s">
        <v>977</v>
      </c>
      <c r="C1372" t="s">
        <v>976</v>
      </c>
      <c r="D1372">
        <v>0.1091543</v>
      </c>
      <c r="E1372" t="s">
        <v>505</v>
      </c>
      <c r="F1372" t="s">
        <v>978</v>
      </c>
      <c r="G1372" t="s">
        <v>979</v>
      </c>
    </row>
    <row r="1373" spans="1:7">
      <c r="A1373" t="s">
        <v>157</v>
      </c>
      <c r="B1373" t="s">
        <v>1728</v>
      </c>
      <c r="C1373" t="s">
        <v>1727</v>
      </c>
      <c r="D1373">
        <v>7.3361300000000004E-2</v>
      </c>
      <c r="E1373" t="s">
        <v>505</v>
      </c>
      <c r="F1373" t="s">
        <v>1729</v>
      </c>
      <c r="G1373" t="s">
        <v>1730</v>
      </c>
    </row>
    <row r="1374" spans="1:7">
      <c r="A1374" t="s">
        <v>157</v>
      </c>
      <c r="B1374" t="s">
        <v>1794</v>
      </c>
      <c r="C1374" t="s">
        <v>1793</v>
      </c>
      <c r="D1374">
        <v>6.3999899999999998E-2</v>
      </c>
      <c r="E1374" t="s">
        <v>443</v>
      </c>
      <c r="F1374" t="s">
        <v>1795</v>
      </c>
      <c r="G1374" t="s">
        <v>1796</v>
      </c>
    </row>
    <row r="1375" spans="1:7">
      <c r="A1375" t="s">
        <v>157</v>
      </c>
      <c r="B1375" t="s">
        <v>1819</v>
      </c>
      <c r="C1375" t="s">
        <v>1818</v>
      </c>
      <c r="D1375">
        <v>5.9915497999999998E-2</v>
      </c>
      <c r="E1375" t="s">
        <v>505</v>
      </c>
      <c r="F1375" t="s">
        <v>1820</v>
      </c>
      <c r="G1375" t="s">
        <v>1821</v>
      </c>
    </row>
    <row r="1376" spans="1:7">
      <c r="A1376" t="s">
        <v>157</v>
      </c>
      <c r="B1376" t="s">
        <v>1893</v>
      </c>
      <c r="C1376" t="s">
        <v>1892</v>
      </c>
      <c r="D1376">
        <v>5.4074999999999998E-2</v>
      </c>
      <c r="E1376" t="s">
        <v>489</v>
      </c>
      <c r="F1376" t="s">
        <v>490</v>
      </c>
      <c r="G1376" t="s">
        <v>490</v>
      </c>
    </row>
    <row r="1377" spans="1:7">
      <c r="A1377" t="s">
        <v>157</v>
      </c>
      <c r="B1377" t="s">
        <v>2045</v>
      </c>
      <c r="C1377" t="s">
        <v>2044</v>
      </c>
      <c r="D1377">
        <v>4.6284499999999999E-2</v>
      </c>
      <c r="E1377" t="s">
        <v>505</v>
      </c>
      <c r="F1377" t="s">
        <v>2046</v>
      </c>
      <c r="G1377" t="s">
        <v>2047</v>
      </c>
    </row>
    <row r="1378" spans="1:7">
      <c r="A1378" t="s">
        <v>157</v>
      </c>
      <c r="B1378" t="s">
        <v>2065</v>
      </c>
      <c r="C1378" t="s">
        <v>2064</v>
      </c>
      <c r="D1378">
        <v>4.6094700000000002E-2</v>
      </c>
      <c r="E1378" t="s">
        <v>443</v>
      </c>
      <c r="F1378" t="s">
        <v>2066</v>
      </c>
      <c r="G1378" t="s">
        <v>2067</v>
      </c>
    </row>
    <row r="1379" spans="1:7">
      <c r="A1379" t="s">
        <v>157</v>
      </c>
      <c r="B1379" t="s">
        <v>2087</v>
      </c>
      <c r="C1379" t="s">
        <v>2086</v>
      </c>
      <c r="D1379">
        <v>4.5701098000000002E-2</v>
      </c>
      <c r="E1379" t="s">
        <v>505</v>
      </c>
      <c r="F1379" t="s">
        <v>2088</v>
      </c>
      <c r="G1379" t="s">
        <v>2089</v>
      </c>
    </row>
    <row r="1380" spans="1:7">
      <c r="A1380" t="s">
        <v>157</v>
      </c>
      <c r="B1380" t="s">
        <v>2184</v>
      </c>
      <c r="C1380" t="s">
        <v>2183</v>
      </c>
      <c r="D1380">
        <v>4.3619600000000001E-2</v>
      </c>
      <c r="E1380" t="s">
        <v>505</v>
      </c>
      <c r="F1380" t="s">
        <v>2185</v>
      </c>
      <c r="G1380" t="s">
        <v>2186</v>
      </c>
    </row>
    <row r="1381" spans="1:7">
      <c r="A1381" t="s">
        <v>158</v>
      </c>
      <c r="B1381" t="s">
        <v>1255</v>
      </c>
      <c r="C1381" t="s">
        <v>1254</v>
      </c>
      <c r="D1381">
        <v>9.0433194999999994E-2</v>
      </c>
      <c r="E1381" t="s">
        <v>443</v>
      </c>
      <c r="F1381" t="s">
        <v>1256</v>
      </c>
      <c r="G1381" t="s">
        <v>1257</v>
      </c>
    </row>
    <row r="1382" spans="1:7">
      <c r="A1382" t="s">
        <v>158</v>
      </c>
      <c r="B1382" t="s">
        <v>451</v>
      </c>
      <c r="C1382" t="s">
        <v>450</v>
      </c>
      <c r="D1382">
        <v>7.8551099999999999E-2</v>
      </c>
      <c r="E1382" t="s">
        <v>443</v>
      </c>
      <c r="F1382" t="s">
        <v>452</v>
      </c>
      <c r="G1382" t="s">
        <v>453</v>
      </c>
    </row>
    <row r="1383" spans="1:7">
      <c r="A1383" t="s">
        <v>158</v>
      </c>
      <c r="B1383" t="s">
        <v>447</v>
      </c>
      <c r="C1383" t="s">
        <v>446</v>
      </c>
      <c r="D1383">
        <v>7.5640604E-2</v>
      </c>
      <c r="E1383" t="s">
        <v>443</v>
      </c>
      <c r="F1383" t="s">
        <v>448</v>
      </c>
      <c r="G1383" t="s">
        <v>449</v>
      </c>
    </row>
    <row r="1384" spans="1:7">
      <c r="A1384" t="s">
        <v>158</v>
      </c>
      <c r="B1384" t="s">
        <v>671</v>
      </c>
      <c r="C1384" t="s">
        <v>670</v>
      </c>
      <c r="D1384">
        <v>4.6651499999999999E-2</v>
      </c>
      <c r="E1384" t="s">
        <v>489</v>
      </c>
      <c r="F1384" t="s">
        <v>490</v>
      </c>
      <c r="G1384" t="s">
        <v>490</v>
      </c>
    </row>
    <row r="1385" spans="1:7">
      <c r="A1385" t="s">
        <v>158</v>
      </c>
      <c r="B1385" t="s">
        <v>455</v>
      </c>
      <c r="C1385" t="s">
        <v>454</v>
      </c>
      <c r="D1385">
        <v>4.4670799999999997E-2</v>
      </c>
      <c r="E1385" t="s">
        <v>443</v>
      </c>
      <c r="F1385" t="s">
        <v>456</v>
      </c>
      <c r="G1385" t="s">
        <v>457</v>
      </c>
    </row>
    <row r="1386" spans="1:7">
      <c r="A1386" t="s">
        <v>158</v>
      </c>
      <c r="B1386" t="s">
        <v>517</v>
      </c>
      <c r="C1386" t="s">
        <v>516</v>
      </c>
      <c r="D1386">
        <v>4.2415300000000003E-2</v>
      </c>
      <c r="E1386" t="s">
        <v>443</v>
      </c>
      <c r="F1386" t="s">
        <v>518</v>
      </c>
      <c r="G1386" t="s">
        <v>519</v>
      </c>
    </row>
    <row r="1387" spans="1:7">
      <c r="A1387" t="s">
        <v>158</v>
      </c>
      <c r="B1387" t="s">
        <v>713</v>
      </c>
      <c r="C1387" t="s">
        <v>712</v>
      </c>
      <c r="D1387">
        <v>4.1649699999999998E-2</v>
      </c>
      <c r="E1387" t="s">
        <v>443</v>
      </c>
      <c r="F1387" t="s">
        <v>714</v>
      </c>
      <c r="G1387" t="s">
        <v>715</v>
      </c>
    </row>
    <row r="1388" spans="1:7">
      <c r="A1388" t="s">
        <v>158</v>
      </c>
      <c r="B1388" t="s">
        <v>772</v>
      </c>
      <c r="C1388" t="s">
        <v>771</v>
      </c>
      <c r="D1388">
        <v>3.8788299999999998E-2</v>
      </c>
      <c r="E1388" t="s">
        <v>443</v>
      </c>
      <c r="F1388" t="s">
        <v>773</v>
      </c>
      <c r="G1388" t="s">
        <v>774</v>
      </c>
    </row>
    <row r="1389" spans="1:7">
      <c r="A1389" t="s">
        <v>158</v>
      </c>
      <c r="B1389" t="s">
        <v>1496</v>
      </c>
      <c r="C1389" t="s">
        <v>1495</v>
      </c>
      <c r="D1389">
        <v>3.5977599999999998E-2</v>
      </c>
      <c r="E1389" t="s">
        <v>489</v>
      </c>
      <c r="F1389" t="s">
        <v>490</v>
      </c>
      <c r="G1389" t="s">
        <v>490</v>
      </c>
    </row>
    <row r="1390" spans="1:7">
      <c r="A1390" t="s">
        <v>158</v>
      </c>
      <c r="B1390" t="s">
        <v>442</v>
      </c>
      <c r="C1390" t="s">
        <v>441</v>
      </c>
      <c r="D1390">
        <v>3.5642899999999998E-2</v>
      </c>
      <c r="E1390" t="s">
        <v>443</v>
      </c>
      <c r="F1390" t="s">
        <v>444</v>
      </c>
      <c r="G1390" t="s">
        <v>445</v>
      </c>
    </row>
    <row r="1391" spans="1:7">
      <c r="A1391" t="s">
        <v>159</v>
      </c>
      <c r="B1391" t="s">
        <v>500</v>
      </c>
      <c r="C1391" t="s">
        <v>499</v>
      </c>
      <c r="D1391">
        <v>6.1611800000000001E-2</v>
      </c>
      <c r="E1391" t="s">
        <v>443</v>
      </c>
      <c r="F1391" t="s">
        <v>501</v>
      </c>
      <c r="G1391" t="s">
        <v>502</v>
      </c>
    </row>
    <row r="1392" spans="1:7">
      <c r="A1392" t="s">
        <v>159</v>
      </c>
      <c r="B1392" t="s">
        <v>553</v>
      </c>
      <c r="C1392" t="s">
        <v>552</v>
      </c>
      <c r="D1392">
        <v>6.0537399999999998E-2</v>
      </c>
      <c r="E1392" t="s">
        <v>443</v>
      </c>
      <c r="F1392" t="s">
        <v>554</v>
      </c>
      <c r="G1392" t="s">
        <v>555</v>
      </c>
    </row>
    <row r="1393" spans="1:7">
      <c r="A1393" t="s">
        <v>159</v>
      </c>
      <c r="B1393" t="s">
        <v>567</v>
      </c>
      <c r="C1393" t="s">
        <v>566</v>
      </c>
      <c r="D1393">
        <v>5.6934100000000001E-2</v>
      </c>
      <c r="E1393" t="s">
        <v>443</v>
      </c>
      <c r="F1393" t="s">
        <v>568</v>
      </c>
      <c r="G1393" t="s">
        <v>569</v>
      </c>
    </row>
    <row r="1394" spans="1:7">
      <c r="A1394" t="s">
        <v>159</v>
      </c>
      <c r="B1394" t="s">
        <v>655</v>
      </c>
      <c r="C1394" t="s">
        <v>654</v>
      </c>
      <c r="D1394">
        <v>5.6658800000000002E-2</v>
      </c>
      <c r="E1394" t="s">
        <v>505</v>
      </c>
      <c r="F1394" t="s">
        <v>656</v>
      </c>
      <c r="G1394" t="s">
        <v>657</v>
      </c>
    </row>
    <row r="1395" spans="1:7">
      <c r="A1395" t="s">
        <v>159</v>
      </c>
      <c r="B1395" t="s">
        <v>479</v>
      </c>
      <c r="C1395" t="s">
        <v>478</v>
      </c>
      <c r="D1395">
        <v>5.6189500000000003E-2</v>
      </c>
      <c r="E1395" t="s">
        <v>443</v>
      </c>
      <c r="F1395" t="s">
        <v>480</v>
      </c>
      <c r="G1395" t="s">
        <v>481</v>
      </c>
    </row>
    <row r="1396" spans="1:7">
      <c r="A1396" t="s">
        <v>159</v>
      </c>
      <c r="B1396" t="s">
        <v>782</v>
      </c>
      <c r="C1396" t="s">
        <v>781</v>
      </c>
      <c r="D1396">
        <v>4.7491103E-2</v>
      </c>
      <c r="E1396" t="s">
        <v>783</v>
      </c>
      <c r="F1396" t="s">
        <v>784</v>
      </c>
      <c r="G1396" t="s">
        <v>785</v>
      </c>
    </row>
    <row r="1397" spans="1:7">
      <c r="A1397" t="s">
        <v>159</v>
      </c>
      <c r="B1397" t="s">
        <v>659</v>
      </c>
      <c r="C1397" t="s">
        <v>658</v>
      </c>
      <c r="D1397">
        <v>4.5407500000000003E-2</v>
      </c>
      <c r="E1397" t="s">
        <v>443</v>
      </c>
      <c r="F1397" t="s">
        <v>660</v>
      </c>
      <c r="G1397" t="s">
        <v>661</v>
      </c>
    </row>
    <row r="1398" spans="1:7">
      <c r="A1398" t="s">
        <v>159</v>
      </c>
      <c r="B1398" t="s">
        <v>705</v>
      </c>
      <c r="C1398" t="s">
        <v>704</v>
      </c>
      <c r="D1398">
        <v>4.3350300000000001E-2</v>
      </c>
      <c r="E1398" t="s">
        <v>443</v>
      </c>
      <c r="F1398" t="s">
        <v>706</v>
      </c>
      <c r="G1398" t="s">
        <v>707</v>
      </c>
    </row>
    <row r="1399" spans="1:7">
      <c r="A1399" t="s">
        <v>159</v>
      </c>
      <c r="B1399" t="s">
        <v>917</v>
      </c>
      <c r="C1399" t="s">
        <v>916</v>
      </c>
      <c r="D1399">
        <v>4.3137897000000001E-2</v>
      </c>
      <c r="E1399" t="s">
        <v>489</v>
      </c>
      <c r="F1399" t="s">
        <v>490</v>
      </c>
      <c r="G1399" t="s">
        <v>490</v>
      </c>
    </row>
    <row r="1400" spans="1:7">
      <c r="A1400" t="s">
        <v>159</v>
      </c>
      <c r="B1400" t="s">
        <v>2245</v>
      </c>
      <c r="C1400" t="s">
        <v>2244</v>
      </c>
      <c r="D1400">
        <v>4.2311102000000003E-2</v>
      </c>
      <c r="E1400" t="s">
        <v>443</v>
      </c>
      <c r="F1400" t="s">
        <v>2246</v>
      </c>
      <c r="G1400" t="s">
        <v>2247</v>
      </c>
    </row>
    <row r="1401" spans="1:7">
      <c r="A1401" t="s">
        <v>160</v>
      </c>
      <c r="B1401" t="s">
        <v>598</v>
      </c>
      <c r="C1401" t="s">
        <v>597</v>
      </c>
      <c r="D1401">
        <v>6.7612099999999994E-2</v>
      </c>
      <c r="E1401" t="s">
        <v>489</v>
      </c>
      <c r="F1401" t="s">
        <v>490</v>
      </c>
      <c r="G1401" t="s">
        <v>490</v>
      </c>
    </row>
    <row r="1402" spans="1:7">
      <c r="A1402" t="s">
        <v>160</v>
      </c>
      <c r="B1402" t="s">
        <v>796</v>
      </c>
      <c r="C1402" t="s">
        <v>795</v>
      </c>
      <c r="D1402">
        <v>5.7141299999999999E-2</v>
      </c>
      <c r="E1402" t="s">
        <v>505</v>
      </c>
      <c r="F1402" t="s">
        <v>797</v>
      </c>
      <c r="G1402" t="s">
        <v>798</v>
      </c>
    </row>
    <row r="1403" spans="1:7">
      <c r="A1403" t="s">
        <v>160</v>
      </c>
      <c r="B1403" t="s">
        <v>2439</v>
      </c>
      <c r="C1403" t="s">
        <v>2438</v>
      </c>
      <c r="D1403">
        <v>3.8266599999999998E-2</v>
      </c>
      <c r="E1403" t="s">
        <v>505</v>
      </c>
      <c r="F1403" t="s">
        <v>2440</v>
      </c>
      <c r="G1403" t="s">
        <v>2441</v>
      </c>
    </row>
    <row r="1404" spans="1:7">
      <c r="A1404" t="s">
        <v>160</v>
      </c>
      <c r="B1404" t="s">
        <v>2466</v>
      </c>
      <c r="C1404" t="s">
        <v>2465</v>
      </c>
      <c r="D1404">
        <v>3.7539101999999998E-2</v>
      </c>
      <c r="E1404" t="s">
        <v>489</v>
      </c>
      <c r="F1404" t="s">
        <v>490</v>
      </c>
      <c r="G1404" t="s">
        <v>490</v>
      </c>
    </row>
    <row r="1405" spans="1:7">
      <c r="A1405" t="s">
        <v>160</v>
      </c>
      <c r="B1405" t="s">
        <v>2474</v>
      </c>
      <c r="C1405" t="s">
        <v>2473</v>
      </c>
      <c r="D1405">
        <v>3.74163E-2</v>
      </c>
      <c r="E1405" t="s">
        <v>505</v>
      </c>
      <c r="F1405" t="s">
        <v>2475</v>
      </c>
      <c r="G1405" t="s">
        <v>2476</v>
      </c>
    </row>
    <row r="1406" spans="1:7">
      <c r="A1406" t="s">
        <v>160</v>
      </c>
      <c r="B1406" t="s">
        <v>925</v>
      </c>
      <c r="C1406" t="s">
        <v>924</v>
      </c>
      <c r="D1406">
        <v>3.4380899999999999E-2</v>
      </c>
      <c r="E1406" t="s">
        <v>443</v>
      </c>
      <c r="F1406" t="s">
        <v>926</v>
      </c>
      <c r="G1406" t="s">
        <v>927</v>
      </c>
    </row>
    <row r="1407" spans="1:7">
      <c r="A1407" t="s">
        <v>160</v>
      </c>
      <c r="B1407" t="s">
        <v>2598</v>
      </c>
      <c r="C1407" t="s">
        <v>2597</v>
      </c>
      <c r="D1407">
        <v>3.4016100000000001E-2</v>
      </c>
      <c r="E1407" t="s">
        <v>2149</v>
      </c>
      <c r="F1407" t="s">
        <v>2599</v>
      </c>
      <c r="G1407" t="s">
        <v>2600</v>
      </c>
    </row>
    <row r="1408" spans="1:7">
      <c r="A1408" t="s">
        <v>160</v>
      </c>
      <c r="B1408" t="s">
        <v>539</v>
      </c>
      <c r="C1408" t="s">
        <v>538</v>
      </c>
      <c r="D1408">
        <v>3.3691699999999998E-2</v>
      </c>
      <c r="E1408" t="s">
        <v>489</v>
      </c>
      <c r="F1408" t="s">
        <v>490</v>
      </c>
      <c r="G1408" t="s">
        <v>490</v>
      </c>
    </row>
    <row r="1409" spans="1:7">
      <c r="A1409" t="s">
        <v>160</v>
      </c>
      <c r="B1409" t="s">
        <v>2623</v>
      </c>
      <c r="C1409" t="s">
        <v>2622</v>
      </c>
      <c r="D1409">
        <v>3.3601899999999997E-2</v>
      </c>
      <c r="E1409" t="s">
        <v>505</v>
      </c>
      <c r="F1409" t="s">
        <v>2624</v>
      </c>
      <c r="G1409" t="s">
        <v>2625</v>
      </c>
    </row>
    <row r="1410" spans="1:7">
      <c r="A1410" t="s">
        <v>160</v>
      </c>
      <c r="B1410" t="s">
        <v>725</v>
      </c>
      <c r="C1410" t="s">
        <v>724</v>
      </c>
      <c r="D1410">
        <v>3.3348599999999999E-2</v>
      </c>
      <c r="E1410" t="s">
        <v>505</v>
      </c>
      <c r="F1410" t="s">
        <v>726</v>
      </c>
      <c r="G1410" t="s">
        <v>727</v>
      </c>
    </row>
    <row r="1411" spans="1:7">
      <c r="A1411" t="s">
        <v>161</v>
      </c>
      <c r="B1411" t="s">
        <v>1101</v>
      </c>
      <c r="C1411" t="s">
        <v>1100</v>
      </c>
      <c r="D1411">
        <v>6.9288199999999994E-2</v>
      </c>
      <c r="E1411" t="s">
        <v>505</v>
      </c>
      <c r="F1411" t="s">
        <v>1102</v>
      </c>
      <c r="G1411" t="s">
        <v>1103</v>
      </c>
    </row>
    <row r="1412" spans="1:7">
      <c r="A1412" t="s">
        <v>161</v>
      </c>
      <c r="B1412" t="s">
        <v>1063</v>
      </c>
      <c r="C1412" t="s">
        <v>1062</v>
      </c>
      <c r="D1412">
        <v>5.4506697E-2</v>
      </c>
      <c r="E1412" t="s">
        <v>505</v>
      </c>
      <c r="F1412" t="s">
        <v>1064</v>
      </c>
      <c r="G1412" t="s">
        <v>1065</v>
      </c>
    </row>
    <row r="1413" spans="1:7">
      <c r="A1413" t="s">
        <v>161</v>
      </c>
      <c r="B1413" t="s">
        <v>1416</v>
      </c>
      <c r="C1413" t="s">
        <v>1415</v>
      </c>
      <c r="D1413">
        <v>4.7234199999999997E-2</v>
      </c>
      <c r="E1413" t="s">
        <v>505</v>
      </c>
      <c r="F1413" t="s">
        <v>1417</v>
      </c>
      <c r="G1413" t="s">
        <v>1418</v>
      </c>
    </row>
    <row r="1414" spans="1:7">
      <c r="A1414" t="s">
        <v>161</v>
      </c>
      <c r="B1414" t="s">
        <v>1424</v>
      </c>
      <c r="C1414" t="s">
        <v>1423</v>
      </c>
      <c r="D1414">
        <v>4.6858101999999999E-2</v>
      </c>
      <c r="E1414" t="s">
        <v>505</v>
      </c>
      <c r="F1414" t="s">
        <v>1425</v>
      </c>
      <c r="G1414" t="s">
        <v>1426</v>
      </c>
    </row>
    <row r="1415" spans="1:7">
      <c r="A1415" t="s">
        <v>161</v>
      </c>
      <c r="B1415" t="s">
        <v>703</v>
      </c>
      <c r="C1415" t="s">
        <v>702</v>
      </c>
      <c r="D1415">
        <v>4.12714E-2</v>
      </c>
      <c r="E1415" t="s">
        <v>489</v>
      </c>
      <c r="F1415" t="s">
        <v>490</v>
      </c>
      <c r="G1415" t="s">
        <v>490</v>
      </c>
    </row>
    <row r="1416" spans="1:7">
      <c r="A1416" t="s">
        <v>161</v>
      </c>
      <c r="B1416" t="s">
        <v>2344</v>
      </c>
      <c r="C1416" t="s">
        <v>2343</v>
      </c>
      <c r="D1416">
        <v>4.0528300000000003E-2</v>
      </c>
      <c r="E1416" t="s">
        <v>489</v>
      </c>
      <c r="F1416" t="s">
        <v>490</v>
      </c>
      <c r="G1416" t="s">
        <v>490</v>
      </c>
    </row>
    <row r="1417" spans="1:7">
      <c r="A1417" t="s">
        <v>161</v>
      </c>
      <c r="B1417" t="s">
        <v>921</v>
      </c>
      <c r="C1417" t="s">
        <v>920</v>
      </c>
      <c r="D1417">
        <v>3.2773299999999998E-2</v>
      </c>
      <c r="E1417" t="s">
        <v>505</v>
      </c>
      <c r="F1417" t="s">
        <v>922</v>
      </c>
      <c r="G1417" t="s">
        <v>923</v>
      </c>
    </row>
    <row r="1418" spans="1:7">
      <c r="A1418" t="s">
        <v>161</v>
      </c>
      <c r="B1418" t="s">
        <v>549</v>
      </c>
      <c r="C1418" t="s">
        <v>548</v>
      </c>
      <c r="D1418">
        <v>3.24172E-2</v>
      </c>
      <c r="E1418" t="s">
        <v>505</v>
      </c>
      <c r="F1418" t="s">
        <v>550</v>
      </c>
      <c r="G1418" t="s">
        <v>551</v>
      </c>
    </row>
    <row r="1419" spans="1:7">
      <c r="A1419" t="s">
        <v>161</v>
      </c>
      <c r="B1419" t="s">
        <v>2692</v>
      </c>
      <c r="C1419" t="s">
        <v>2691</v>
      </c>
      <c r="D1419">
        <v>3.0920300000000001E-2</v>
      </c>
      <c r="E1419" t="s">
        <v>505</v>
      </c>
      <c r="F1419" t="s">
        <v>2693</v>
      </c>
      <c r="G1419" t="s">
        <v>2694</v>
      </c>
    </row>
    <row r="1420" spans="1:7">
      <c r="A1420" t="s">
        <v>161</v>
      </c>
      <c r="B1420" t="s">
        <v>1526</v>
      </c>
      <c r="C1420" t="s">
        <v>1525</v>
      </c>
      <c r="D1420">
        <v>3.0510299000000001E-2</v>
      </c>
      <c r="E1420" t="s">
        <v>505</v>
      </c>
      <c r="F1420" t="s">
        <v>1527</v>
      </c>
      <c r="G1420" t="s">
        <v>1528</v>
      </c>
    </row>
    <row r="1421" spans="1:7">
      <c r="A1421" t="s">
        <v>162</v>
      </c>
      <c r="B1421" t="s">
        <v>504</v>
      </c>
      <c r="C1421" t="s">
        <v>503</v>
      </c>
      <c r="D1421">
        <v>0.1059817</v>
      </c>
      <c r="E1421" t="s">
        <v>505</v>
      </c>
      <c r="F1421" t="s">
        <v>506</v>
      </c>
      <c r="G1421" t="s">
        <v>507</v>
      </c>
    </row>
    <row r="1422" spans="1:7">
      <c r="A1422" t="s">
        <v>162</v>
      </c>
      <c r="B1422" t="s">
        <v>806</v>
      </c>
      <c r="C1422" t="s">
        <v>805</v>
      </c>
      <c r="D1422">
        <v>0.1050311</v>
      </c>
      <c r="E1422" t="s">
        <v>443</v>
      </c>
      <c r="F1422" t="s">
        <v>807</v>
      </c>
      <c r="G1422" t="s">
        <v>808</v>
      </c>
    </row>
    <row r="1423" spans="1:7">
      <c r="A1423" t="s">
        <v>162</v>
      </c>
      <c r="B1423" t="s">
        <v>1009</v>
      </c>
      <c r="C1423" t="s">
        <v>1008</v>
      </c>
      <c r="D1423">
        <v>7.9341404000000004E-2</v>
      </c>
      <c r="E1423" t="s">
        <v>443</v>
      </c>
      <c r="F1423" t="s">
        <v>1010</v>
      </c>
      <c r="G1423" t="s">
        <v>1011</v>
      </c>
    </row>
    <row r="1424" spans="1:7">
      <c r="A1424" t="s">
        <v>162</v>
      </c>
      <c r="B1424" t="s">
        <v>643</v>
      </c>
      <c r="C1424" t="s">
        <v>642</v>
      </c>
      <c r="D1424">
        <v>7.7094800000000005E-2</v>
      </c>
      <c r="E1424" t="s">
        <v>443</v>
      </c>
      <c r="F1424" t="s">
        <v>644</v>
      </c>
      <c r="G1424" t="s">
        <v>645</v>
      </c>
    </row>
    <row r="1425" spans="1:7">
      <c r="A1425" t="s">
        <v>162</v>
      </c>
      <c r="B1425" t="s">
        <v>529</v>
      </c>
      <c r="C1425" t="s">
        <v>528</v>
      </c>
      <c r="D1425">
        <v>6.2674999999999995E-2</v>
      </c>
      <c r="E1425" t="s">
        <v>489</v>
      </c>
      <c r="F1425" t="s">
        <v>490</v>
      </c>
      <c r="G1425" t="s">
        <v>490</v>
      </c>
    </row>
    <row r="1426" spans="1:7">
      <c r="A1426" t="s">
        <v>162</v>
      </c>
      <c r="B1426" t="s">
        <v>741</v>
      </c>
      <c r="C1426" t="s">
        <v>740</v>
      </c>
      <c r="D1426">
        <v>4.3071699999999997E-2</v>
      </c>
      <c r="E1426" t="s">
        <v>443</v>
      </c>
      <c r="F1426" t="s">
        <v>742</v>
      </c>
      <c r="G1426" t="s">
        <v>743</v>
      </c>
    </row>
    <row r="1427" spans="1:7">
      <c r="A1427" t="s">
        <v>162</v>
      </c>
      <c r="B1427" t="s">
        <v>1542</v>
      </c>
      <c r="C1427" t="s">
        <v>1541</v>
      </c>
      <c r="D1427">
        <v>3.1124799000000002E-2</v>
      </c>
      <c r="E1427" t="s">
        <v>505</v>
      </c>
      <c r="F1427" t="s">
        <v>1543</v>
      </c>
      <c r="G1427" t="s">
        <v>1544</v>
      </c>
    </row>
    <row r="1428" spans="1:7">
      <c r="A1428" t="s">
        <v>162</v>
      </c>
      <c r="B1428" t="s">
        <v>2704</v>
      </c>
      <c r="C1428" t="s">
        <v>2703</v>
      </c>
      <c r="D1428">
        <v>3.0775499000000001E-2</v>
      </c>
      <c r="E1428" t="s">
        <v>443</v>
      </c>
      <c r="F1428" t="s">
        <v>2705</v>
      </c>
      <c r="G1428" t="s">
        <v>2706</v>
      </c>
    </row>
    <row r="1429" spans="1:7">
      <c r="A1429" t="s">
        <v>162</v>
      </c>
      <c r="B1429" t="s">
        <v>1430</v>
      </c>
      <c r="C1429" t="s">
        <v>1429</v>
      </c>
      <c r="D1429">
        <v>3.0729499E-2</v>
      </c>
      <c r="E1429" t="s">
        <v>590</v>
      </c>
      <c r="F1429" t="s">
        <v>1431</v>
      </c>
      <c r="G1429" t="s">
        <v>1432</v>
      </c>
    </row>
    <row r="1430" spans="1:7">
      <c r="A1430" t="s">
        <v>162</v>
      </c>
      <c r="B1430" t="s">
        <v>937</v>
      </c>
      <c r="C1430" t="s">
        <v>936</v>
      </c>
      <c r="D1430">
        <v>2.98532E-2</v>
      </c>
      <c r="E1430" t="s">
        <v>489</v>
      </c>
      <c r="F1430" t="s">
        <v>490</v>
      </c>
      <c r="G1430" t="s">
        <v>490</v>
      </c>
    </row>
    <row r="1431" spans="1:7">
      <c r="A1431" t="s">
        <v>163</v>
      </c>
      <c r="B1431" t="s">
        <v>442</v>
      </c>
      <c r="C1431" t="s">
        <v>441</v>
      </c>
      <c r="D1431">
        <v>8.1576099999999999E-2</v>
      </c>
      <c r="E1431" t="s">
        <v>443</v>
      </c>
      <c r="F1431" t="s">
        <v>444</v>
      </c>
      <c r="G1431" t="s">
        <v>445</v>
      </c>
    </row>
    <row r="1432" spans="1:7">
      <c r="A1432" t="s">
        <v>163</v>
      </c>
      <c r="B1432" t="s">
        <v>475</v>
      </c>
      <c r="C1432" t="s">
        <v>474</v>
      </c>
      <c r="D1432">
        <v>7.2842199999999996E-2</v>
      </c>
      <c r="E1432" t="s">
        <v>443</v>
      </c>
      <c r="F1432" t="s">
        <v>476</v>
      </c>
      <c r="G1432" t="s">
        <v>477</v>
      </c>
    </row>
    <row r="1433" spans="1:7">
      <c r="A1433" t="s">
        <v>163</v>
      </c>
      <c r="B1433" t="s">
        <v>467</v>
      </c>
      <c r="C1433" t="s">
        <v>466</v>
      </c>
      <c r="D1433">
        <v>5.3153400000000003E-2</v>
      </c>
      <c r="E1433" t="s">
        <v>443</v>
      </c>
      <c r="F1433" t="s">
        <v>468</v>
      </c>
      <c r="G1433" t="s">
        <v>469</v>
      </c>
    </row>
    <row r="1434" spans="1:7">
      <c r="A1434" t="s">
        <v>163</v>
      </c>
      <c r="B1434" t="s">
        <v>447</v>
      </c>
      <c r="C1434" t="s">
        <v>446</v>
      </c>
      <c r="D1434">
        <v>4.7963699999999998E-2</v>
      </c>
      <c r="E1434" t="s">
        <v>443</v>
      </c>
      <c r="F1434" t="s">
        <v>448</v>
      </c>
      <c r="G1434" t="s">
        <v>449</v>
      </c>
    </row>
    <row r="1435" spans="1:7">
      <c r="A1435" t="s">
        <v>163</v>
      </c>
      <c r="B1435" t="s">
        <v>459</v>
      </c>
      <c r="C1435" t="s">
        <v>458</v>
      </c>
      <c r="D1435">
        <v>4.61921E-2</v>
      </c>
      <c r="E1435" t="s">
        <v>443</v>
      </c>
      <c r="F1435" t="s">
        <v>460</v>
      </c>
      <c r="G1435" t="s">
        <v>461</v>
      </c>
    </row>
    <row r="1436" spans="1:7">
      <c r="A1436" t="s">
        <v>163</v>
      </c>
      <c r="B1436" t="s">
        <v>451</v>
      </c>
      <c r="C1436" t="s">
        <v>450</v>
      </c>
      <c r="D1436">
        <v>3.6928700000000002E-2</v>
      </c>
      <c r="E1436" t="s">
        <v>443</v>
      </c>
      <c r="F1436" t="s">
        <v>452</v>
      </c>
      <c r="G1436" t="s">
        <v>453</v>
      </c>
    </row>
    <row r="1437" spans="1:7">
      <c r="A1437" t="s">
        <v>163</v>
      </c>
      <c r="B1437" t="s">
        <v>463</v>
      </c>
      <c r="C1437" t="s">
        <v>462</v>
      </c>
      <c r="D1437">
        <v>3.5201299999999998E-2</v>
      </c>
      <c r="E1437" t="s">
        <v>443</v>
      </c>
      <c r="F1437" t="s">
        <v>464</v>
      </c>
      <c r="G1437" t="s">
        <v>465</v>
      </c>
    </row>
    <row r="1438" spans="1:7">
      <c r="A1438" t="s">
        <v>163</v>
      </c>
      <c r="B1438" t="s">
        <v>529</v>
      </c>
      <c r="C1438" t="s">
        <v>528</v>
      </c>
      <c r="D1438">
        <v>3.4579596999999997E-2</v>
      </c>
      <c r="E1438" t="s">
        <v>489</v>
      </c>
      <c r="F1438" t="s">
        <v>490</v>
      </c>
      <c r="G1438" t="s">
        <v>490</v>
      </c>
    </row>
    <row r="1439" spans="1:7">
      <c r="A1439" t="s">
        <v>163</v>
      </c>
      <c r="B1439" t="s">
        <v>455</v>
      </c>
      <c r="C1439" t="s">
        <v>454</v>
      </c>
      <c r="D1439">
        <v>3.3676602E-2</v>
      </c>
      <c r="E1439" t="s">
        <v>443</v>
      </c>
      <c r="F1439" t="s">
        <v>456</v>
      </c>
      <c r="G1439" t="s">
        <v>457</v>
      </c>
    </row>
    <row r="1440" spans="1:7">
      <c r="A1440" t="s">
        <v>163</v>
      </c>
      <c r="B1440" t="s">
        <v>541</v>
      </c>
      <c r="C1440" t="s">
        <v>540</v>
      </c>
      <c r="D1440">
        <v>3.2549000000000002E-2</v>
      </c>
      <c r="E1440" t="s">
        <v>443</v>
      </c>
      <c r="F1440" t="s">
        <v>542</v>
      </c>
      <c r="G1440" t="s">
        <v>543</v>
      </c>
    </row>
    <row r="1441" spans="1:7">
      <c r="A1441" t="s">
        <v>164</v>
      </c>
      <c r="B1441" t="s">
        <v>475</v>
      </c>
      <c r="C1441" t="s">
        <v>474</v>
      </c>
      <c r="D1441">
        <v>9.3349195999999995E-2</v>
      </c>
      <c r="E1441" t="s">
        <v>443</v>
      </c>
      <c r="F1441" t="s">
        <v>476</v>
      </c>
      <c r="G1441" t="s">
        <v>477</v>
      </c>
    </row>
    <row r="1442" spans="1:7">
      <c r="A1442" t="s">
        <v>164</v>
      </c>
      <c r="B1442" t="s">
        <v>442</v>
      </c>
      <c r="C1442" t="s">
        <v>441</v>
      </c>
      <c r="D1442">
        <v>8.9464500000000002E-2</v>
      </c>
      <c r="E1442" t="s">
        <v>443</v>
      </c>
      <c r="F1442" t="s">
        <v>444</v>
      </c>
      <c r="G1442" t="s">
        <v>445</v>
      </c>
    </row>
    <row r="1443" spans="1:7">
      <c r="A1443" t="s">
        <v>164</v>
      </c>
      <c r="B1443" t="s">
        <v>459</v>
      </c>
      <c r="C1443" t="s">
        <v>458</v>
      </c>
      <c r="D1443">
        <v>5.9322899999999998E-2</v>
      </c>
      <c r="E1443" t="s">
        <v>443</v>
      </c>
      <c r="F1443" t="s">
        <v>460</v>
      </c>
      <c r="G1443" t="s">
        <v>461</v>
      </c>
    </row>
    <row r="1444" spans="1:7">
      <c r="A1444" t="s">
        <v>164</v>
      </c>
      <c r="B1444" t="s">
        <v>463</v>
      </c>
      <c r="C1444" t="s">
        <v>462</v>
      </c>
      <c r="D1444">
        <v>4.5162000000000001E-2</v>
      </c>
      <c r="E1444" t="s">
        <v>443</v>
      </c>
      <c r="F1444" t="s">
        <v>464</v>
      </c>
      <c r="G1444" t="s">
        <v>465</v>
      </c>
    </row>
    <row r="1445" spans="1:7">
      <c r="A1445" t="s">
        <v>164</v>
      </c>
      <c r="B1445" t="s">
        <v>455</v>
      </c>
      <c r="C1445" t="s">
        <v>454</v>
      </c>
      <c r="D1445">
        <v>4.3120798000000002E-2</v>
      </c>
      <c r="E1445" t="s">
        <v>443</v>
      </c>
      <c r="F1445" t="s">
        <v>456</v>
      </c>
      <c r="G1445" t="s">
        <v>457</v>
      </c>
    </row>
    <row r="1446" spans="1:7">
      <c r="A1446" t="s">
        <v>164</v>
      </c>
      <c r="B1446" t="s">
        <v>529</v>
      </c>
      <c r="C1446" t="s">
        <v>528</v>
      </c>
      <c r="D1446">
        <v>3.3372100000000002E-2</v>
      </c>
      <c r="E1446" t="s">
        <v>489</v>
      </c>
      <c r="F1446" t="s">
        <v>490</v>
      </c>
      <c r="G1446" t="s">
        <v>490</v>
      </c>
    </row>
    <row r="1447" spans="1:7">
      <c r="A1447" t="s">
        <v>164</v>
      </c>
      <c r="B1447" t="s">
        <v>492</v>
      </c>
      <c r="C1447" t="s">
        <v>491</v>
      </c>
      <c r="D1447">
        <v>2.8355100000000001E-2</v>
      </c>
      <c r="E1447" t="s">
        <v>443</v>
      </c>
      <c r="F1447" t="s">
        <v>493</v>
      </c>
      <c r="G1447" t="s">
        <v>494</v>
      </c>
    </row>
    <row r="1448" spans="1:7">
      <c r="A1448" t="s">
        <v>164</v>
      </c>
      <c r="B1448" t="s">
        <v>447</v>
      </c>
      <c r="C1448" t="s">
        <v>446</v>
      </c>
      <c r="D1448">
        <v>2.23813E-2</v>
      </c>
      <c r="E1448" t="s">
        <v>443</v>
      </c>
      <c r="F1448" t="s">
        <v>448</v>
      </c>
      <c r="G1448" t="s">
        <v>449</v>
      </c>
    </row>
    <row r="1449" spans="1:7">
      <c r="A1449" t="s">
        <v>164</v>
      </c>
      <c r="B1449" t="s">
        <v>1214</v>
      </c>
      <c r="C1449" t="s">
        <v>1213</v>
      </c>
      <c r="D1449">
        <v>2.1330200000000001E-2</v>
      </c>
      <c r="E1449" t="s">
        <v>505</v>
      </c>
      <c r="F1449" t="s">
        <v>1215</v>
      </c>
      <c r="G1449" t="s">
        <v>1216</v>
      </c>
    </row>
    <row r="1450" spans="1:7">
      <c r="A1450" t="s">
        <v>164</v>
      </c>
      <c r="B1450" t="s">
        <v>1314</v>
      </c>
      <c r="C1450" t="s">
        <v>1313</v>
      </c>
      <c r="D1450">
        <v>1.8830400000000001E-2</v>
      </c>
      <c r="E1450" t="s">
        <v>489</v>
      </c>
      <c r="F1450" t="s">
        <v>490</v>
      </c>
      <c r="G1450" t="s">
        <v>490</v>
      </c>
    </row>
    <row r="1451" spans="1:7">
      <c r="A1451" t="s">
        <v>165</v>
      </c>
      <c r="B1451" t="s">
        <v>447</v>
      </c>
      <c r="C1451" t="s">
        <v>446</v>
      </c>
      <c r="D1451">
        <v>3.1749498000000001E-2</v>
      </c>
      <c r="E1451" t="s">
        <v>443</v>
      </c>
      <c r="F1451" t="s">
        <v>448</v>
      </c>
      <c r="G1451" t="s">
        <v>449</v>
      </c>
    </row>
    <row r="1452" spans="1:7">
      <c r="A1452" t="s">
        <v>165</v>
      </c>
      <c r="B1452" t="s">
        <v>584</v>
      </c>
      <c r="C1452" t="s">
        <v>583</v>
      </c>
      <c r="D1452">
        <v>2.5055500000000001E-2</v>
      </c>
      <c r="E1452" t="s">
        <v>585</v>
      </c>
      <c r="F1452" t="s">
        <v>586</v>
      </c>
      <c r="G1452" t="s">
        <v>587</v>
      </c>
    </row>
    <row r="1453" spans="1:7">
      <c r="A1453" t="s">
        <v>165</v>
      </c>
      <c r="B1453" t="s">
        <v>471</v>
      </c>
      <c r="C1453" t="s">
        <v>470</v>
      </c>
      <c r="D1453">
        <v>2.4249E-2</v>
      </c>
      <c r="E1453" t="s">
        <v>443</v>
      </c>
      <c r="F1453" t="s">
        <v>472</v>
      </c>
      <c r="G1453" t="s">
        <v>473</v>
      </c>
    </row>
    <row r="1454" spans="1:7">
      <c r="A1454" t="s">
        <v>165</v>
      </c>
      <c r="B1454" t="s">
        <v>1579</v>
      </c>
      <c r="C1454" t="s">
        <v>1578</v>
      </c>
      <c r="D1454">
        <v>2.2708200000000001E-2</v>
      </c>
      <c r="E1454" t="s">
        <v>489</v>
      </c>
      <c r="F1454" t="s">
        <v>490</v>
      </c>
      <c r="G1454" t="s">
        <v>490</v>
      </c>
    </row>
    <row r="1455" spans="1:7">
      <c r="A1455" t="s">
        <v>165</v>
      </c>
      <c r="B1455" t="s">
        <v>689</v>
      </c>
      <c r="C1455" t="s">
        <v>688</v>
      </c>
      <c r="D1455">
        <v>2.1522801000000001E-2</v>
      </c>
      <c r="E1455" t="s">
        <v>623</v>
      </c>
      <c r="F1455" t="s">
        <v>690</v>
      </c>
      <c r="G1455" t="s">
        <v>691</v>
      </c>
    </row>
    <row r="1456" spans="1:7">
      <c r="A1456" t="s">
        <v>165</v>
      </c>
      <c r="B1456" t="s">
        <v>1474</v>
      </c>
      <c r="C1456" t="s">
        <v>1473</v>
      </c>
      <c r="D1456">
        <v>2.0573999999999999E-2</v>
      </c>
      <c r="E1456" t="s">
        <v>1475</v>
      </c>
      <c r="F1456" t="s">
        <v>1476</v>
      </c>
      <c r="G1456" t="s">
        <v>1477</v>
      </c>
    </row>
    <row r="1457" spans="1:7">
      <c r="A1457" t="s">
        <v>165</v>
      </c>
      <c r="B1457" t="s">
        <v>451</v>
      </c>
      <c r="C1457" t="s">
        <v>450</v>
      </c>
      <c r="D1457">
        <v>2.0087899999999999E-2</v>
      </c>
      <c r="E1457" t="s">
        <v>443</v>
      </c>
      <c r="F1457" t="s">
        <v>452</v>
      </c>
      <c r="G1457" t="s">
        <v>453</v>
      </c>
    </row>
    <row r="1458" spans="1:7">
      <c r="A1458" t="s">
        <v>165</v>
      </c>
      <c r="B1458" t="s">
        <v>509</v>
      </c>
      <c r="C1458" t="s">
        <v>508</v>
      </c>
      <c r="D1458">
        <v>1.91144E-2</v>
      </c>
      <c r="E1458" t="s">
        <v>443</v>
      </c>
      <c r="F1458" t="s">
        <v>510</v>
      </c>
      <c r="G1458" t="s">
        <v>511</v>
      </c>
    </row>
    <row r="1459" spans="1:7">
      <c r="A1459" t="s">
        <v>165</v>
      </c>
      <c r="B1459" t="s">
        <v>825</v>
      </c>
      <c r="C1459" t="s">
        <v>824</v>
      </c>
      <c r="D1459">
        <v>1.9097699999999999E-2</v>
      </c>
      <c r="E1459" t="s">
        <v>826</v>
      </c>
      <c r="F1459" t="s">
        <v>827</v>
      </c>
      <c r="G1459" t="s">
        <v>828</v>
      </c>
    </row>
    <row r="1460" spans="1:7">
      <c r="A1460" t="s">
        <v>165</v>
      </c>
      <c r="B1460" t="s">
        <v>806</v>
      </c>
      <c r="C1460" t="s">
        <v>805</v>
      </c>
      <c r="D1460">
        <v>1.8875599999999999E-2</v>
      </c>
      <c r="E1460" t="s">
        <v>443</v>
      </c>
      <c r="F1460" t="s">
        <v>807</v>
      </c>
      <c r="G1460" t="s">
        <v>808</v>
      </c>
    </row>
    <row r="1461" spans="1:7">
      <c r="A1461" t="s">
        <v>166</v>
      </c>
      <c r="B1461" t="s">
        <v>608</v>
      </c>
      <c r="C1461" t="s">
        <v>607</v>
      </c>
      <c r="D1461">
        <v>1.8744400000000001E-2</v>
      </c>
      <c r="E1461" t="s">
        <v>489</v>
      </c>
      <c r="F1461" t="s">
        <v>490</v>
      </c>
      <c r="G1461" t="s">
        <v>490</v>
      </c>
    </row>
    <row r="1462" spans="1:7">
      <c r="A1462" t="s">
        <v>166</v>
      </c>
      <c r="B1462" t="s">
        <v>504</v>
      </c>
      <c r="C1462" t="s">
        <v>503</v>
      </c>
      <c r="D1462">
        <v>1.72655E-2</v>
      </c>
      <c r="E1462" t="s">
        <v>505</v>
      </c>
      <c r="F1462" t="s">
        <v>506</v>
      </c>
      <c r="G1462" t="s">
        <v>507</v>
      </c>
    </row>
    <row r="1463" spans="1:7">
      <c r="A1463" t="s">
        <v>166</v>
      </c>
      <c r="B1463" t="s">
        <v>1220</v>
      </c>
      <c r="C1463" t="s">
        <v>1219</v>
      </c>
      <c r="D1463">
        <v>1.4810899000000001E-2</v>
      </c>
      <c r="E1463" t="s">
        <v>489</v>
      </c>
      <c r="F1463" t="s">
        <v>490</v>
      </c>
      <c r="G1463" t="s">
        <v>490</v>
      </c>
    </row>
    <row r="1464" spans="1:7">
      <c r="A1464" t="s">
        <v>166</v>
      </c>
      <c r="B1464" t="s">
        <v>3110</v>
      </c>
      <c r="C1464" t="s">
        <v>3109</v>
      </c>
      <c r="D1464">
        <v>1.41771E-2</v>
      </c>
      <c r="E1464" t="s">
        <v>576</v>
      </c>
      <c r="F1464" t="s">
        <v>3111</v>
      </c>
      <c r="G1464" t="s">
        <v>3112</v>
      </c>
    </row>
    <row r="1465" spans="1:7">
      <c r="A1465" t="s">
        <v>166</v>
      </c>
      <c r="B1465" t="s">
        <v>741</v>
      </c>
      <c r="C1465" t="s">
        <v>740</v>
      </c>
      <c r="D1465">
        <v>1.3353500500000001E-2</v>
      </c>
      <c r="E1465" t="s">
        <v>443</v>
      </c>
      <c r="F1465" t="s">
        <v>742</v>
      </c>
      <c r="G1465" t="s">
        <v>743</v>
      </c>
    </row>
    <row r="1466" spans="1:7">
      <c r="A1466" t="s">
        <v>166</v>
      </c>
      <c r="B1466" t="s">
        <v>703</v>
      </c>
      <c r="C1466" t="s">
        <v>702</v>
      </c>
      <c r="D1466">
        <v>1.32871E-2</v>
      </c>
      <c r="E1466" t="s">
        <v>489</v>
      </c>
      <c r="F1466" t="s">
        <v>490</v>
      </c>
      <c r="G1466" t="s">
        <v>490</v>
      </c>
    </row>
    <row r="1467" spans="1:7">
      <c r="A1467" t="s">
        <v>166</v>
      </c>
      <c r="B1467" t="s">
        <v>659</v>
      </c>
      <c r="C1467" t="s">
        <v>658</v>
      </c>
      <c r="D1467">
        <v>1.32345E-2</v>
      </c>
      <c r="E1467" t="s">
        <v>443</v>
      </c>
      <c r="F1467" t="s">
        <v>660</v>
      </c>
      <c r="G1467" t="s">
        <v>661</v>
      </c>
    </row>
    <row r="1468" spans="1:7">
      <c r="A1468" t="s">
        <v>166</v>
      </c>
      <c r="B1468" t="s">
        <v>663</v>
      </c>
      <c r="C1468" t="s">
        <v>662</v>
      </c>
      <c r="D1468">
        <v>1.31731E-2</v>
      </c>
      <c r="E1468" t="s">
        <v>505</v>
      </c>
      <c r="F1468" t="s">
        <v>664</v>
      </c>
      <c r="G1468" t="s">
        <v>665</v>
      </c>
    </row>
    <row r="1469" spans="1:7">
      <c r="A1469" t="s">
        <v>166</v>
      </c>
      <c r="B1469" t="s">
        <v>1228</v>
      </c>
      <c r="C1469" t="s">
        <v>1227</v>
      </c>
      <c r="D1469">
        <v>1.25897005E-2</v>
      </c>
      <c r="E1469" t="s">
        <v>1229</v>
      </c>
      <c r="F1469" t="s">
        <v>1230</v>
      </c>
      <c r="G1469" t="s">
        <v>1231</v>
      </c>
    </row>
    <row r="1470" spans="1:7">
      <c r="A1470" t="s">
        <v>166</v>
      </c>
      <c r="B1470" t="s">
        <v>600</v>
      </c>
      <c r="C1470" t="s">
        <v>599</v>
      </c>
      <c r="D1470">
        <v>1.2145098999999999E-2</v>
      </c>
      <c r="E1470" t="s">
        <v>505</v>
      </c>
      <c r="F1470" t="s">
        <v>601</v>
      </c>
      <c r="G1470" t="s">
        <v>602</v>
      </c>
    </row>
    <row r="1471" spans="1:7">
      <c r="A1471" t="s">
        <v>167</v>
      </c>
      <c r="B1471" t="s">
        <v>1291</v>
      </c>
      <c r="C1471" t="s">
        <v>1290</v>
      </c>
      <c r="D1471">
        <v>5.6033502999999998E-2</v>
      </c>
      <c r="E1471" t="s">
        <v>783</v>
      </c>
      <c r="F1471" t="s">
        <v>1292</v>
      </c>
      <c r="G1471" t="s">
        <v>1293</v>
      </c>
    </row>
    <row r="1472" spans="1:7">
      <c r="A1472" t="s">
        <v>167</v>
      </c>
      <c r="B1472" t="s">
        <v>1025</v>
      </c>
      <c r="C1472" t="s">
        <v>1024</v>
      </c>
      <c r="D1472">
        <v>5.2323498000000003E-2</v>
      </c>
      <c r="E1472" t="s">
        <v>489</v>
      </c>
      <c r="F1472" t="s">
        <v>490</v>
      </c>
      <c r="G1472" t="s">
        <v>490</v>
      </c>
    </row>
    <row r="1473" spans="1:7">
      <c r="A1473" t="s">
        <v>167</v>
      </c>
      <c r="B1473" t="s">
        <v>753</v>
      </c>
      <c r="C1473" t="s">
        <v>752</v>
      </c>
      <c r="D1473">
        <v>5.0704498000000001E-2</v>
      </c>
      <c r="E1473" t="s">
        <v>754</v>
      </c>
      <c r="F1473" t="s">
        <v>755</v>
      </c>
      <c r="G1473" t="s">
        <v>756</v>
      </c>
    </row>
    <row r="1474" spans="1:7">
      <c r="A1474" t="s">
        <v>167</v>
      </c>
      <c r="B1474" t="s">
        <v>1320</v>
      </c>
      <c r="C1474" t="s">
        <v>1319</v>
      </c>
      <c r="D1474">
        <v>4.8516700000000003E-2</v>
      </c>
      <c r="E1474" t="s">
        <v>484</v>
      </c>
      <c r="F1474" t="s">
        <v>1321</v>
      </c>
      <c r="G1474" t="s">
        <v>1322</v>
      </c>
    </row>
    <row r="1475" spans="1:7">
      <c r="A1475" t="s">
        <v>167</v>
      </c>
      <c r="B1475" t="s">
        <v>559</v>
      </c>
      <c r="C1475" t="s">
        <v>558</v>
      </c>
      <c r="D1475">
        <v>4.7718900000000002E-2</v>
      </c>
      <c r="E1475" t="s">
        <v>505</v>
      </c>
      <c r="F1475" t="s">
        <v>560</v>
      </c>
      <c r="G1475" t="s">
        <v>561</v>
      </c>
    </row>
    <row r="1476" spans="1:7">
      <c r="A1476" t="s">
        <v>167</v>
      </c>
      <c r="B1476" t="s">
        <v>2012</v>
      </c>
      <c r="C1476" t="s">
        <v>2011</v>
      </c>
      <c r="D1476">
        <v>4.76052E-2</v>
      </c>
      <c r="E1476" t="s">
        <v>1055</v>
      </c>
      <c r="F1476" t="s">
        <v>2013</v>
      </c>
      <c r="G1476" t="s">
        <v>2014</v>
      </c>
    </row>
    <row r="1477" spans="1:7">
      <c r="A1477" t="s">
        <v>167</v>
      </c>
      <c r="B1477" t="s">
        <v>915</v>
      </c>
      <c r="C1477" t="s">
        <v>914</v>
      </c>
      <c r="D1477">
        <v>4.6956199999999997E-2</v>
      </c>
      <c r="E1477" t="s">
        <v>489</v>
      </c>
      <c r="F1477" t="s">
        <v>490</v>
      </c>
      <c r="G1477" t="s">
        <v>490</v>
      </c>
    </row>
    <row r="1478" spans="1:7">
      <c r="A1478" t="s">
        <v>167</v>
      </c>
      <c r="B1478" t="s">
        <v>778</v>
      </c>
      <c r="C1478" t="s">
        <v>777</v>
      </c>
      <c r="D1478">
        <v>4.6726997999999999E-2</v>
      </c>
      <c r="E1478" t="s">
        <v>443</v>
      </c>
      <c r="F1478" t="s">
        <v>779</v>
      </c>
      <c r="G1478" t="s">
        <v>780</v>
      </c>
    </row>
    <row r="1479" spans="1:7">
      <c r="A1479" t="s">
        <v>167</v>
      </c>
      <c r="B1479" t="s">
        <v>589</v>
      </c>
      <c r="C1479" t="s">
        <v>588</v>
      </c>
      <c r="D1479">
        <v>4.4283799999999998E-2</v>
      </c>
      <c r="E1479" t="s">
        <v>590</v>
      </c>
      <c r="F1479" t="s">
        <v>591</v>
      </c>
      <c r="G1479" t="s">
        <v>592</v>
      </c>
    </row>
    <row r="1480" spans="1:7">
      <c r="A1480" t="s">
        <v>167</v>
      </c>
      <c r="B1480" t="s">
        <v>1109</v>
      </c>
      <c r="C1480" t="s">
        <v>1108</v>
      </c>
      <c r="D1480">
        <v>4.2048602999999997E-2</v>
      </c>
      <c r="E1480" t="s">
        <v>505</v>
      </c>
      <c r="F1480" t="s">
        <v>1110</v>
      </c>
      <c r="G1480" t="s">
        <v>1111</v>
      </c>
    </row>
    <row r="1481" spans="1:7">
      <c r="A1481" t="s">
        <v>168</v>
      </c>
      <c r="B1481" t="s">
        <v>962</v>
      </c>
      <c r="C1481" t="s">
        <v>961</v>
      </c>
      <c r="D1481">
        <v>8.2073599999999997E-2</v>
      </c>
      <c r="E1481" t="s">
        <v>963</v>
      </c>
      <c r="F1481" t="s">
        <v>964</v>
      </c>
      <c r="G1481" t="s">
        <v>965</v>
      </c>
    </row>
    <row r="1482" spans="1:7">
      <c r="A1482" t="s">
        <v>168</v>
      </c>
      <c r="B1482" t="s">
        <v>1263</v>
      </c>
      <c r="C1482" t="s">
        <v>1262</v>
      </c>
      <c r="D1482">
        <v>6.5609105000000001E-2</v>
      </c>
      <c r="E1482" t="s">
        <v>1264</v>
      </c>
      <c r="F1482" t="s">
        <v>1265</v>
      </c>
      <c r="G1482" t="s">
        <v>1266</v>
      </c>
    </row>
    <row r="1483" spans="1:7">
      <c r="A1483" t="s">
        <v>168</v>
      </c>
      <c r="B1483" t="s">
        <v>1303</v>
      </c>
      <c r="C1483" t="s">
        <v>1302</v>
      </c>
      <c r="D1483">
        <v>5.9748000000000002E-2</v>
      </c>
      <c r="E1483" t="s">
        <v>1304</v>
      </c>
      <c r="F1483" t="s">
        <v>1305</v>
      </c>
      <c r="G1483" t="s">
        <v>1306</v>
      </c>
    </row>
    <row r="1484" spans="1:7">
      <c r="A1484" t="s">
        <v>168</v>
      </c>
      <c r="B1484" t="s">
        <v>1858</v>
      </c>
      <c r="C1484" t="s">
        <v>1857</v>
      </c>
      <c r="D1484">
        <v>5.7129300000000001E-2</v>
      </c>
      <c r="E1484" t="s">
        <v>1192</v>
      </c>
      <c r="F1484" t="s">
        <v>1859</v>
      </c>
      <c r="G1484" t="s">
        <v>1860</v>
      </c>
    </row>
    <row r="1485" spans="1:7">
      <c r="A1485" t="s">
        <v>168</v>
      </c>
      <c r="B1485" t="s">
        <v>1886</v>
      </c>
      <c r="C1485" t="s">
        <v>1885</v>
      </c>
      <c r="D1485">
        <v>5.4712400000000001E-2</v>
      </c>
      <c r="E1485" t="s">
        <v>1887</v>
      </c>
      <c r="F1485" t="s">
        <v>1888</v>
      </c>
      <c r="G1485" t="s">
        <v>1889</v>
      </c>
    </row>
    <row r="1486" spans="1:7">
      <c r="A1486" t="s">
        <v>168</v>
      </c>
      <c r="B1486" t="s">
        <v>1430</v>
      </c>
      <c r="C1486" t="s">
        <v>1429</v>
      </c>
      <c r="D1486">
        <v>5.3793896000000001E-2</v>
      </c>
      <c r="E1486" t="s">
        <v>590</v>
      </c>
      <c r="F1486" t="s">
        <v>1431</v>
      </c>
      <c r="G1486" t="s">
        <v>1432</v>
      </c>
    </row>
    <row r="1487" spans="1:7">
      <c r="A1487" t="s">
        <v>168</v>
      </c>
      <c r="B1487" t="s">
        <v>1917</v>
      </c>
      <c r="C1487" t="s">
        <v>1916</v>
      </c>
      <c r="D1487">
        <v>5.1273800000000001E-2</v>
      </c>
      <c r="E1487" t="s">
        <v>489</v>
      </c>
      <c r="F1487" t="s">
        <v>490</v>
      </c>
      <c r="G1487" t="s">
        <v>490</v>
      </c>
    </row>
    <row r="1488" spans="1:7">
      <c r="A1488" t="s">
        <v>168</v>
      </c>
      <c r="B1488" t="s">
        <v>2091</v>
      </c>
      <c r="C1488" t="s">
        <v>2090</v>
      </c>
      <c r="D1488">
        <v>4.5627597999999998E-2</v>
      </c>
      <c r="E1488" t="s">
        <v>505</v>
      </c>
      <c r="F1488" t="s">
        <v>2092</v>
      </c>
      <c r="G1488" t="s">
        <v>2093</v>
      </c>
    </row>
    <row r="1489" spans="1:7">
      <c r="A1489" t="s">
        <v>168</v>
      </c>
      <c r="B1489" t="s">
        <v>1503</v>
      </c>
      <c r="C1489" t="s">
        <v>1502</v>
      </c>
      <c r="D1489">
        <v>4.3348196999999998E-2</v>
      </c>
      <c r="E1489" t="s">
        <v>963</v>
      </c>
      <c r="F1489" t="s">
        <v>1504</v>
      </c>
      <c r="G1489" t="s">
        <v>1505</v>
      </c>
    </row>
    <row r="1490" spans="1:7">
      <c r="A1490" t="s">
        <v>168</v>
      </c>
      <c r="B1490" t="s">
        <v>2241</v>
      </c>
      <c r="C1490" t="s">
        <v>2240</v>
      </c>
      <c r="D1490">
        <v>4.2385302E-2</v>
      </c>
      <c r="E1490" t="s">
        <v>1887</v>
      </c>
      <c r="F1490" t="s">
        <v>2242</v>
      </c>
      <c r="G1490" t="s">
        <v>2243</v>
      </c>
    </row>
    <row r="1491" spans="1:7">
      <c r="A1491" t="s">
        <v>169</v>
      </c>
      <c r="B1491" t="s">
        <v>1171</v>
      </c>
      <c r="C1491" t="s">
        <v>1170</v>
      </c>
      <c r="D1491">
        <v>2.3974800000000001E-2</v>
      </c>
      <c r="E1491" t="s">
        <v>1055</v>
      </c>
      <c r="F1491" t="s">
        <v>1172</v>
      </c>
      <c r="G1491" t="s">
        <v>1173</v>
      </c>
    </row>
    <row r="1492" spans="1:7">
      <c r="A1492" t="s">
        <v>169</v>
      </c>
      <c r="B1492" t="s">
        <v>825</v>
      </c>
      <c r="C1492" t="s">
        <v>824</v>
      </c>
      <c r="D1492">
        <v>2.36718E-2</v>
      </c>
      <c r="E1492" t="s">
        <v>826</v>
      </c>
      <c r="F1492" t="s">
        <v>827</v>
      </c>
      <c r="G1492" t="s">
        <v>828</v>
      </c>
    </row>
    <row r="1493" spans="1:7">
      <c r="A1493" t="s">
        <v>169</v>
      </c>
      <c r="B1493" t="s">
        <v>1625</v>
      </c>
      <c r="C1493" t="s">
        <v>1624</v>
      </c>
      <c r="D1493">
        <v>2.0897200000000001E-2</v>
      </c>
      <c r="E1493" t="s">
        <v>585</v>
      </c>
      <c r="F1493" t="s">
        <v>1626</v>
      </c>
      <c r="G1493" t="s">
        <v>1627</v>
      </c>
    </row>
    <row r="1494" spans="1:7">
      <c r="A1494" t="s">
        <v>169</v>
      </c>
      <c r="B1494" t="s">
        <v>496</v>
      </c>
      <c r="C1494" t="s">
        <v>495</v>
      </c>
      <c r="D1494">
        <v>1.9889500000000001E-2</v>
      </c>
      <c r="E1494" t="s">
        <v>443</v>
      </c>
      <c r="F1494" t="s">
        <v>497</v>
      </c>
      <c r="G1494" t="s">
        <v>498</v>
      </c>
    </row>
    <row r="1495" spans="1:7">
      <c r="A1495" t="s">
        <v>169</v>
      </c>
      <c r="B1495" t="s">
        <v>3054</v>
      </c>
      <c r="C1495" t="s">
        <v>3053</v>
      </c>
      <c r="D1495">
        <v>1.9096499999999999E-2</v>
      </c>
      <c r="E1495" t="s">
        <v>3055</v>
      </c>
      <c r="F1495" t="s">
        <v>490</v>
      </c>
      <c r="G1495" t="s">
        <v>3056</v>
      </c>
    </row>
    <row r="1496" spans="1:7">
      <c r="A1496" t="s">
        <v>169</v>
      </c>
      <c r="B1496" t="s">
        <v>3058</v>
      </c>
      <c r="C1496" t="s">
        <v>3057</v>
      </c>
      <c r="D1496">
        <v>1.8996201000000001E-2</v>
      </c>
      <c r="E1496" t="s">
        <v>826</v>
      </c>
      <c r="F1496" t="s">
        <v>3059</v>
      </c>
      <c r="G1496" t="s">
        <v>3060</v>
      </c>
    </row>
    <row r="1497" spans="1:7">
      <c r="A1497" t="s">
        <v>169</v>
      </c>
      <c r="B1497" t="s">
        <v>1233</v>
      </c>
      <c r="C1497" t="s">
        <v>1232</v>
      </c>
      <c r="D1497">
        <v>1.8335199999999999E-2</v>
      </c>
      <c r="E1497" t="s">
        <v>585</v>
      </c>
      <c r="F1497" t="s">
        <v>1234</v>
      </c>
      <c r="G1497" t="s">
        <v>1235</v>
      </c>
    </row>
    <row r="1498" spans="1:7">
      <c r="A1498" t="s">
        <v>169</v>
      </c>
      <c r="B1498" t="s">
        <v>1633</v>
      </c>
      <c r="C1498" t="s">
        <v>1632</v>
      </c>
      <c r="D1498">
        <v>1.8282099999999999E-2</v>
      </c>
      <c r="E1498" t="s">
        <v>1055</v>
      </c>
      <c r="F1498" t="s">
        <v>1634</v>
      </c>
      <c r="G1498" t="s">
        <v>1635</v>
      </c>
    </row>
    <row r="1499" spans="1:7">
      <c r="A1499" t="s">
        <v>169</v>
      </c>
      <c r="B1499" t="s">
        <v>766</v>
      </c>
      <c r="C1499" t="s">
        <v>765</v>
      </c>
      <c r="D1499">
        <v>1.8273399999999999E-2</v>
      </c>
      <c r="E1499" t="s">
        <v>489</v>
      </c>
      <c r="F1499" t="s">
        <v>490</v>
      </c>
      <c r="G1499" t="s">
        <v>490</v>
      </c>
    </row>
    <row r="1500" spans="1:7">
      <c r="A1500" t="s">
        <v>169</v>
      </c>
      <c r="B1500" t="s">
        <v>1054</v>
      </c>
      <c r="C1500" t="s">
        <v>1053</v>
      </c>
      <c r="D1500">
        <v>1.8259399999999999E-2</v>
      </c>
      <c r="E1500" t="s">
        <v>1055</v>
      </c>
      <c r="F1500" t="s">
        <v>1056</v>
      </c>
      <c r="G1500" t="s">
        <v>1057</v>
      </c>
    </row>
    <row r="1501" spans="1:7">
      <c r="A1501" t="s">
        <v>170</v>
      </c>
      <c r="B1501" t="s">
        <v>479</v>
      </c>
      <c r="C1501" t="s">
        <v>478</v>
      </c>
      <c r="D1501">
        <v>2.3472099E-2</v>
      </c>
      <c r="E1501" t="s">
        <v>443</v>
      </c>
      <c r="F1501" t="s">
        <v>480</v>
      </c>
      <c r="G1501" t="s">
        <v>481</v>
      </c>
    </row>
    <row r="1502" spans="1:7">
      <c r="A1502" t="s">
        <v>170</v>
      </c>
      <c r="B1502" t="s">
        <v>531</v>
      </c>
      <c r="C1502" t="s">
        <v>530</v>
      </c>
      <c r="D1502">
        <v>1.8805701000000001E-2</v>
      </c>
      <c r="E1502" t="s">
        <v>443</v>
      </c>
      <c r="F1502" t="s">
        <v>532</v>
      </c>
      <c r="G1502" t="s">
        <v>533</v>
      </c>
    </row>
    <row r="1503" spans="1:7">
      <c r="A1503" t="s">
        <v>170</v>
      </c>
      <c r="B1503" t="s">
        <v>600</v>
      </c>
      <c r="C1503" t="s">
        <v>599</v>
      </c>
      <c r="D1503">
        <v>1.7426899999999999E-2</v>
      </c>
      <c r="E1503" t="s">
        <v>505</v>
      </c>
      <c r="F1503" t="s">
        <v>601</v>
      </c>
      <c r="G1503" t="s">
        <v>602</v>
      </c>
    </row>
    <row r="1504" spans="1:7">
      <c r="A1504" t="s">
        <v>170</v>
      </c>
      <c r="B1504" t="s">
        <v>1639</v>
      </c>
      <c r="C1504" t="s">
        <v>1638</v>
      </c>
      <c r="D1504">
        <v>1.6810700000000001E-2</v>
      </c>
      <c r="E1504" t="s">
        <v>505</v>
      </c>
      <c r="F1504" t="s">
        <v>1640</v>
      </c>
      <c r="G1504" t="s">
        <v>1641</v>
      </c>
    </row>
    <row r="1505" spans="1:7">
      <c r="A1505" t="s">
        <v>170</v>
      </c>
      <c r="B1505" t="s">
        <v>451</v>
      </c>
      <c r="C1505" t="s">
        <v>450</v>
      </c>
      <c r="D1505">
        <v>1.6464300000000001E-2</v>
      </c>
      <c r="E1505" t="s">
        <v>443</v>
      </c>
      <c r="F1505" t="s">
        <v>452</v>
      </c>
      <c r="G1505" t="s">
        <v>453</v>
      </c>
    </row>
    <row r="1506" spans="1:7">
      <c r="A1506" t="s">
        <v>170</v>
      </c>
      <c r="B1506" t="s">
        <v>509</v>
      </c>
      <c r="C1506" t="s">
        <v>508</v>
      </c>
      <c r="D1506">
        <v>1.6027799999999998E-2</v>
      </c>
      <c r="E1506" t="s">
        <v>443</v>
      </c>
      <c r="F1506" t="s">
        <v>510</v>
      </c>
      <c r="G1506" t="s">
        <v>511</v>
      </c>
    </row>
    <row r="1507" spans="1:7">
      <c r="A1507" t="s">
        <v>170</v>
      </c>
      <c r="B1507" t="s">
        <v>1585</v>
      </c>
      <c r="C1507" t="s">
        <v>1584</v>
      </c>
      <c r="D1507">
        <v>1.57933E-2</v>
      </c>
      <c r="E1507" t="s">
        <v>505</v>
      </c>
      <c r="F1507" t="s">
        <v>1586</v>
      </c>
      <c r="G1507" t="s">
        <v>1587</v>
      </c>
    </row>
    <row r="1508" spans="1:7">
      <c r="A1508" t="s">
        <v>170</v>
      </c>
      <c r="B1508" t="s">
        <v>917</v>
      </c>
      <c r="C1508" t="s">
        <v>916</v>
      </c>
      <c r="D1508">
        <v>1.5653199999999999E-2</v>
      </c>
      <c r="E1508" t="s">
        <v>489</v>
      </c>
      <c r="F1508" t="s">
        <v>490</v>
      </c>
      <c r="G1508" t="s">
        <v>490</v>
      </c>
    </row>
    <row r="1509" spans="1:7">
      <c r="A1509" t="s">
        <v>170</v>
      </c>
      <c r="B1509" t="s">
        <v>1607</v>
      </c>
      <c r="C1509" t="s">
        <v>1606</v>
      </c>
      <c r="D1509">
        <v>1.5436500000000001E-2</v>
      </c>
      <c r="E1509" t="s">
        <v>443</v>
      </c>
      <c r="F1509" t="s">
        <v>1608</v>
      </c>
      <c r="G1509" t="s">
        <v>1609</v>
      </c>
    </row>
    <row r="1510" spans="1:7">
      <c r="A1510" t="s">
        <v>170</v>
      </c>
      <c r="B1510" t="s">
        <v>3096</v>
      </c>
      <c r="C1510" t="s">
        <v>3095</v>
      </c>
      <c r="D1510">
        <v>1.54027E-2</v>
      </c>
      <c r="E1510" t="s">
        <v>2367</v>
      </c>
      <c r="F1510" t="s">
        <v>3097</v>
      </c>
      <c r="G1510" t="s">
        <v>3098</v>
      </c>
    </row>
    <row r="1511" spans="1:7">
      <c r="A1511" t="s">
        <v>171</v>
      </c>
      <c r="B1511" t="s">
        <v>631</v>
      </c>
      <c r="C1511" t="s">
        <v>630</v>
      </c>
      <c r="D1511">
        <v>8.3525896000000002E-2</v>
      </c>
      <c r="E1511" t="s">
        <v>505</v>
      </c>
      <c r="F1511" t="s">
        <v>632</v>
      </c>
      <c r="G1511" t="s">
        <v>633</v>
      </c>
    </row>
    <row r="1512" spans="1:7">
      <c r="A1512" t="s">
        <v>171</v>
      </c>
      <c r="B1512" t="s">
        <v>575</v>
      </c>
      <c r="C1512" t="s">
        <v>574</v>
      </c>
      <c r="D1512">
        <v>7.8305899999999998E-2</v>
      </c>
      <c r="E1512" t="s">
        <v>576</v>
      </c>
      <c r="F1512" t="s">
        <v>577</v>
      </c>
      <c r="G1512" t="s">
        <v>578</v>
      </c>
    </row>
    <row r="1513" spans="1:7">
      <c r="A1513" t="s">
        <v>171</v>
      </c>
      <c r="B1513" t="s">
        <v>758</v>
      </c>
      <c r="C1513" t="s">
        <v>757</v>
      </c>
      <c r="D1513">
        <v>6.9428400000000001E-2</v>
      </c>
      <c r="E1513" t="s">
        <v>505</v>
      </c>
      <c r="F1513" t="s">
        <v>759</v>
      </c>
      <c r="G1513" t="s">
        <v>760</v>
      </c>
    </row>
    <row r="1514" spans="1:7">
      <c r="A1514" t="s">
        <v>171</v>
      </c>
      <c r="B1514" t="s">
        <v>604</v>
      </c>
      <c r="C1514" t="s">
        <v>603</v>
      </c>
      <c r="D1514">
        <v>5.8039199999999999E-2</v>
      </c>
      <c r="E1514" t="s">
        <v>443</v>
      </c>
      <c r="F1514" t="s">
        <v>605</v>
      </c>
      <c r="G1514" t="s">
        <v>606</v>
      </c>
    </row>
    <row r="1515" spans="1:7">
      <c r="A1515" t="s">
        <v>171</v>
      </c>
      <c r="B1515" t="s">
        <v>513</v>
      </c>
      <c r="C1515" t="s">
        <v>512</v>
      </c>
      <c r="D1515">
        <v>5.2751199999999998E-2</v>
      </c>
      <c r="E1515" t="s">
        <v>443</v>
      </c>
      <c r="F1515" t="s">
        <v>514</v>
      </c>
      <c r="G1515" t="s">
        <v>515</v>
      </c>
    </row>
    <row r="1516" spans="1:7">
      <c r="A1516" t="s">
        <v>171</v>
      </c>
      <c r="B1516" t="s">
        <v>2443</v>
      </c>
      <c r="C1516" t="s">
        <v>2442</v>
      </c>
      <c r="D1516">
        <v>3.8195899999999998E-2</v>
      </c>
      <c r="E1516" t="s">
        <v>489</v>
      </c>
      <c r="F1516" t="s">
        <v>490</v>
      </c>
      <c r="G1516" t="s">
        <v>490</v>
      </c>
    </row>
    <row r="1517" spans="1:7">
      <c r="A1517" t="s">
        <v>171</v>
      </c>
      <c r="B1517" t="s">
        <v>1150</v>
      </c>
      <c r="C1517" t="s">
        <v>1149</v>
      </c>
      <c r="D1517">
        <v>3.1868502E-2</v>
      </c>
      <c r="E1517" t="s">
        <v>505</v>
      </c>
      <c r="F1517" t="s">
        <v>1151</v>
      </c>
      <c r="G1517" t="s">
        <v>1152</v>
      </c>
    </row>
    <row r="1518" spans="1:7">
      <c r="A1518" t="s">
        <v>171</v>
      </c>
      <c r="B1518" t="s">
        <v>2676</v>
      </c>
      <c r="C1518" t="s">
        <v>2675</v>
      </c>
      <c r="D1518">
        <v>3.1402397999999998E-2</v>
      </c>
      <c r="E1518" t="s">
        <v>489</v>
      </c>
      <c r="F1518" t="s">
        <v>490</v>
      </c>
      <c r="G1518" t="s">
        <v>490</v>
      </c>
    </row>
    <row r="1519" spans="1:7">
      <c r="A1519" t="s">
        <v>171</v>
      </c>
      <c r="B1519" t="s">
        <v>1530</v>
      </c>
      <c r="C1519" t="s">
        <v>1529</v>
      </c>
      <c r="D1519">
        <v>3.1376500000000002E-2</v>
      </c>
      <c r="E1519" t="s">
        <v>505</v>
      </c>
      <c r="F1519" t="s">
        <v>1531</v>
      </c>
      <c r="G1519" t="s">
        <v>1532</v>
      </c>
    </row>
    <row r="1520" spans="1:7">
      <c r="A1520" t="s">
        <v>171</v>
      </c>
      <c r="B1520" t="s">
        <v>1589</v>
      </c>
      <c r="C1520" t="s">
        <v>1588</v>
      </c>
      <c r="D1520">
        <v>3.0428799999999999E-2</v>
      </c>
      <c r="E1520" t="s">
        <v>505</v>
      </c>
      <c r="F1520" t="s">
        <v>1590</v>
      </c>
      <c r="G1520" t="s">
        <v>1591</v>
      </c>
    </row>
    <row r="1521" spans="1:7">
      <c r="A1521" t="s">
        <v>172</v>
      </c>
      <c r="B1521" t="s">
        <v>1295</v>
      </c>
      <c r="C1521" t="s">
        <v>1294</v>
      </c>
      <c r="D1521">
        <v>8.8597599999999999E-2</v>
      </c>
      <c r="E1521" t="s">
        <v>489</v>
      </c>
      <c r="F1521" t="s">
        <v>490</v>
      </c>
      <c r="G1521" t="s">
        <v>490</v>
      </c>
    </row>
    <row r="1522" spans="1:7">
      <c r="A1522" t="s">
        <v>172</v>
      </c>
      <c r="B1522" t="s">
        <v>1134</v>
      </c>
      <c r="C1522" t="s">
        <v>1133</v>
      </c>
      <c r="D1522">
        <v>7.8080399999999994E-2</v>
      </c>
      <c r="E1522" t="s">
        <v>443</v>
      </c>
      <c r="F1522" t="s">
        <v>1135</v>
      </c>
      <c r="G1522" t="s">
        <v>1136</v>
      </c>
    </row>
    <row r="1523" spans="1:7">
      <c r="A1523" t="s">
        <v>172</v>
      </c>
      <c r="B1523" t="s">
        <v>1712</v>
      </c>
      <c r="C1523" t="s">
        <v>1711</v>
      </c>
      <c r="D1523">
        <v>7.64185E-2</v>
      </c>
      <c r="E1523" t="s">
        <v>443</v>
      </c>
      <c r="F1523" t="s">
        <v>1713</v>
      </c>
      <c r="G1523" t="s">
        <v>1714</v>
      </c>
    </row>
    <row r="1524" spans="1:7">
      <c r="A1524" t="s">
        <v>172</v>
      </c>
      <c r="B1524" t="s">
        <v>580</v>
      </c>
      <c r="C1524" t="s">
        <v>579</v>
      </c>
      <c r="D1524">
        <v>6.5717399999999995E-2</v>
      </c>
      <c r="E1524" t="s">
        <v>505</v>
      </c>
      <c r="F1524" t="s">
        <v>581</v>
      </c>
      <c r="G1524" t="s">
        <v>582</v>
      </c>
    </row>
    <row r="1525" spans="1:7">
      <c r="A1525" t="s">
        <v>172</v>
      </c>
      <c r="B1525" t="s">
        <v>612</v>
      </c>
      <c r="C1525" t="s">
        <v>611</v>
      </c>
      <c r="D1525">
        <v>5.6992304000000001E-2</v>
      </c>
      <c r="E1525" t="s">
        <v>613</v>
      </c>
      <c r="F1525" t="s">
        <v>614</v>
      </c>
      <c r="G1525" t="s">
        <v>615</v>
      </c>
    </row>
    <row r="1526" spans="1:7">
      <c r="A1526" t="s">
        <v>172</v>
      </c>
      <c r="B1526" t="s">
        <v>1876</v>
      </c>
      <c r="C1526" t="s">
        <v>1875</v>
      </c>
      <c r="D1526">
        <v>5.5322398000000002E-2</v>
      </c>
      <c r="E1526" t="s">
        <v>505</v>
      </c>
      <c r="F1526" t="s">
        <v>1877</v>
      </c>
      <c r="G1526" t="s">
        <v>1878</v>
      </c>
    </row>
    <row r="1527" spans="1:7">
      <c r="A1527" t="s">
        <v>172</v>
      </c>
      <c r="B1527" t="s">
        <v>1063</v>
      </c>
      <c r="C1527" t="s">
        <v>1062</v>
      </c>
      <c r="D1527">
        <v>5.1545803000000001E-2</v>
      </c>
      <c r="E1527" t="s">
        <v>505</v>
      </c>
      <c r="F1527" t="s">
        <v>1064</v>
      </c>
      <c r="G1527" t="s">
        <v>1065</v>
      </c>
    </row>
    <row r="1528" spans="1:7">
      <c r="A1528" t="s">
        <v>172</v>
      </c>
      <c r="B1528" t="s">
        <v>1932</v>
      </c>
      <c r="C1528" t="s">
        <v>1931</v>
      </c>
      <c r="D1528">
        <v>5.0388597E-2</v>
      </c>
      <c r="E1528" t="s">
        <v>505</v>
      </c>
      <c r="F1528" t="s">
        <v>1933</v>
      </c>
      <c r="G1528" t="s">
        <v>1934</v>
      </c>
    </row>
    <row r="1529" spans="1:7">
      <c r="A1529" t="s">
        <v>172</v>
      </c>
      <c r="B1529" t="s">
        <v>622</v>
      </c>
      <c r="C1529" t="s">
        <v>621</v>
      </c>
      <c r="D1529">
        <v>4.8439004000000001E-2</v>
      </c>
      <c r="E1529" t="s">
        <v>623</v>
      </c>
      <c r="F1529" t="s">
        <v>624</v>
      </c>
      <c r="G1529" t="s">
        <v>625</v>
      </c>
    </row>
    <row r="1530" spans="1:7">
      <c r="A1530" t="s">
        <v>172</v>
      </c>
      <c r="B1530" t="s">
        <v>2188</v>
      </c>
      <c r="C1530" t="s">
        <v>2187</v>
      </c>
      <c r="D1530">
        <v>4.35182E-2</v>
      </c>
      <c r="E1530" t="s">
        <v>489</v>
      </c>
      <c r="F1530" t="s">
        <v>490</v>
      </c>
      <c r="G1530" t="s">
        <v>490</v>
      </c>
    </row>
    <row r="1531" spans="1:7">
      <c r="A1531" t="s">
        <v>173</v>
      </c>
      <c r="B1531" t="s">
        <v>1165</v>
      </c>
      <c r="C1531" t="s">
        <v>1164</v>
      </c>
      <c r="D1531">
        <v>5.0581300000000003E-2</v>
      </c>
      <c r="E1531" t="s">
        <v>505</v>
      </c>
      <c r="F1531" t="s">
        <v>1166</v>
      </c>
      <c r="G1531" t="s">
        <v>1167</v>
      </c>
    </row>
    <row r="1532" spans="1:7">
      <c r="A1532" t="s">
        <v>173</v>
      </c>
      <c r="B1532" t="s">
        <v>598</v>
      </c>
      <c r="C1532" t="s">
        <v>597</v>
      </c>
      <c r="D1532">
        <v>5.0493700000000002E-2</v>
      </c>
      <c r="E1532" t="s">
        <v>489</v>
      </c>
      <c r="F1532" t="s">
        <v>490</v>
      </c>
      <c r="G1532" t="s">
        <v>490</v>
      </c>
    </row>
    <row r="1533" spans="1:7">
      <c r="A1533" t="s">
        <v>173</v>
      </c>
      <c r="B1533" t="s">
        <v>1122</v>
      </c>
      <c r="C1533" t="s">
        <v>1121</v>
      </c>
      <c r="D1533">
        <v>5.0271402999999999E-2</v>
      </c>
      <c r="E1533" t="s">
        <v>489</v>
      </c>
      <c r="F1533" t="s">
        <v>490</v>
      </c>
      <c r="G1533" t="s">
        <v>490</v>
      </c>
    </row>
    <row r="1534" spans="1:7">
      <c r="A1534" t="s">
        <v>173</v>
      </c>
      <c r="B1534" t="s">
        <v>919</v>
      </c>
      <c r="C1534" t="s">
        <v>918</v>
      </c>
      <c r="D1534">
        <v>4.9952503000000002E-2</v>
      </c>
      <c r="E1534" t="s">
        <v>489</v>
      </c>
      <c r="F1534" t="s">
        <v>490</v>
      </c>
      <c r="G1534" t="s">
        <v>490</v>
      </c>
    </row>
    <row r="1535" spans="1:7">
      <c r="A1535" t="s">
        <v>173</v>
      </c>
      <c r="B1535" t="s">
        <v>1175</v>
      </c>
      <c r="C1535" t="s">
        <v>1174</v>
      </c>
      <c r="D1535">
        <v>4.9361099999999998E-2</v>
      </c>
      <c r="E1535" t="s">
        <v>443</v>
      </c>
      <c r="F1535" t="s">
        <v>1176</v>
      </c>
      <c r="G1535" t="s">
        <v>1177</v>
      </c>
    </row>
    <row r="1536" spans="1:7">
      <c r="A1536" t="s">
        <v>173</v>
      </c>
      <c r="B1536" t="s">
        <v>925</v>
      </c>
      <c r="C1536" t="s">
        <v>924</v>
      </c>
      <c r="D1536">
        <v>4.8794900000000002E-2</v>
      </c>
      <c r="E1536" t="s">
        <v>443</v>
      </c>
      <c r="F1536" t="s">
        <v>926</v>
      </c>
      <c r="G1536" t="s">
        <v>927</v>
      </c>
    </row>
    <row r="1537" spans="1:7">
      <c r="A1537" t="s">
        <v>173</v>
      </c>
      <c r="B1537" t="s">
        <v>725</v>
      </c>
      <c r="C1537" t="s">
        <v>724</v>
      </c>
      <c r="D1537">
        <v>4.8715099999999997E-2</v>
      </c>
      <c r="E1537" t="s">
        <v>505</v>
      </c>
      <c r="F1537" t="s">
        <v>726</v>
      </c>
      <c r="G1537" t="s">
        <v>727</v>
      </c>
    </row>
    <row r="1538" spans="1:7">
      <c r="A1538" t="s">
        <v>173</v>
      </c>
      <c r="B1538" t="s">
        <v>1973</v>
      </c>
      <c r="C1538" t="s">
        <v>1972</v>
      </c>
      <c r="D1538">
        <v>4.8573699999999997E-2</v>
      </c>
      <c r="E1538" t="s">
        <v>505</v>
      </c>
      <c r="F1538" t="s">
        <v>1974</v>
      </c>
      <c r="G1538" t="s">
        <v>1975</v>
      </c>
    </row>
    <row r="1539" spans="1:7">
      <c r="A1539" t="s">
        <v>173</v>
      </c>
      <c r="B1539" t="s">
        <v>796</v>
      </c>
      <c r="C1539" t="s">
        <v>795</v>
      </c>
      <c r="D1539">
        <v>4.8540800000000002E-2</v>
      </c>
      <c r="E1539" t="s">
        <v>505</v>
      </c>
      <c r="F1539" t="s">
        <v>797</v>
      </c>
      <c r="G1539" t="s">
        <v>798</v>
      </c>
    </row>
    <row r="1540" spans="1:7">
      <c r="A1540" t="s">
        <v>173</v>
      </c>
      <c r="B1540" t="s">
        <v>830</v>
      </c>
      <c r="C1540" t="s">
        <v>829</v>
      </c>
      <c r="D1540">
        <v>4.85212E-2</v>
      </c>
      <c r="E1540" t="s">
        <v>489</v>
      </c>
      <c r="F1540" t="s">
        <v>490</v>
      </c>
      <c r="G1540" t="s">
        <v>490</v>
      </c>
    </row>
    <row r="1541" spans="1:7">
      <c r="A1541" t="s">
        <v>174</v>
      </c>
      <c r="B1541" t="s">
        <v>663</v>
      </c>
      <c r="C1541" t="s">
        <v>662</v>
      </c>
      <c r="D1541">
        <v>5.5057402999999998E-2</v>
      </c>
      <c r="E1541" t="s">
        <v>505</v>
      </c>
      <c r="F1541" t="s">
        <v>664</v>
      </c>
      <c r="G1541" t="s">
        <v>665</v>
      </c>
    </row>
    <row r="1542" spans="1:7">
      <c r="A1542" t="s">
        <v>174</v>
      </c>
      <c r="B1542" t="s">
        <v>703</v>
      </c>
      <c r="C1542" t="s">
        <v>702</v>
      </c>
      <c r="D1542">
        <v>5.3415097000000002E-2</v>
      </c>
      <c r="E1542" t="s">
        <v>489</v>
      </c>
      <c r="F1542" t="s">
        <v>490</v>
      </c>
      <c r="G1542" t="s">
        <v>490</v>
      </c>
    </row>
    <row r="1543" spans="1:7">
      <c r="A1543" t="s">
        <v>174</v>
      </c>
      <c r="B1543" t="s">
        <v>2271</v>
      </c>
      <c r="C1543" t="s">
        <v>2270</v>
      </c>
      <c r="D1543">
        <v>4.1873300000000002E-2</v>
      </c>
      <c r="E1543" t="s">
        <v>505</v>
      </c>
      <c r="F1543" t="s">
        <v>2272</v>
      </c>
      <c r="G1543" t="s">
        <v>2273</v>
      </c>
    </row>
    <row r="1544" spans="1:7">
      <c r="A1544" t="s">
        <v>174</v>
      </c>
      <c r="B1544" t="s">
        <v>2320</v>
      </c>
      <c r="C1544" t="s">
        <v>2319</v>
      </c>
      <c r="D1544">
        <v>4.1072695999999999E-2</v>
      </c>
      <c r="E1544" t="s">
        <v>505</v>
      </c>
      <c r="F1544" t="s">
        <v>2321</v>
      </c>
      <c r="G1544" t="s">
        <v>2322</v>
      </c>
    </row>
    <row r="1545" spans="1:7">
      <c r="A1545" t="s">
        <v>174</v>
      </c>
      <c r="B1545" t="s">
        <v>549</v>
      </c>
      <c r="C1545" t="s">
        <v>548</v>
      </c>
      <c r="D1545">
        <v>4.0395997000000003E-2</v>
      </c>
      <c r="E1545" t="s">
        <v>505</v>
      </c>
      <c r="F1545" t="s">
        <v>550</v>
      </c>
      <c r="G1545" t="s">
        <v>551</v>
      </c>
    </row>
    <row r="1546" spans="1:7">
      <c r="A1546" t="s">
        <v>174</v>
      </c>
      <c r="B1546" t="s">
        <v>814</v>
      </c>
      <c r="C1546" t="s">
        <v>813</v>
      </c>
      <c r="D1546">
        <v>4.0158402000000003E-2</v>
      </c>
      <c r="E1546" t="s">
        <v>489</v>
      </c>
      <c r="F1546" t="s">
        <v>490</v>
      </c>
      <c r="G1546" t="s">
        <v>490</v>
      </c>
    </row>
    <row r="1547" spans="1:7">
      <c r="A1547" t="s">
        <v>174</v>
      </c>
      <c r="B1547" t="s">
        <v>1526</v>
      </c>
      <c r="C1547" t="s">
        <v>1525</v>
      </c>
      <c r="D1547">
        <v>3.9837200000000003E-2</v>
      </c>
      <c r="E1547" t="s">
        <v>505</v>
      </c>
      <c r="F1547" t="s">
        <v>1527</v>
      </c>
      <c r="G1547" t="s">
        <v>1528</v>
      </c>
    </row>
    <row r="1548" spans="1:7">
      <c r="A1548" t="s">
        <v>174</v>
      </c>
      <c r="B1548" t="s">
        <v>1105</v>
      </c>
      <c r="C1548" t="s">
        <v>1104</v>
      </c>
      <c r="D1548">
        <v>3.9728798000000003E-2</v>
      </c>
      <c r="E1548" t="s">
        <v>505</v>
      </c>
      <c r="F1548" t="s">
        <v>1106</v>
      </c>
      <c r="G1548" t="s">
        <v>1107</v>
      </c>
    </row>
    <row r="1549" spans="1:7">
      <c r="A1549" t="s">
        <v>174</v>
      </c>
      <c r="B1549" t="s">
        <v>667</v>
      </c>
      <c r="C1549" t="s">
        <v>666</v>
      </c>
      <c r="D1549">
        <v>3.9580499999999998E-2</v>
      </c>
      <c r="E1549" t="s">
        <v>613</v>
      </c>
      <c r="F1549" t="s">
        <v>668</v>
      </c>
      <c r="G1549" t="s">
        <v>669</v>
      </c>
    </row>
    <row r="1550" spans="1:7">
      <c r="A1550" t="s">
        <v>174</v>
      </c>
      <c r="B1550" t="s">
        <v>622</v>
      </c>
      <c r="C1550" t="s">
        <v>621</v>
      </c>
      <c r="D1550">
        <v>3.9087999999999998E-2</v>
      </c>
      <c r="E1550" t="s">
        <v>623</v>
      </c>
      <c r="F1550" t="s">
        <v>624</v>
      </c>
      <c r="G1550" t="s">
        <v>625</v>
      </c>
    </row>
    <row r="1551" spans="1:7">
      <c r="A1551" t="s">
        <v>177</v>
      </c>
      <c r="B1551" t="s">
        <v>768</v>
      </c>
      <c r="C1551" t="s">
        <v>767</v>
      </c>
      <c r="D1551">
        <v>5.3358401999999999E-2</v>
      </c>
      <c r="E1551" t="s">
        <v>505</v>
      </c>
      <c r="F1551" t="s">
        <v>769</v>
      </c>
      <c r="G1551" t="s">
        <v>770</v>
      </c>
    </row>
    <row r="1552" spans="1:7">
      <c r="A1552" t="s">
        <v>177</v>
      </c>
      <c r="B1552" t="s">
        <v>575</v>
      </c>
      <c r="C1552" t="s">
        <v>574</v>
      </c>
      <c r="D1552">
        <v>3.9147899999999999E-2</v>
      </c>
      <c r="E1552" t="s">
        <v>576</v>
      </c>
      <c r="F1552" t="s">
        <v>577</v>
      </c>
      <c r="G1552" t="s">
        <v>578</v>
      </c>
    </row>
    <row r="1553" spans="1:7">
      <c r="A1553" t="s">
        <v>177</v>
      </c>
      <c r="B1553" t="s">
        <v>1424</v>
      </c>
      <c r="C1553" t="s">
        <v>1423</v>
      </c>
      <c r="D1553">
        <v>3.7888999999999999E-2</v>
      </c>
      <c r="E1553" t="s">
        <v>505</v>
      </c>
      <c r="F1553" t="s">
        <v>1425</v>
      </c>
      <c r="G1553" t="s">
        <v>1426</v>
      </c>
    </row>
    <row r="1554" spans="1:7">
      <c r="A1554" t="s">
        <v>177</v>
      </c>
      <c r="B1554" t="s">
        <v>904</v>
      </c>
      <c r="C1554" t="s">
        <v>903</v>
      </c>
      <c r="D1554">
        <v>3.78509E-2</v>
      </c>
      <c r="E1554" t="s">
        <v>443</v>
      </c>
      <c r="F1554" t="s">
        <v>905</v>
      </c>
      <c r="G1554" t="s">
        <v>906</v>
      </c>
    </row>
    <row r="1555" spans="1:7">
      <c r="A1555" t="s">
        <v>177</v>
      </c>
      <c r="B1555" t="s">
        <v>2538</v>
      </c>
      <c r="C1555" t="s">
        <v>2537</v>
      </c>
      <c r="D1555">
        <v>3.5734200000000001E-2</v>
      </c>
      <c r="E1555" t="s">
        <v>505</v>
      </c>
      <c r="F1555" t="s">
        <v>2539</v>
      </c>
      <c r="G1555" t="s">
        <v>2540</v>
      </c>
    </row>
    <row r="1556" spans="1:7">
      <c r="A1556" t="s">
        <v>177</v>
      </c>
      <c r="B1556" t="s">
        <v>559</v>
      </c>
      <c r="C1556" t="s">
        <v>558</v>
      </c>
      <c r="D1556">
        <v>3.4973299999999999E-2</v>
      </c>
      <c r="E1556" t="s">
        <v>505</v>
      </c>
      <c r="F1556" t="s">
        <v>560</v>
      </c>
      <c r="G1556" t="s">
        <v>561</v>
      </c>
    </row>
    <row r="1557" spans="1:7">
      <c r="A1557" t="s">
        <v>177</v>
      </c>
      <c r="B1557" t="s">
        <v>549</v>
      </c>
      <c r="C1557" t="s">
        <v>548</v>
      </c>
      <c r="D1557">
        <v>3.4188099999999999E-2</v>
      </c>
      <c r="E1557" t="s">
        <v>505</v>
      </c>
      <c r="F1557" t="s">
        <v>550</v>
      </c>
      <c r="G1557" t="s">
        <v>551</v>
      </c>
    </row>
    <row r="1558" spans="1:7">
      <c r="A1558" t="s">
        <v>177</v>
      </c>
      <c r="B1558" t="s">
        <v>651</v>
      </c>
      <c r="C1558" t="s">
        <v>650</v>
      </c>
      <c r="D1558">
        <v>3.3899800000000001E-2</v>
      </c>
      <c r="E1558" t="s">
        <v>618</v>
      </c>
      <c r="F1558" t="s">
        <v>652</v>
      </c>
      <c r="G1558" t="s">
        <v>653</v>
      </c>
    </row>
    <row r="1559" spans="1:7">
      <c r="A1559" t="s">
        <v>177</v>
      </c>
      <c r="B1559" t="s">
        <v>2648</v>
      </c>
      <c r="C1559" t="s">
        <v>2647</v>
      </c>
      <c r="D1559">
        <v>3.2710098E-2</v>
      </c>
      <c r="E1559" t="s">
        <v>489</v>
      </c>
      <c r="F1559" t="s">
        <v>490</v>
      </c>
      <c r="G1559" t="s">
        <v>490</v>
      </c>
    </row>
    <row r="1560" spans="1:7">
      <c r="A1560" t="s">
        <v>177</v>
      </c>
      <c r="B1560" t="s">
        <v>1175</v>
      </c>
      <c r="C1560" t="s">
        <v>1174</v>
      </c>
      <c r="D1560">
        <v>3.2508799999999997E-2</v>
      </c>
      <c r="E1560" t="s">
        <v>443</v>
      </c>
      <c r="F1560" t="s">
        <v>1176</v>
      </c>
      <c r="G1560" t="s">
        <v>1177</v>
      </c>
    </row>
    <row r="1561" spans="1:7">
      <c r="A1561" t="s">
        <v>178</v>
      </c>
      <c r="B1561" t="s">
        <v>442</v>
      </c>
      <c r="C1561" t="s">
        <v>441</v>
      </c>
      <c r="D1561">
        <v>0.1475794</v>
      </c>
      <c r="E1561" t="s">
        <v>443</v>
      </c>
      <c r="F1561" t="s">
        <v>444</v>
      </c>
      <c r="G1561" t="s">
        <v>445</v>
      </c>
    </row>
    <row r="1562" spans="1:7">
      <c r="A1562" t="s">
        <v>178</v>
      </c>
      <c r="B1562" t="s">
        <v>455</v>
      </c>
      <c r="C1562" t="s">
        <v>454</v>
      </c>
      <c r="D1562">
        <v>9.5697299999999999E-2</v>
      </c>
      <c r="E1562" t="s">
        <v>443</v>
      </c>
      <c r="F1562" t="s">
        <v>456</v>
      </c>
      <c r="G1562" t="s">
        <v>457</v>
      </c>
    </row>
    <row r="1563" spans="1:7">
      <c r="A1563" t="s">
        <v>178</v>
      </c>
      <c r="B1563" t="s">
        <v>475</v>
      </c>
      <c r="C1563" t="s">
        <v>474</v>
      </c>
      <c r="D1563">
        <v>7.8449500000000005E-2</v>
      </c>
      <c r="E1563" t="s">
        <v>443</v>
      </c>
      <c r="F1563" t="s">
        <v>476</v>
      </c>
      <c r="G1563" t="s">
        <v>477</v>
      </c>
    </row>
    <row r="1564" spans="1:7">
      <c r="A1564" t="s">
        <v>178</v>
      </c>
      <c r="B1564" t="s">
        <v>447</v>
      </c>
      <c r="C1564" t="s">
        <v>446</v>
      </c>
      <c r="D1564">
        <v>7.2126999999999997E-2</v>
      </c>
      <c r="E1564" t="s">
        <v>443</v>
      </c>
      <c r="F1564" t="s">
        <v>448</v>
      </c>
      <c r="G1564" t="s">
        <v>449</v>
      </c>
    </row>
    <row r="1565" spans="1:7">
      <c r="A1565" t="s">
        <v>178</v>
      </c>
      <c r="B1565" t="s">
        <v>517</v>
      </c>
      <c r="C1565" t="s">
        <v>516</v>
      </c>
      <c r="D1565">
        <v>7.0767200000000002E-2</v>
      </c>
      <c r="E1565" t="s">
        <v>443</v>
      </c>
      <c r="F1565" t="s">
        <v>518</v>
      </c>
      <c r="G1565" t="s">
        <v>519</v>
      </c>
    </row>
    <row r="1566" spans="1:7">
      <c r="A1566" t="s">
        <v>178</v>
      </c>
      <c r="B1566" t="s">
        <v>467</v>
      </c>
      <c r="C1566" t="s">
        <v>466</v>
      </c>
      <c r="D1566">
        <v>6.1977602999999999E-2</v>
      </c>
      <c r="E1566" t="s">
        <v>443</v>
      </c>
      <c r="F1566" t="s">
        <v>468</v>
      </c>
      <c r="G1566" t="s">
        <v>469</v>
      </c>
    </row>
    <row r="1567" spans="1:7">
      <c r="A1567" t="s">
        <v>178</v>
      </c>
      <c r="B1567" t="s">
        <v>463</v>
      </c>
      <c r="C1567" t="s">
        <v>462</v>
      </c>
      <c r="D1567">
        <v>4.4959600000000002E-2</v>
      </c>
      <c r="E1567" t="s">
        <v>443</v>
      </c>
      <c r="F1567" t="s">
        <v>464</v>
      </c>
      <c r="G1567" t="s">
        <v>465</v>
      </c>
    </row>
    <row r="1568" spans="1:7">
      <c r="A1568" t="s">
        <v>178</v>
      </c>
      <c r="B1568" t="s">
        <v>488</v>
      </c>
      <c r="C1568" t="s">
        <v>487</v>
      </c>
      <c r="D1568">
        <v>4.4640899999999997E-2</v>
      </c>
      <c r="E1568" t="s">
        <v>489</v>
      </c>
      <c r="F1568" t="s">
        <v>490</v>
      </c>
      <c r="G1568" t="s">
        <v>490</v>
      </c>
    </row>
    <row r="1569" spans="1:7">
      <c r="A1569" t="s">
        <v>178</v>
      </c>
      <c r="B1569" t="s">
        <v>459</v>
      </c>
      <c r="C1569" t="s">
        <v>458</v>
      </c>
      <c r="D1569">
        <v>3.6831996999999998E-2</v>
      </c>
      <c r="E1569" t="s">
        <v>443</v>
      </c>
      <c r="F1569" t="s">
        <v>460</v>
      </c>
      <c r="G1569" t="s">
        <v>461</v>
      </c>
    </row>
    <row r="1570" spans="1:7">
      <c r="A1570" t="s">
        <v>178</v>
      </c>
      <c r="B1570" t="s">
        <v>651</v>
      </c>
      <c r="C1570" t="s">
        <v>650</v>
      </c>
      <c r="D1570">
        <v>3.0622698E-2</v>
      </c>
      <c r="E1570" t="s">
        <v>618</v>
      </c>
      <c r="F1570" t="s">
        <v>652</v>
      </c>
      <c r="G1570" t="s">
        <v>653</v>
      </c>
    </row>
    <row r="1571" spans="1:7">
      <c r="A1571" t="s">
        <v>179</v>
      </c>
      <c r="B1571" t="s">
        <v>1341</v>
      </c>
      <c r="C1571" t="s">
        <v>1340</v>
      </c>
      <c r="D1571">
        <v>6.1115198000000003E-2</v>
      </c>
      <c r="E1571" t="s">
        <v>783</v>
      </c>
      <c r="F1571" t="s">
        <v>1342</v>
      </c>
      <c r="G1571" t="s">
        <v>1343</v>
      </c>
    </row>
    <row r="1572" spans="1:7">
      <c r="A1572" t="s">
        <v>179</v>
      </c>
      <c r="B1572" t="s">
        <v>549</v>
      </c>
      <c r="C1572" t="s">
        <v>548</v>
      </c>
      <c r="D1572">
        <v>5.3424902000000003E-2</v>
      </c>
      <c r="E1572" t="s">
        <v>505</v>
      </c>
      <c r="F1572" t="s">
        <v>550</v>
      </c>
      <c r="G1572" t="s">
        <v>551</v>
      </c>
    </row>
    <row r="1573" spans="1:7">
      <c r="A1573" t="s">
        <v>179</v>
      </c>
      <c r="B1573" t="s">
        <v>1928</v>
      </c>
      <c r="C1573" t="s">
        <v>1927</v>
      </c>
      <c r="D1573">
        <v>5.0811599999999998E-2</v>
      </c>
      <c r="E1573" t="s">
        <v>783</v>
      </c>
      <c r="F1573" t="s">
        <v>1929</v>
      </c>
      <c r="G1573" t="s">
        <v>1930</v>
      </c>
    </row>
    <row r="1574" spans="1:7">
      <c r="A1574" t="s">
        <v>179</v>
      </c>
      <c r="B1574" t="s">
        <v>1105</v>
      </c>
      <c r="C1574" t="s">
        <v>1104</v>
      </c>
      <c r="D1574">
        <v>4.7464199999999998E-2</v>
      </c>
      <c r="E1574" t="s">
        <v>505</v>
      </c>
      <c r="F1574" t="s">
        <v>1106</v>
      </c>
      <c r="G1574" t="s">
        <v>1107</v>
      </c>
    </row>
    <row r="1575" spans="1:7">
      <c r="A1575" t="s">
        <v>179</v>
      </c>
      <c r="B1575" t="s">
        <v>1090</v>
      </c>
      <c r="C1575" t="s">
        <v>1089</v>
      </c>
      <c r="D1575">
        <v>4.5722600000000002E-2</v>
      </c>
      <c r="E1575" t="s">
        <v>1091</v>
      </c>
      <c r="F1575" t="s">
        <v>490</v>
      </c>
      <c r="G1575" t="s">
        <v>490</v>
      </c>
    </row>
    <row r="1576" spans="1:7">
      <c r="A1576" t="s">
        <v>179</v>
      </c>
      <c r="B1576" t="s">
        <v>589</v>
      </c>
      <c r="C1576" t="s">
        <v>588</v>
      </c>
      <c r="D1576">
        <v>4.4460904000000002E-2</v>
      </c>
      <c r="E1576" t="s">
        <v>590</v>
      </c>
      <c r="F1576" t="s">
        <v>591</v>
      </c>
      <c r="G1576" t="s">
        <v>592</v>
      </c>
    </row>
    <row r="1577" spans="1:7">
      <c r="A1577" t="s">
        <v>179</v>
      </c>
      <c r="B1577" t="s">
        <v>1542</v>
      </c>
      <c r="C1577" t="s">
        <v>1541</v>
      </c>
      <c r="D1577">
        <v>3.6541400000000002E-2</v>
      </c>
      <c r="E1577" t="s">
        <v>505</v>
      </c>
      <c r="F1577" t="s">
        <v>1543</v>
      </c>
      <c r="G1577" t="s">
        <v>1544</v>
      </c>
    </row>
    <row r="1578" spans="1:7">
      <c r="A1578" t="s">
        <v>179</v>
      </c>
      <c r="B1578" t="s">
        <v>2525</v>
      </c>
      <c r="C1578" t="s">
        <v>2524</v>
      </c>
      <c r="D1578">
        <v>3.5951799999999999E-2</v>
      </c>
      <c r="E1578" t="s">
        <v>590</v>
      </c>
      <c r="F1578" t="s">
        <v>2526</v>
      </c>
      <c r="G1578" t="s">
        <v>2527</v>
      </c>
    </row>
    <row r="1579" spans="1:7">
      <c r="A1579" t="s">
        <v>179</v>
      </c>
      <c r="B1579" t="s">
        <v>776</v>
      </c>
      <c r="C1579" t="s">
        <v>775</v>
      </c>
      <c r="D1579">
        <v>3.21368E-2</v>
      </c>
      <c r="E1579" t="s">
        <v>489</v>
      </c>
      <c r="F1579" t="s">
        <v>490</v>
      </c>
      <c r="G1579" t="s">
        <v>490</v>
      </c>
    </row>
    <row r="1580" spans="1:7">
      <c r="A1580" t="s">
        <v>179</v>
      </c>
      <c r="B1580" t="s">
        <v>2690</v>
      </c>
      <c r="C1580" t="s">
        <v>2689</v>
      </c>
      <c r="D1580">
        <v>3.09748E-2</v>
      </c>
      <c r="E1580" t="s">
        <v>489</v>
      </c>
      <c r="F1580" t="s">
        <v>490</v>
      </c>
      <c r="G1580" t="s">
        <v>490</v>
      </c>
    </row>
    <row r="1581" spans="1:7">
      <c r="A1581" t="s">
        <v>180</v>
      </c>
      <c r="B1581" t="s">
        <v>563</v>
      </c>
      <c r="C1581" t="s">
        <v>562</v>
      </c>
      <c r="D1581">
        <v>8.4357399999999999E-2</v>
      </c>
      <c r="E1581" t="s">
        <v>505</v>
      </c>
      <c r="F1581" t="s">
        <v>564</v>
      </c>
      <c r="G1581" t="s">
        <v>565</v>
      </c>
    </row>
    <row r="1582" spans="1:7">
      <c r="A1582" t="s">
        <v>180</v>
      </c>
      <c r="B1582" t="s">
        <v>571</v>
      </c>
      <c r="C1582" t="s">
        <v>570</v>
      </c>
      <c r="D1582">
        <v>7.7742199999999997E-2</v>
      </c>
      <c r="E1582" t="s">
        <v>505</v>
      </c>
      <c r="F1582" t="s">
        <v>572</v>
      </c>
      <c r="G1582" t="s">
        <v>573</v>
      </c>
    </row>
    <row r="1583" spans="1:7">
      <c r="A1583" t="s">
        <v>180</v>
      </c>
      <c r="B1583" t="s">
        <v>693</v>
      </c>
      <c r="C1583" t="s">
        <v>692</v>
      </c>
      <c r="D1583">
        <v>7.6915800000000006E-2</v>
      </c>
      <c r="E1583" t="s">
        <v>505</v>
      </c>
      <c r="F1583" t="s">
        <v>694</v>
      </c>
      <c r="G1583" t="s">
        <v>695</v>
      </c>
    </row>
    <row r="1584" spans="1:7">
      <c r="A1584" t="s">
        <v>180</v>
      </c>
      <c r="B1584" t="s">
        <v>525</v>
      </c>
      <c r="C1584" t="s">
        <v>524</v>
      </c>
      <c r="D1584">
        <v>7.0825799999999994E-2</v>
      </c>
      <c r="E1584" t="s">
        <v>443</v>
      </c>
      <c r="F1584" t="s">
        <v>526</v>
      </c>
      <c r="G1584" t="s">
        <v>527</v>
      </c>
    </row>
    <row r="1585" spans="1:7">
      <c r="A1585" t="s">
        <v>180</v>
      </c>
      <c r="B1585" t="s">
        <v>987</v>
      </c>
      <c r="C1585" t="s">
        <v>986</v>
      </c>
      <c r="D1585">
        <v>5.7713399999999998E-2</v>
      </c>
      <c r="E1585" t="s">
        <v>826</v>
      </c>
      <c r="F1585" t="s">
        <v>988</v>
      </c>
      <c r="G1585" t="s">
        <v>989</v>
      </c>
    </row>
    <row r="1586" spans="1:7">
      <c r="A1586" t="s">
        <v>180</v>
      </c>
      <c r="B1586" t="s">
        <v>866</v>
      </c>
      <c r="C1586" t="s">
        <v>865</v>
      </c>
      <c r="D1586">
        <v>4.8948497000000001E-2</v>
      </c>
      <c r="E1586" t="s">
        <v>754</v>
      </c>
      <c r="F1586" t="s">
        <v>867</v>
      </c>
      <c r="G1586" t="s">
        <v>868</v>
      </c>
    </row>
    <row r="1587" spans="1:7">
      <c r="A1587" t="s">
        <v>180</v>
      </c>
      <c r="B1587" t="s">
        <v>745</v>
      </c>
      <c r="C1587" t="s">
        <v>744</v>
      </c>
      <c r="D1587">
        <v>4.7020300000000001E-2</v>
      </c>
      <c r="E1587" t="s">
        <v>505</v>
      </c>
      <c r="F1587" t="s">
        <v>746</v>
      </c>
      <c r="G1587" t="s">
        <v>747</v>
      </c>
    </row>
    <row r="1588" spans="1:7">
      <c r="A1588" t="s">
        <v>180</v>
      </c>
      <c r="B1588" t="s">
        <v>949</v>
      </c>
      <c r="C1588" t="s">
        <v>948</v>
      </c>
      <c r="D1588">
        <v>4.4069499999999998E-2</v>
      </c>
      <c r="E1588" t="s">
        <v>484</v>
      </c>
      <c r="F1588" t="s">
        <v>950</v>
      </c>
      <c r="G1588" t="s">
        <v>951</v>
      </c>
    </row>
    <row r="1589" spans="1:7">
      <c r="A1589" t="s">
        <v>180</v>
      </c>
      <c r="B1589" t="s">
        <v>1438</v>
      </c>
      <c r="C1589" t="s">
        <v>1437</v>
      </c>
      <c r="D1589">
        <v>4.3589401999999999E-2</v>
      </c>
      <c r="E1589" t="s">
        <v>1439</v>
      </c>
      <c r="F1589" t="s">
        <v>1440</v>
      </c>
      <c r="G1589" t="s">
        <v>1441</v>
      </c>
    </row>
    <row r="1590" spans="1:7">
      <c r="A1590" t="s">
        <v>180</v>
      </c>
      <c r="B1590" t="s">
        <v>1117</v>
      </c>
      <c r="C1590" t="s">
        <v>1116</v>
      </c>
      <c r="D1590">
        <v>4.2803899999999999E-2</v>
      </c>
      <c r="E1590" t="s">
        <v>1118</v>
      </c>
      <c r="F1590" t="s">
        <v>1119</v>
      </c>
      <c r="G1590" t="s">
        <v>1120</v>
      </c>
    </row>
    <row r="1591" spans="1:7">
      <c r="A1591" t="s">
        <v>181</v>
      </c>
      <c r="B1591" t="s">
        <v>442</v>
      </c>
      <c r="C1591" t="s">
        <v>441</v>
      </c>
      <c r="D1591">
        <v>0.17551518999999999</v>
      </c>
      <c r="E1591" t="s">
        <v>443</v>
      </c>
      <c r="F1591" t="s">
        <v>444</v>
      </c>
      <c r="G1591" t="s">
        <v>445</v>
      </c>
    </row>
    <row r="1592" spans="1:7">
      <c r="A1592" t="s">
        <v>181</v>
      </c>
      <c r="B1592" t="s">
        <v>455</v>
      </c>
      <c r="C1592" t="s">
        <v>454</v>
      </c>
      <c r="D1592">
        <v>0.1305231</v>
      </c>
      <c r="E1592" t="s">
        <v>443</v>
      </c>
      <c r="F1592" t="s">
        <v>456</v>
      </c>
      <c r="G1592" t="s">
        <v>457</v>
      </c>
    </row>
    <row r="1593" spans="1:7">
      <c r="A1593" t="s">
        <v>181</v>
      </c>
      <c r="B1593" t="s">
        <v>451</v>
      </c>
      <c r="C1593" t="s">
        <v>450</v>
      </c>
      <c r="D1593">
        <v>8.0376594999999995E-2</v>
      </c>
      <c r="E1593" t="s">
        <v>443</v>
      </c>
      <c r="F1593" t="s">
        <v>452</v>
      </c>
      <c r="G1593" t="s">
        <v>453</v>
      </c>
    </row>
    <row r="1594" spans="1:7">
      <c r="A1594" t="s">
        <v>181</v>
      </c>
      <c r="B1594" t="s">
        <v>471</v>
      </c>
      <c r="C1594" t="s">
        <v>470</v>
      </c>
      <c r="D1594">
        <v>7.8480999999999995E-2</v>
      </c>
      <c r="E1594" t="s">
        <v>443</v>
      </c>
      <c r="F1594" t="s">
        <v>472</v>
      </c>
      <c r="G1594" t="s">
        <v>473</v>
      </c>
    </row>
    <row r="1595" spans="1:7">
      <c r="A1595" t="s">
        <v>181</v>
      </c>
      <c r="B1595" t="s">
        <v>447</v>
      </c>
      <c r="C1595" t="s">
        <v>446</v>
      </c>
      <c r="D1595">
        <v>7.1883699999999995E-2</v>
      </c>
      <c r="E1595" t="s">
        <v>443</v>
      </c>
      <c r="F1595" t="s">
        <v>448</v>
      </c>
      <c r="G1595" t="s">
        <v>449</v>
      </c>
    </row>
    <row r="1596" spans="1:7">
      <c r="A1596" t="s">
        <v>181</v>
      </c>
      <c r="B1596" t="s">
        <v>651</v>
      </c>
      <c r="C1596" t="s">
        <v>650</v>
      </c>
      <c r="D1596">
        <v>6.4409099999999997E-2</v>
      </c>
      <c r="E1596" t="s">
        <v>618</v>
      </c>
      <c r="F1596" t="s">
        <v>652</v>
      </c>
      <c r="G1596" t="s">
        <v>653</v>
      </c>
    </row>
    <row r="1597" spans="1:7">
      <c r="A1597" t="s">
        <v>181</v>
      </c>
      <c r="B1597" t="s">
        <v>671</v>
      </c>
      <c r="C1597" t="s">
        <v>670</v>
      </c>
      <c r="D1597">
        <v>4.2660700000000003E-2</v>
      </c>
      <c r="E1597" t="s">
        <v>489</v>
      </c>
      <c r="F1597" t="s">
        <v>490</v>
      </c>
      <c r="G1597" t="s">
        <v>490</v>
      </c>
    </row>
    <row r="1598" spans="1:7">
      <c r="A1598" t="s">
        <v>181</v>
      </c>
      <c r="B1598" t="s">
        <v>517</v>
      </c>
      <c r="C1598" t="s">
        <v>516</v>
      </c>
      <c r="D1598">
        <v>4.1301999999999998E-2</v>
      </c>
      <c r="E1598" t="s">
        <v>443</v>
      </c>
      <c r="F1598" t="s">
        <v>518</v>
      </c>
      <c r="G1598" t="s">
        <v>519</v>
      </c>
    </row>
    <row r="1599" spans="1:7">
      <c r="A1599" t="s">
        <v>181</v>
      </c>
      <c r="B1599" t="s">
        <v>713</v>
      </c>
      <c r="C1599" t="s">
        <v>712</v>
      </c>
      <c r="D1599">
        <v>4.0442098000000003E-2</v>
      </c>
      <c r="E1599" t="s">
        <v>443</v>
      </c>
      <c r="F1599" t="s">
        <v>714</v>
      </c>
      <c r="G1599" t="s">
        <v>715</v>
      </c>
    </row>
    <row r="1600" spans="1:7">
      <c r="A1600" t="s">
        <v>181</v>
      </c>
      <c r="B1600" t="s">
        <v>772</v>
      </c>
      <c r="C1600" t="s">
        <v>771</v>
      </c>
      <c r="D1600">
        <v>3.7985798000000001E-2</v>
      </c>
      <c r="E1600" t="s">
        <v>443</v>
      </c>
      <c r="F1600" t="s">
        <v>773</v>
      </c>
      <c r="G1600" t="s">
        <v>774</v>
      </c>
    </row>
    <row r="1601" spans="1:7">
      <c r="A1601" t="s">
        <v>182</v>
      </c>
      <c r="B1601" t="s">
        <v>1337</v>
      </c>
      <c r="C1601" t="s">
        <v>1336</v>
      </c>
      <c r="D1601">
        <v>0.10256220000000001</v>
      </c>
      <c r="E1601" t="s">
        <v>489</v>
      </c>
      <c r="F1601" t="s">
        <v>490</v>
      </c>
      <c r="G1601" t="s">
        <v>490</v>
      </c>
    </row>
    <row r="1602" spans="1:7">
      <c r="A1602" t="s">
        <v>182</v>
      </c>
      <c r="B1602" t="s">
        <v>849</v>
      </c>
      <c r="C1602" t="s">
        <v>848</v>
      </c>
      <c r="D1602">
        <v>9.8848599999999995E-2</v>
      </c>
      <c r="E1602" t="s">
        <v>850</v>
      </c>
      <c r="F1602" t="s">
        <v>851</v>
      </c>
      <c r="G1602" t="s">
        <v>852</v>
      </c>
    </row>
    <row r="1603" spans="1:7">
      <c r="A1603" t="s">
        <v>182</v>
      </c>
      <c r="B1603" t="s">
        <v>610</v>
      </c>
      <c r="C1603" t="s">
        <v>609</v>
      </c>
      <c r="D1603">
        <v>8.1502000000000005E-2</v>
      </c>
      <c r="E1603" t="s">
        <v>489</v>
      </c>
      <c r="F1603" t="s">
        <v>490</v>
      </c>
      <c r="G1603" t="s">
        <v>490</v>
      </c>
    </row>
    <row r="1604" spans="1:7">
      <c r="A1604" t="s">
        <v>182</v>
      </c>
      <c r="B1604" t="s">
        <v>1913</v>
      </c>
      <c r="C1604" t="s">
        <v>1912</v>
      </c>
      <c r="D1604">
        <v>5.135E-2</v>
      </c>
      <c r="E1604" t="s">
        <v>505</v>
      </c>
      <c r="F1604" t="s">
        <v>1914</v>
      </c>
      <c r="G1604" t="s">
        <v>1915</v>
      </c>
    </row>
    <row r="1605" spans="1:7">
      <c r="A1605" t="s">
        <v>182</v>
      </c>
      <c r="B1605" t="s">
        <v>904</v>
      </c>
      <c r="C1605" t="s">
        <v>903</v>
      </c>
      <c r="D1605">
        <v>4.3920897E-2</v>
      </c>
      <c r="E1605" t="s">
        <v>443</v>
      </c>
      <c r="F1605" t="s">
        <v>905</v>
      </c>
      <c r="G1605" t="s">
        <v>906</v>
      </c>
    </row>
    <row r="1606" spans="1:7">
      <c r="A1606" t="s">
        <v>182</v>
      </c>
      <c r="B1606" t="s">
        <v>2287</v>
      </c>
      <c r="C1606" t="s">
        <v>2286</v>
      </c>
      <c r="D1606">
        <v>4.1579600000000001E-2</v>
      </c>
      <c r="E1606" t="s">
        <v>489</v>
      </c>
      <c r="F1606" t="s">
        <v>490</v>
      </c>
      <c r="G1606" t="s">
        <v>490</v>
      </c>
    </row>
    <row r="1607" spans="1:7">
      <c r="A1607" t="s">
        <v>182</v>
      </c>
      <c r="B1607" t="s">
        <v>1459</v>
      </c>
      <c r="C1607" t="s">
        <v>1458</v>
      </c>
      <c r="D1607">
        <v>4.1443199999999999E-2</v>
      </c>
      <c r="E1607" t="s">
        <v>590</v>
      </c>
      <c r="F1607" t="s">
        <v>1460</v>
      </c>
      <c r="G1607" t="s">
        <v>1461</v>
      </c>
    </row>
    <row r="1608" spans="1:7">
      <c r="A1608" t="s">
        <v>182</v>
      </c>
      <c r="B1608" t="s">
        <v>876</v>
      </c>
      <c r="C1608" t="s">
        <v>875</v>
      </c>
      <c r="D1608">
        <v>3.7813899999999998E-2</v>
      </c>
      <c r="E1608" t="s">
        <v>590</v>
      </c>
      <c r="F1608" t="s">
        <v>877</v>
      </c>
      <c r="G1608" t="s">
        <v>878</v>
      </c>
    </row>
    <row r="1609" spans="1:7">
      <c r="A1609" t="s">
        <v>182</v>
      </c>
      <c r="B1609" t="s">
        <v>1567</v>
      </c>
      <c r="C1609" t="s">
        <v>1566</v>
      </c>
      <c r="D1609">
        <v>3.5888200000000002E-2</v>
      </c>
      <c r="E1609" t="s">
        <v>826</v>
      </c>
      <c r="F1609" t="s">
        <v>1568</v>
      </c>
      <c r="G1609" t="s">
        <v>1569</v>
      </c>
    </row>
    <row r="1610" spans="1:7">
      <c r="A1610" t="s">
        <v>182</v>
      </c>
      <c r="B1610" t="s">
        <v>1161</v>
      </c>
      <c r="C1610" t="s">
        <v>1160</v>
      </c>
      <c r="D1610">
        <v>3.5803500000000002E-2</v>
      </c>
      <c r="E1610" t="s">
        <v>505</v>
      </c>
      <c r="F1610" t="s">
        <v>1162</v>
      </c>
      <c r="G1610" t="s">
        <v>1163</v>
      </c>
    </row>
    <row r="1611" spans="1:7">
      <c r="A1611" t="s">
        <v>183</v>
      </c>
      <c r="B1611" t="s">
        <v>880</v>
      </c>
      <c r="C1611" t="s">
        <v>879</v>
      </c>
      <c r="D1611">
        <v>5.2940696000000002E-2</v>
      </c>
      <c r="E1611" t="s">
        <v>505</v>
      </c>
      <c r="F1611" t="s">
        <v>881</v>
      </c>
      <c r="G1611" t="s">
        <v>882</v>
      </c>
    </row>
    <row r="1612" spans="1:7">
      <c r="A1612" t="s">
        <v>183</v>
      </c>
      <c r="B1612" t="s">
        <v>521</v>
      </c>
      <c r="C1612" t="s">
        <v>520</v>
      </c>
      <c r="D1612">
        <v>4.3629800000000003E-2</v>
      </c>
      <c r="E1612" t="s">
        <v>505</v>
      </c>
      <c r="F1612" t="s">
        <v>522</v>
      </c>
      <c r="G1612" t="s">
        <v>523</v>
      </c>
    </row>
    <row r="1613" spans="1:7">
      <c r="A1613" t="s">
        <v>183</v>
      </c>
      <c r="B1613" t="s">
        <v>768</v>
      </c>
      <c r="C1613" t="s">
        <v>767</v>
      </c>
      <c r="D1613">
        <v>3.9932202999999999E-2</v>
      </c>
      <c r="E1613" t="s">
        <v>505</v>
      </c>
      <c r="F1613" t="s">
        <v>769</v>
      </c>
      <c r="G1613" t="s">
        <v>770</v>
      </c>
    </row>
    <row r="1614" spans="1:7">
      <c r="A1614" t="s">
        <v>183</v>
      </c>
      <c r="B1614" t="s">
        <v>1546</v>
      </c>
      <c r="C1614" t="s">
        <v>1545</v>
      </c>
      <c r="D1614">
        <v>3.8218799999999997E-2</v>
      </c>
      <c r="E1614" t="s">
        <v>443</v>
      </c>
      <c r="F1614" t="s">
        <v>1547</v>
      </c>
      <c r="G1614" t="s">
        <v>1548</v>
      </c>
    </row>
    <row r="1615" spans="1:7">
      <c r="A1615" t="s">
        <v>183</v>
      </c>
      <c r="B1615" t="s">
        <v>459</v>
      </c>
      <c r="C1615" t="s">
        <v>458</v>
      </c>
      <c r="D1615">
        <v>3.62105E-2</v>
      </c>
      <c r="E1615" t="s">
        <v>443</v>
      </c>
      <c r="F1615" t="s">
        <v>460</v>
      </c>
      <c r="G1615" t="s">
        <v>461</v>
      </c>
    </row>
    <row r="1616" spans="1:7">
      <c r="A1616" t="s">
        <v>183</v>
      </c>
      <c r="B1616" t="s">
        <v>1451</v>
      </c>
      <c r="C1616" t="s">
        <v>1450</v>
      </c>
      <c r="D1616">
        <v>3.61917E-2</v>
      </c>
      <c r="E1616" t="s">
        <v>505</v>
      </c>
      <c r="F1616" t="s">
        <v>1452</v>
      </c>
      <c r="G1616" t="s">
        <v>1453</v>
      </c>
    </row>
    <row r="1617" spans="1:7">
      <c r="A1617" t="s">
        <v>183</v>
      </c>
      <c r="B1617" t="s">
        <v>1146</v>
      </c>
      <c r="C1617" t="s">
        <v>1145</v>
      </c>
      <c r="D1617">
        <v>3.4833299999999998E-2</v>
      </c>
      <c r="E1617" t="s">
        <v>505</v>
      </c>
      <c r="F1617" t="s">
        <v>1147</v>
      </c>
      <c r="G1617" t="s">
        <v>1148</v>
      </c>
    </row>
    <row r="1618" spans="1:7">
      <c r="A1618" t="s">
        <v>183</v>
      </c>
      <c r="B1618" t="s">
        <v>2554</v>
      </c>
      <c r="C1618" t="s">
        <v>2553</v>
      </c>
      <c r="D1618">
        <v>3.4786696999999998E-2</v>
      </c>
      <c r="E1618" t="s">
        <v>505</v>
      </c>
      <c r="F1618" t="s">
        <v>2555</v>
      </c>
      <c r="G1618" t="s">
        <v>2556</v>
      </c>
    </row>
    <row r="1619" spans="1:7">
      <c r="A1619" t="s">
        <v>183</v>
      </c>
      <c r="B1619" t="s">
        <v>463</v>
      </c>
      <c r="C1619" t="s">
        <v>462</v>
      </c>
      <c r="D1619">
        <v>3.4277799999999997E-2</v>
      </c>
      <c r="E1619" t="s">
        <v>443</v>
      </c>
      <c r="F1619" t="s">
        <v>464</v>
      </c>
      <c r="G1619" t="s">
        <v>465</v>
      </c>
    </row>
    <row r="1620" spans="1:7">
      <c r="A1620" t="s">
        <v>183</v>
      </c>
      <c r="B1620" t="s">
        <v>816</v>
      </c>
      <c r="C1620" t="s">
        <v>815</v>
      </c>
      <c r="D1620">
        <v>3.3562901999999999E-2</v>
      </c>
      <c r="E1620" t="s">
        <v>505</v>
      </c>
      <c r="F1620" t="s">
        <v>817</v>
      </c>
      <c r="G1620" t="s">
        <v>818</v>
      </c>
    </row>
    <row r="1621" spans="1:7">
      <c r="A1621" t="s">
        <v>184</v>
      </c>
      <c r="B1621" t="s">
        <v>442</v>
      </c>
      <c r="C1621" t="s">
        <v>441</v>
      </c>
      <c r="D1621">
        <v>0.15230340000000001</v>
      </c>
      <c r="E1621" t="s">
        <v>443</v>
      </c>
      <c r="F1621" t="s">
        <v>444</v>
      </c>
      <c r="G1621" t="s">
        <v>445</v>
      </c>
    </row>
    <row r="1622" spans="1:7">
      <c r="A1622" t="s">
        <v>184</v>
      </c>
      <c r="B1622" t="s">
        <v>488</v>
      </c>
      <c r="C1622" t="s">
        <v>487</v>
      </c>
      <c r="D1622">
        <v>9.3836606000000003E-2</v>
      </c>
      <c r="E1622" t="s">
        <v>489</v>
      </c>
      <c r="F1622" t="s">
        <v>490</v>
      </c>
      <c r="G1622" t="s">
        <v>490</v>
      </c>
    </row>
    <row r="1623" spans="1:7">
      <c r="A1623" t="s">
        <v>184</v>
      </c>
      <c r="B1623" t="s">
        <v>447</v>
      </c>
      <c r="C1623" t="s">
        <v>446</v>
      </c>
      <c r="D1623">
        <v>7.7801800000000004E-2</v>
      </c>
      <c r="E1623" t="s">
        <v>443</v>
      </c>
      <c r="F1623" t="s">
        <v>448</v>
      </c>
      <c r="G1623" t="s">
        <v>449</v>
      </c>
    </row>
    <row r="1624" spans="1:7">
      <c r="A1624" t="s">
        <v>184</v>
      </c>
      <c r="B1624" t="s">
        <v>451</v>
      </c>
      <c r="C1624" t="s">
        <v>450</v>
      </c>
      <c r="D1624">
        <v>7.6075599999999993E-2</v>
      </c>
      <c r="E1624" t="s">
        <v>443</v>
      </c>
      <c r="F1624" t="s">
        <v>452</v>
      </c>
      <c r="G1624" t="s">
        <v>453</v>
      </c>
    </row>
    <row r="1625" spans="1:7">
      <c r="A1625" t="s">
        <v>184</v>
      </c>
      <c r="B1625" t="s">
        <v>471</v>
      </c>
      <c r="C1625" t="s">
        <v>470</v>
      </c>
      <c r="D1625">
        <v>7.2165900000000005E-2</v>
      </c>
      <c r="E1625" t="s">
        <v>443</v>
      </c>
      <c r="F1625" t="s">
        <v>472</v>
      </c>
      <c r="G1625" t="s">
        <v>473</v>
      </c>
    </row>
    <row r="1626" spans="1:7">
      <c r="A1626" t="s">
        <v>184</v>
      </c>
      <c r="B1626" t="s">
        <v>455</v>
      </c>
      <c r="C1626" t="s">
        <v>454</v>
      </c>
      <c r="D1626">
        <v>7.20137E-2</v>
      </c>
      <c r="E1626" t="s">
        <v>443</v>
      </c>
      <c r="F1626" t="s">
        <v>456</v>
      </c>
      <c r="G1626" t="s">
        <v>457</v>
      </c>
    </row>
    <row r="1627" spans="1:7">
      <c r="A1627" t="s">
        <v>184</v>
      </c>
      <c r="B1627" t="s">
        <v>496</v>
      </c>
      <c r="C1627" t="s">
        <v>495</v>
      </c>
      <c r="D1627">
        <v>5.1009896999999998E-2</v>
      </c>
      <c r="E1627" t="s">
        <v>443</v>
      </c>
      <c r="F1627" t="s">
        <v>497</v>
      </c>
      <c r="G1627" t="s">
        <v>498</v>
      </c>
    </row>
    <row r="1628" spans="1:7">
      <c r="A1628" t="s">
        <v>184</v>
      </c>
      <c r="B1628" t="s">
        <v>671</v>
      </c>
      <c r="C1628" t="s">
        <v>670</v>
      </c>
      <c r="D1628">
        <v>4.6455797E-2</v>
      </c>
      <c r="E1628" t="s">
        <v>489</v>
      </c>
      <c r="F1628" t="s">
        <v>490</v>
      </c>
      <c r="G1628" t="s">
        <v>490</v>
      </c>
    </row>
    <row r="1629" spans="1:7">
      <c r="A1629" t="s">
        <v>184</v>
      </c>
      <c r="B1629" t="s">
        <v>517</v>
      </c>
      <c r="C1629" t="s">
        <v>516</v>
      </c>
      <c r="D1629">
        <v>4.3892298000000003E-2</v>
      </c>
      <c r="E1629" t="s">
        <v>443</v>
      </c>
      <c r="F1629" t="s">
        <v>518</v>
      </c>
      <c r="G1629" t="s">
        <v>519</v>
      </c>
    </row>
    <row r="1630" spans="1:7">
      <c r="A1630" t="s">
        <v>184</v>
      </c>
      <c r="B1630" t="s">
        <v>713</v>
      </c>
      <c r="C1630" t="s">
        <v>712</v>
      </c>
      <c r="D1630">
        <v>3.9605799999999997E-2</v>
      </c>
      <c r="E1630" t="s">
        <v>443</v>
      </c>
      <c r="F1630" t="s">
        <v>714</v>
      </c>
      <c r="G1630" t="s">
        <v>715</v>
      </c>
    </row>
    <row r="1631" spans="1:7">
      <c r="A1631" t="s">
        <v>185</v>
      </c>
      <c r="B1631" t="s">
        <v>442</v>
      </c>
      <c r="C1631" t="s">
        <v>441</v>
      </c>
      <c r="D1631">
        <v>0.13962631</v>
      </c>
      <c r="E1631" t="s">
        <v>443</v>
      </c>
      <c r="F1631" t="s">
        <v>444</v>
      </c>
      <c r="G1631" t="s">
        <v>445</v>
      </c>
    </row>
    <row r="1632" spans="1:7">
      <c r="A1632" t="s">
        <v>185</v>
      </c>
      <c r="B1632" t="s">
        <v>455</v>
      </c>
      <c r="C1632" t="s">
        <v>454</v>
      </c>
      <c r="D1632">
        <v>0.1206787</v>
      </c>
      <c r="E1632" t="s">
        <v>443</v>
      </c>
      <c r="F1632" t="s">
        <v>456</v>
      </c>
      <c r="G1632" t="s">
        <v>457</v>
      </c>
    </row>
    <row r="1633" spans="1:7">
      <c r="A1633" t="s">
        <v>185</v>
      </c>
      <c r="B1633" t="s">
        <v>689</v>
      </c>
      <c r="C1633" t="s">
        <v>688</v>
      </c>
      <c r="D1633">
        <v>8.1417106000000003E-2</v>
      </c>
      <c r="E1633" t="s">
        <v>623</v>
      </c>
      <c r="F1633" t="s">
        <v>690</v>
      </c>
      <c r="G1633" t="s">
        <v>691</v>
      </c>
    </row>
    <row r="1634" spans="1:7">
      <c r="A1634" t="s">
        <v>185</v>
      </c>
      <c r="B1634" t="s">
        <v>451</v>
      </c>
      <c r="C1634" t="s">
        <v>450</v>
      </c>
      <c r="D1634">
        <v>7.7490500000000004E-2</v>
      </c>
      <c r="E1634" t="s">
        <v>443</v>
      </c>
      <c r="F1634" t="s">
        <v>452</v>
      </c>
      <c r="G1634" t="s">
        <v>453</v>
      </c>
    </row>
    <row r="1635" spans="1:7">
      <c r="A1635" t="s">
        <v>185</v>
      </c>
      <c r="B1635" t="s">
        <v>679</v>
      </c>
      <c r="C1635" t="s">
        <v>678</v>
      </c>
      <c r="D1635">
        <v>7.6095700000000002E-2</v>
      </c>
      <c r="E1635" t="s">
        <v>443</v>
      </c>
      <c r="F1635" t="s">
        <v>680</v>
      </c>
      <c r="G1635" t="s">
        <v>681</v>
      </c>
    </row>
    <row r="1636" spans="1:7">
      <c r="A1636" t="s">
        <v>185</v>
      </c>
      <c r="B1636" t="s">
        <v>509</v>
      </c>
      <c r="C1636" t="s">
        <v>508</v>
      </c>
      <c r="D1636">
        <v>6.2740000000000004E-2</v>
      </c>
      <c r="E1636" t="s">
        <v>443</v>
      </c>
      <c r="F1636" t="s">
        <v>510</v>
      </c>
      <c r="G1636" t="s">
        <v>511</v>
      </c>
    </row>
    <row r="1637" spans="1:7">
      <c r="A1637" t="s">
        <v>185</v>
      </c>
      <c r="B1637" t="s">
        <v>496</v>
      </c>
      <c r="C1637" t="s">
        <v>495</v>
      </c>
      <c r="D1637">
        <v>5.7556099999999999E-2</v>
      </c>
      <c r="E1637" t="s">
        <v>443</v>
      </c>
      <c r="F1637" t="s">
        <v>497</v>
      </c>
      <c r="G1637" t="s">
        <v>498</v>
      </c>
    </row>
    <row r="1638" spans="1:7">
      <c r="A1638" t="s">
        <v>185</v>
      </c>
      <c r="B1638" t="s">
        <v>1408</v>
      </c>
      <c r="C1638" t="s">
        <v>1407</v>
      </c>
      <c r="D1638">
        <v>4.0861300000000003E-2</v>
      </c>
      <c r="E1638" t="s">
        <v>443</v>
      </c>
      <c r="F1638" t="s">
        <v>1409</v>
      </c>
      <c r="G1638" t="s">
        <v>1410</v>
      </c>
    </row>
    <row r="1639" spans="1:7">
      <c r="A1639" t="s">
        <v>185</v>
      </c>
      <c r="B1639" t="s">
        <v>1009</v>
      </c>
      <c r="C1639" t="s">
        <v>1008</v>
      </c>
      <c r="D1639">
        <v>4.0451497000000003E-2</v>
      </c>
      <c r="E1639" t="s">
        <v>443</v>
      </c>
      <c r="F1639" t="s">
        <v>1010</v>
      </c>
      <c r="G1639" t="s">
        <v>1011</v>
      </c>
    </row>
    <row r="1640" spans="1:7">
      <c r="A1640" t="s">
        <v>185</v>
      </c>
      <c r="B1640" t="s">
        <v>1353</v>
      </c>
      <c r="C1640" t="s">
        <v>1352</v>
      </c>
      <c r="D1640">
        <v>3.9184900000000002E-2</v>
      </c>
      <c r="E1640" t="s">
        <v>443</v>
      </c>
      <c r="F1640" t="s">
        <v>1354</v>
      </c>
      <c r="G1640" t="s">
        <v>1355</v>
      </c>
    </row>
    <row r="1641" spans="1:7">
      <c r="A1641" t="s">
        <v>187</v>
      </c>
      <c r="B1641" t="s">
        <v>1040</v>
      </c>
      <c r="C1641" t="s">
        <v>1039</v>
      </c>
      <c r="D1641">
        <v>9.4436199999999998E-2</v>
      </c>
      <c r="E1641" t="s">
        <v>489</v>
      </c>
      <c r="F1641" t="s">
        <v>490</v>
      </c>
      <c r="G1641" t="s">
        <v>490</v>
      </c>
    </row>
    <row r="1642" spans="1:7">
      <c r="A1642" t="s">
        <v>187</v>
      </c>
      <c r="B1642" t="s">
        <v>1353</v>
      </c>
      <c r="C1642" t="s">
        <v>1352</v>
      </c>
      <c r="D1642">
        <v>6.2507300000000002E-2</v>
      </c>
      <c r="E1642" t="s">
        <v>443</v>
      </c>
      <c r="F1642" t="s">
        <v>1354</v>
      </c>
      <c r="G1642" t="s">
        <v>1355</v>
      </c>
    </row>
    <row r="1643" spans="1:7">
      <c r="A1643" t="s">
        <v>187</v>
      </c>
      <c r="B1643" t="s">
        <v>1408</v>
      </c>
      <c r="C1643" t="s">
        <v>1407</v>
      </c>
      <c r="D1643">
        <v>4.8712600000000002E-2</v>
      </c>
      <c r="E1643" t="s">
        <v>443</v>
      </c>
      <c r="F1643" t="s">
        <v>1409</v>
      </c>
      <c r="G1643" t="s">
        <v>1410</v>
      </c>
    </row>
    <row r="1644" spans="1:7">
      <c r="A1644" t="s">
        <v>187</v>
      </c>
      <c r="B1644" t="s">
        <v>1379</v>
      </c>
      <c r="C1644" t="s">
        <v>1378</v>
      </c>
      <c r="D1644">
        <v>4.7428098000000002E-2</v>
      </c>
      <c r="E1644" t="s">
        <v>443</v>
      </c>
      <c r="F1644" t="s">
        <v>1380</v>
      </c>
      <c r="G1644" t="s">
        <v>1381</v>
      </c>
    </row>
    <row r="1645" spans="1:7">
      <c r="A1645" t="s">
        <v>187</v>
      </c>
      <c r="B1645" t="s">
        <v>2148</v>
      </c>
      <c r="C1645" t="s">
        <v>2147</v>
      </c>
      <c r="D1645">
        <v>4.4280199999999999E-2</v>
      </c>
      <c r="E1645" t="s">
        <v>2149</v>
      </c>
      <c r="F1645" t="s">
        <v>2150</v>
      </c>
      <c r="G1645" t="s">
        <v>2151</v>
      </c>
    </row>
    <row r="1646" spans="1:7">
      <c r="A1646" t="s">
        <v>187</v>
      </c>
      <c r="B1646" t="s">
        <v>2233</v>
      </c>
      <c r="C1646" t="s">
        <v>2232</v>
      </c>
      <c r="D1646">
        <v>4.2536600000000001E-2</v>
      </c>
      <c r="E1646" t="s">
        <v>585</v>
      </c>
      <c r="F1646" t="s">
        <v>2234</v>
      </c>
      <c r="G1646" t="s">
        <v>2235</v>
      </c>
    </row>
    <row r="1647" spans="1:7">
      <c r="A1647" t="s">
        <v>187</v>
      </c>
      <c r="B1647" t="s">
        <v>2410</v>
      </c>
      <c r="C1647" t="s">
        <v>2409</v>
      </c>
      <c r="D1647">
        <v>3.8941999999999997E-2</v>
      </c>
      <c r="E1647" t="s">
        <v>505</v>
      </c>
      <c r="F1647" t="s">
        <v>2411</v>
      </c>
      <c r="G1647" t="s">
        <v>2412</v>
      </c>
    </row>
    <row r="1648" spans="1:7">
      <c r="A1648" t="s">
        <v>187</v>
      </c>
      <c r="B1648" t="s">
        <v>584</v>
      </c>
      <c r="C1648" t="s">
        <v>583</v>
      </c>
      <c r="D1648">
        <v>3.7361100000000001E-2</v>
      </c>
      <c r="E1648" t="s">
        <v>585</v>
      </c>
      <c r="F1648" t="s">
        <v>586</v>
      </c>
      <c r="G1648" t="s">
        <v>587</v>
      </c>
    </row>
    <row r="1649" spans="1:7">
      <c r="A1649" t="s">
        <v>187</v>
      </c>
      <c r="B1649" t="s">
        <v>2505</v>
      </c>
      <c r="C1649" t="s">
        <v>2504</v>
      </c>
      <c r="D1649">
        <v>3.6375400000000002E-2</v>
      </c>
      <c r="E1649" t="s">
        <v>489</v>
      </c>
      <c r="F1649" t="s">
        <v>490</v>
      </c>
      <c r="G1649" t="s">
        <v>490</v>
      </c>
    </row>
    <row r="1650" spans="1:7">
      <c r="A1650" t="s">
        <v>187</v>
      </c>
      <c r="B1650" t="s">
        <v>496</v>
      </c>
      <c r="C1650" t="s">
        <v>495</v>
      </c>
      <c r="D1650">
        <v>2.7762100000000001E-2</v>
      </c>
      <c r="E1650" t="s">
        <v>443</v>
      </c>
      <c r="F1650" t="s">
        <v>497</v>
      </c>
      <c r="G1650" t="s">
        <v>498</v>
      </c>
    </row>
    <row r="1651" spans="1:7">
      <c r="A1651" t="s">
        <v>188</v>
      </c>
      <c r="B1651" t="s">
        <v>447</v>
      </c>
      <c r="C1651" t="s">
        <v>446</v>
      </c>
      <c r="D1651">
        <v>0.11839481</v>
      </c>
      <c r="E1651" t="s">
        <v>443</v>
      </c>
      <c r="F1651" t="s">
        <v>448</v>
      </c>
      <c r="G1651" t="s">
        <v>449</v>
      </c>
    </row>
    <row r="1652" spans="1:7">
      <c r="A1652" t="s">
        <v>188</v>
      </c>
      <c r="B1652" t="s">
        <v>442</v>
      </c>
      <c r="C1652" t="s">
        <v>441</v>
      </c>
      <c r="D1652">
        <v>8.9914499999999994E-2</v>
      </c>
      <c r="E1652" t="s">
        <v>443</v>
      </c>
      <c r="F1652" t="s">
        <v>444</v>
      </c>
      <c r="G1652" t="s">
        <v>445</v>
      </c>
    </row>
    <row r="1653" spans="1:7">
      <c r="A1653" t="s">
        <v>188</v>
      </c>
      <c r="B1653" t="s">
        <v>455</v>
      </c>
      <c r="C1653" t="s">
        <v>454</v>
      </c>
      <c r="D1653">
        <v>8.7887199999999999E-2</v>
      </c>
      <c r="E1653" t="s">
        <v>443</v>
      </c>
      <c r="F1653" t="s">
        <v>456</v>
      </c>
      <c r="G1653" t="s">
        <v>457</v>
      </c>
    </row>
    <row r="1654" spans="1:7">
      <c r="A1654" t="s">
        <v>188</v>
      </c>
      <c r="B1654" t="s">
        <v>451</v>
      </c>
      <c r="C1654" t="s">
        <v>450</v>
      </c>
      <c r="D1654">
        <v>6.4855300000000005E-2</v>
      </c>
      <c r="E1654" t="s">
        <v>443</v>
      </c>
      <c r="F1654" t="s">
        <v>452</v>
      </c>
      <c r="G1654" t="s">
        <v>453</v>
      </c>
    </row>
    <row r="1655" spans="1:7">
      <c r="A1655" t="s">
        <v>188</v>
      </c>
      <c r="B1655" t="s">
        <v>471</v>
      </c>
      <c r="C1655" t="s">
        <v>470</v>
      </c>
      <c r="D1655">
        <v>6.3242000000000007E-2</v>
      </c>
      <c r="E1655" t="s">
        <v>443</v>
      </c>
      <c r="F1655" t="s">
        <v>472</v>
      </c>
      <c r="G1655" t="s">
        <v>473</v>
      </c>
    </row>
    <row r="1656" spans="1:7">
      <c r="A1656" t="s">
        <v>188</v>
      </c>
      <c r="B1656" t="s">
        <v>509</v>
      </c>
      <c r="C1656" t="s">
        <v>508</v>
      </c>
      <c r="D1656">
        <v>6.3128199999999995E-2</v>
      </c>
      <c r="E1656" t="s">
        <v>443</v>
      </c>
      <c r="F1656" t="s">
        <v>510</v>
      </c>
      <c r="G1656" t="s">
        <v>511</v>
      </c>
    </row>
    <row r="1657" spans="1:7">
      <c r="A1657" t="s">
        <v>188</v>
      </c>
      <c r="B1657" t="s">
        <v>496</v>
      </c>
      <c r="C1657" t="s">
        <v>495</v>
      </c>
      <c r="D1657">
        <v>4.4359102999999997E-2</v>
      </c>
      <c r="E1657" t="s">
        <v>443</v>
      </c>
      <c r="F1657" t="s">
        <v>497</v>
      </c>
      <c r="G1657" t="s">
        <v>498</v>
      </c>
    </row>
    <row r="1658" spans="1:7">
      <c r="A1658" t="s">
        <v>188</v>
      </c>
      <c r="B1658" t="s">
        <v>671</v>
      </c>
      <c r="C1658" t="s">
        <v>670</v>
      </c>
      <c r="D1658">
        <v>3.6226300000000003E-2</v>
      </c>
      <c r="E1658" t="s">
        <v>489</v>
      </c>
      <c r="F1658" t="s">
        <v>490</v>
      </c>
      <c r="G1658" t="s">
        <v>490</v>
      </c>
    </row>
    <row r="1659" spans="1:7">
      <c r="A1659" t="s">
        <v>188</v>
      </c>
      <c r="B1659" t="s">
        <v>517</v>
      </c>
      <c r="C1659" t="s">
        <v>516</v>
      </c>
      <c r="D1659">
        <v>3.4207500000000002E-2</v>
      </c>
      <c r="E1659" t="s">
        <v>443</v>
      </c>
      <c r="F1659" t="s">
        <v>518</v>
      </c>
      <c r="G1659" t="s">
        <v>519</v>
      </c>
    </row>
    <row r="1660" spans="1:7">
      <c r="A1660" t="s">
        <v>188</v>
      </c>
      <c r="B1660" t="s">
        <v>713</v>
      </c>
      <c r="C1660" t="s">
        <v>712</v>
      </c>
      <c r="D1660">
        <v>3.1611599999999997E-2</v>
      </c>
      <c r="E1660" t="s">
        <v>443</v>
      </c>
      <c r="F1660" t="s">
        <v>714</v>
      </c>
      <c r="G1660" t="s">
        <v>715</v>
      </c>
    </row>
    <row r="1661" spans="1:7">
      <c r="A1661" t="s">
        <v>189</v>
      </c>
      <c r="B1661" t="s">
        <v>447</v>
      </c>
      <c r="C1661" t="s">
        <v>446</v>
      </c>
      <c r="D1661">
        <v>0.1161924</v>
      </c>
      <c r="E1661" t="s">
        <v>443</v>
      </c>
      <c r="F1661" t="s">
        <v>448</v>
      </c>
      <c r="G1661" t="s">
        <v>449</v>
      </c>
    </row>
    <row r="1662" spans="1:7">
      <c r="A1662" t="s">
        <v>189</v>
      </c>
      <c r="B1662" t="s">
        <v>451</v>
      </c>
      <c r="C1662" t="s">
        <v>450</v>
      </c>
      <c r="D1662">
        <v>9.4859100000000002E-2</v>
      </c>
      <c r="E1662" t="s">
        <v>443</v>
      </c>
      <c r="F1662" t="s">
        <v>452</v>
      </c>
      <c r="G1662" t="s">
        <v>453</v>
      </c>
    </row>
    <row r="1663" spans="1:7">
      <c r="A1663" t="s">
        <v>189</v>
      </c>
      <c r="B1663" t="s">
        <v>455</v>
      </c>
      <c r="C1663" t="s">
        <v>454</v>
      </c>
      <c r="D1663">
        <v>6.9007403999999994E-2</v>
      </c>
      <c r="E1663" t="s">
        <v>443</v>
      </c>
      <c r="F1663" t="s">
        <v>456</v>
      </c>
      <c r="G1663" t="s">
        <v>457</v>
      </c>
    </row>
    <row r="1664" spans="1:7">
      <c r="A1664" t="s">
        <v>189</v>
      </c>
      <c r="B1664" t="s">
        <v>471</v>
      </c>
      <c r="C1664" t="s">
        <v>470</v>
      </c>
      <c r="D1664">
        <v>6.2036000000000001E-2</v>
      </c>
      <c r="E1664" t="s">
        <v>443</v>
      </c>
      <c r="F1664" t="s">
        <v>472</v>
      </c>
      <c r="G1664" t="s">
        <v>473</v>
      </c>
    </row>
    <row r="1665" spans="1:7">
      <c r="A1665" t="s">
        <v>189</v>
      </c>
      <c r="B1665" t="s">
        <v>509</v>
      </c>
      <c r="C1665" t="s">
        <v>508</v>
      </c>
      <c r="D1665">
        <v>6.1909899999999997E-2</v>
      </c>
      <c r="E1665" t="s">
        <v>443</v>
      </c>
      <c r="F1665" t="s">
        <v>510</v>
      </c>
      <c r="G1665" t="s">
        <v>511</v>
      </c>
    </row>
    <row r="1666" spans="1:7">
      <c r="A1666" t="s">
        <v>189</v>
      </c>
      <c r="B1666" t="s">
        <v>442</v>
      </c>
      <c r="C1666" t="s">
        <v>441</v>
      </c>
      <c r="D1666">
        <v>5.8800301999999999E-2</v>
      </c>
      <c r="E1666" t="s">
        <v>443</v>
      </c>
      <c r="F1666" t="s">
        <v>444</v>
      </c>
      <c r="G1666" t="s">
        <v>445</v>
      </c>
    </row>
    <row r="1667" spans="1:7">
      <c r="A1667" t="s">
        <v>189</v>
      </c>
      <c r="B1667" t="s">
        <v>772</v>
      </c>
      <c r="C1667" t="s">
        <v>771</v>
      </c>
      <c r="D1667">
        <v>4.4483599999999998E-2</v>
      </c>
      <c r="E1667" t="s">
        <v>443</v>
      </c>
      <c r="F1667" t="s">
        <v>773</v>
      </c>
      <c r="G1667" t="s">
        <v>774</v>
      </c>
    </row>
    <row r="1668" spans="1:7">
      <c r="A1668" t="s">
        <v>189</v>
      </c>
      <c r="B1668" t="s">
        <v>496</v>
      </c>
      <c r="C1668" t="s">
        <v>495</v>
      </c>
      <c r="D1668">
        <v>4.3508499999999999E-2</v>
      </c>
      <c r="E1668" t="s">
        <v>443</v>
      </c>
      <c r="F1668" t="s">
        <v>497</v>
      </c>
      <c r="G1668" t="s">
        <v>498</v>
      </c>
    </row>
    <row r="1669" spans="1:7">
      <c r="A1669" t="s">
        <v>189</v>
      </c>
      <c r="B1669" t="s">
        <v>671</v>
      </c>
      <c r="C1669" t="s">
        <v>670</v>
      </c>
      <c r="D1669">
        <v>3.5556699999999997E-2</v>
      </c>
      <c r="E1669" t="s">
        <v>489</v>
      </c>
      <c r="F1669" t="s">
        <v>490</v>
      </c>
      <c r="G1669" t="s">
        <v>490</v>
      </c>
    </row>
    <row r="1670" spans="1:7">
      <c r="A1670" t="s">
        <v>189</v>
      </c>
      <c r="B1670" t="s">
        <v>1200</v>
      </c>
      <c r="C1670" t="s">
        <v>1199</v>
      </c>
      <c r="D1670">
        <v>3.4926199999999998E-2</v>
      </c>
      <c r="E1670" t="s">
        <v>618</v>
      </c>
      <c r="F1670" t="s">
        <v>1201</v>
      </c>
      <c r="G1670" t="s">
        <v>1202</v>
      </c>
    </row>
    <row r="1671" spans="1:7">
      <c r="A1671" t="s">
        <v>190</v>
      </c>
      <c r="B1671" t="s">
        <v>500</v>
      </c>
      <c r="C1671" t="s">
        <v>499</v>
      </c>
      <c r="D1671">
        <v>6.14894E-2</v>
      </c>
      <c r="E1671" t="s">
        <v>443</v>
      </c>
      <c r="F1671" t="s">
        <v>501</v>
      </c>
      <c r="G1671" t="s">
        <v>502</v>
      </c>
    </row>
    <row r="1672" spans="1:7">
      <c r="A1672" t="s">
        <v>190</v>
      </c>
      <c r="B1672" t="s">
        <v>553</v>
      </c>
      <c r="C1672" t="s">
        <v>552</v>
      </c>
      <c r="D1672">
        <v>6.0628099999999997E-2</v>
      </c>
      <c r="E1672" t="s">
        <v>443</v>
      </c>
      <c r="F1672" t="s">
        <v>554</v>
      </c>
      <c r="G1672" t="s">
        <v>555</v>
      </c>
    </row>
    <row r="1673" spans="1:7">
      <c r="A1673" t="s">
        <v>190</v>
      </c>
      <c r="B1673" t="s">
        <v>567</v>
      </c>
      <c r="C1673" t="s">
        <v>566</v>
      </c>
      <c r="D1673">
        <v>5.6988799999999999E-2</v>
      </c>
      <c r="E1673" t="s">
        <v>443</v>
      </c>
      <c r="F1673" t="s">
        <v>568</v>
      </c>
      <c r="G1673" t="s">
        <v>569</v>
      </c>
    </row>
    <row r="1674" spans="1:7">
      <c r="A1674" t="s">
        <v>190</v>
      </c>
      <c r="B1674" t="s">
        <v>655</v>
      </c>
      <c r="C1674" t="s">
        <v>654</v>
      </c>
      <c r="D1674">
        <v>5.6737999999999997E-2</v>
      </c>
      <c r="E1674" t="s">
        <v>505</v>
      </c>
      <c r="F1674" t="s">
        <v>656</v>
      </c>
      <c r="G1674" t="s">
        <v>657</v>
      </c>
    </row>
    <row r="1675" spans="1:7">
      <c r="A1675" t="s">
        <v>190</v>
      </c>
      <c r="B1675" t="s">
        <v>617</v>
      </c>
      <c r="C1675" t="s">
        <v>616</v>
      </c>
      <c r="D1675">
        <v>5.6502297999999999E-2</v>
      </c>
      <c r="E1675" t="s">
        <v>618</v>
      </c>
      <c r="F1675" t="s">
        <v>619</v>
      </c>
      <c r="G1675" t="s">
        <v>620</v>
      </c>
    </row>
    <row r="1676" spans="1:7">
      <c r="A1676" t="s">
        <v>190</v>
      </c>
      <c r="B1676" t="s">
        <v>479</v>
      </c>
      <c r="C1676" t="s">
        <v>478</v>
      </c>
      <c r="D1676">
        <v>5.6231096000000001E-2</v>
      </c>
      <c r="E1676" t="s">
        <v>443</v>
      </c>
      <c r="F1676" t="s">
        <v>480</v>
      </c>
      <c r="G1676" t="s">
        <v>481</v>
      </c>
    </row>
    <row r="1677" spans="1:7">
      <c r="A1677" t="s">
        <v>190</v>
      </c>
      <c r="B1677" t="s">
        <v>659</v>
      </c>
      <c r="C1677" t="s">
        <v>658</v>
      </c>
      <c r="D1677">
        <v>4.5480800000000002E-2</v>
      </c>
      <c r="E1677" t="s">
        <v>443</v>
      </c>
      <c r="F1677" t="s">
        <v>660</v>
      </c>
      <c r="G1677" t="s">
        <v>661</v>
      </c>
    </row>
    <row r="1678" spans="1:7">
      <c r="A1678" t="s">
        <v>190</v>
      </c>
      <c r="B1678" t="s">
        <v>705</v>
      </c>
      <c r="C1678" t="s">
        <v>704</v>
      </c>
      <c r="D1678">
        <v>4.3326996E-2</v>
      </c>
      <c r="E1678" t="s">
        <v>443</v>
      </c>
      <c r="F1678" t="s">
        <v>706</v>
      </c>
      <c r="G1678" t="s">
        <v>707</v>
      </c>
    </row>
    <row r="1679" spans="1:7">
      <c r="A1679" t="s">
        <v>190</v>
      </c>
      <c r="B1679" t="s">
        <v>782</v>
      </c>
      <c r="C1679" t="s">
        <v>781</v>
      </c>
      <c r="D1679">
        <v>4.1184301999999999E-2</v>
      </c>
      <c r="E1679" t="s">
        <v>783</v>
      </c>
      <c r="F1679" t="s">
        <v>784</v>
      </c>
      <c r="G1679" t="s">
        <v>785</v>
      </c>
    </row>
    <row r="1680" spans="1:7">
      <c r="A1680" t="s">
        <v>190</v>
      </c>
      <c r="B1680" t="s">
        <v>1349</v>
      </c>
      <c r="C1680" t="s">
        <v>1348</v>
      </c>
      <c r="D1680">
        <v>4.1151899999999998E-2</v>
      </c>
      <c r="E1680" t="s">
        <v>590</v>
      </c>
      <c r="F1680" t="s">
        <v>1350</v>
      </c>
      <c r="G1680" t="s">
        <v>1351</v>
      </c>
    </row>
    <row r="1681" spans="1:7">
      <c r="A1681" t="s">
        <v>191</v>
      </c>
      <c r="B1681" t="s">
        <v>442</v>
      </c>
      <c r="C1681" t="s">
        <v>441</v>
      </c>
      <c r="D1681">
        <v>8.1208094999999994E-2</v>
      </c>
      <c r="E1681" t="s">
        <v>443</v>
      </c>
      <c r="F1681" t="s">
        <v>444</v>
      </c>
      <c r="G1681" t="s">
        <v>445</v>
      </c>
    </row>
    <row r="1682" spans="1:7">
      <c r="A1682" t="s">
        <v>191</v>
      </c>
      <c r="B1682" t="s">
        <v>475</v>
      </c>
      <c r="C1682" t="s">
        <v>474</v>
      </c>
      <c r="D1682">
        <v>7.2516399999999995E-2</v>
      </c>
      <c r="E1682" t="s">
        <v>443</v>
      </c>
      <c r="F1682" t="s">
        <v>476</v>
      </c>
      <c r="G1682" t="s">
        <v>477</v>
      </c>
    </row>
    <row r="1683" spans="1:7">
      <c r="A1683" t="s">
        <v>191</v>
      </c>
      <c r="B1683" t="s">
        <v>467</v>
      </c>
      <c r="C1683" t="s">
        <v>466</v>
      </c>
      <c r="D1683">
        <v>5.2922502000000003E-2</v>
      </c>
      <c r="E1683" t="s">
        <v>443</v>
      </c>
      <c r="F1683" t="s">
        <v>468</v>
      </c>
      <c r="G1683" t="s">
        <v>469</v>
      </c>
    </row>
    <row r="1684" spans="1:7">
      <c r="A1684" t="s">
        <v>191</v>
      </c>
      <c r="B1684" t="s">
        <v>459</v>
      </c>
      <c r="C1684" t="s">
        <v>458</v>
      </c>
      <c r="D1684">
        <v>4.1851300000000001E-2</v>
      </c>
      <c r="E1684" t="s">
        <v>443</v>
      </c>
      <c r="F1684" t="s">
        <v>460</v>
      </c>
      <c r="G1684" t="s">
        <v>461</v>
      </c>
    </row>
    <row r="1685" spans="1:7">
      <c r="A1685" t="s">
        <v>191</v>
      </c>
      <c r="B1685" t="s">
        <v>463</v>
      </c>
      <c r="C1685" t="s">
        <v>462</v>
      </c>
      <c r="D1685">
        <v>3.5055898000000002E-2</v>
      </c>
      <c r="E1685" t="s">
        <v>443</v>
      </c>
      <c r="F1685" t="s">
        <v>464</v>
      </c>
      <c r="G1685" t="s">
        <v>465</v>
      </c>
    </row>
    <row r="1686" spans="1:7">
      <c r="A1686" t="s">
        <v>191</v>
      </c>
      <c r="B1686" t="s">
        <v>455</v>
      </c>
      <c r="C1686" t="s">
        <v>454</v>
      </c>
      <c r="D1686">
        <v>3.3535000000000002E-2</v>
      </c>
      <c r="E1686" t="s">
        <v>443</v>
      </c>
      <c r="F1686" t="s">
        <v>456</v>
      </c>
      <c r="G1686" t="s">
        <v>457</v>
      </c>
    </row>
    <row r="1687" spans="1:7">
      <c r="A1687" t="s">
        <v>191</v>
      </c>
      <c r="B1687" t="s">
        <v>541</v>
      </c>
      <c r="C1687" t="s">
        <v>540</v>
      </c>
      <c r="D1687">
        <v>2.7871699999999999E-2</v>
      </c>
      <c r="E1687" t="s">
        <v>443</v>
      </c>
      <c r="F1687" t="s">
        <v>542</v>
      </c>
      <c r="G1687" t="s">
        <v>543</v>
      </c>
    </row>
    <row r="1688" spans="1:7">
      <c r="A1688" t="s">
        <v>191</v>
      </c>
      <c r="B1688" t="s">
        <v>492</v>
      </c>
      <c r="C1688" t="s">
        <v>491</v>
      </c>
      <c r="D1688">
        <v>2.1900800000000002E-2</v>
      </c>
      <c r="E1688" t="s">
        <v>443</v>
      </c>
      <c r="F1688" t="s">
        <v>493</v>
      </c>
      <c r="G1688" t="s">
        <v>494</v>
      </c>
    </row>
    <row r="1689" spans="1:7">
      <c r="A1689" t="s">
        <v>191</v>
      </c>
      <c r="B1689" t="s">
        <v>529</v>
      </c>
      <c r="C1689" t="s">
        <v>528</v>
      </c>
      <c r="D1689">
        <v>1.94083E-2</v>
      </c>
      <c r="E1689" t="s">
        <v>489</v>
      </c>
      <c r="F1689" t="s">
        <v>490</v>
      </c>
      <c r="G1689" t="s">
        <v>490</v>
      </c>
    </row>
    <row r="1690" spans="1:7">
      <c r="A1690" t="s">
        <v>191</v>
      </c>
      <c r="B1690" t="s">
        <v>447</v>
      </c>
      <c r="C1690" t="s">
        <v>446</v>
      </c>
      <c r="D1690">
        <v>1.7315000000000001E-2</v>
      </c>
      <c r="E1690" t="s">
        <v>443</v>
      </c>
      <c r="F1690" t="s">
        <v>448</v>
      </c>
      <c r="G1690" t="s">
        <v>449</v>
      </c>
    </row>
    <row r="1691" spans="1:7">
      <c r="A1691" t="s">
        <v>192</v>
      </c>
      <c r="B1691" t="s">
        <v>721</v>
      </c>
      <c r="C1691" t="s">
        <v>720</v>
      </c>
      <c r="D1691">
        <v>0.15369940000000001</v>
      </c>
      <c r="E1691" t="s">
        <v>443</v>
      </c>
      <c r="F1691" t="s">
        <v>722</v>
      </c>
      <c r="G1691" t="s">
        <v>723</v>
      </c>
    </row>
    <row r="1692" spans="1:7">
      <c r="A1692" t="s">
        <v>192</v>
      </c>
      <c r="B1692" t="s">
        <v>733</v>
      </c>
      <c r="C1692" t="s">
        <v>732</v>
      </c>
      <c r="D1692">
        <v>0.14765439999999999</v>
      </c>
      <c r="E1692" t="s">
        <v>505</v>
      </c>
      <c r="F1692" t="s">
        <v>734</v>
      </c>
      <c r="G1692" t="s">
        <v>735</v>
      </c>
    </row>
    <row r="1693" spans="1:7">
      <c r="A1693" t="s">
        <v>192</v>
      </c>
      <c r="B1693" t="s">
        <v>729</v>
      </c>
      <c r="C1693" t="s">
        <v>728</v>
      </c>
      <c r="D1693">
        <v>0.14150660000000001</v>
      </c>
      <c r="E1693" t="s">
        <v>505</v>
      </c>
      <c r="F1693" t="s">
        <v>730</v>
      </c>
      <c r="G1693" t="s">
        <v>731</v>
      </c>
    </row>
    <row r="1694" spans="1:7">
      <c r="A1694" t="s">
        <v>192</v>
      </c>
      <c r="B1694" t="s">
        <v>1941</v>
      </c>
      <c r="C1694" t="s">
        <v>1940</v>
      </c>
      <c r="D1694">
        <v>5.02646E-2</v>
      </c>
      <c r="E1694" t="s">
        <v>505</v>
      </c>
      <c r="F1694" t="s">
        <v>1075</v>
      </c>
      <c r="G1694" t="s">
        <v>1942</v>
      </c>
    </row>
    <row r="1695" spans="1:7">
      <c r="A1695" t="s">
        <v>192</v>
      </c>
      <c r="B1695" t="s">
        <v>896</v>
      </c>
      <c r="C1695" t="s">
        <v>895</v>
      </c>
      <c r="D1695">
        <v>4.5245E-2</v>
      </c>
      <c r="E1695" t="s">
        <v>489</v>
      </c>
      <c r="F1695" t="s">
        <v>490</v>
      </c>
      <c r="G1695" t="s">
        <v>490</v>
      </c>
    </row>
    <row r="1696" spans="1:7">
      <c r="A1696" t="s">
        <v>192</v>
      </c>
      <c r="B1696" t="s">
        <v>958</v>
      </c>
      <c r="C1696" t="s">
        <v>957</v>
      </c>
      <c r="D1696">
        <v>4.3801498000000001E-2</v>
      </c>
      <c r="E1696" t="s">
        <v>505</v>
      </c>
      <c r="F1696" t="s">
        <v>959</v>
      </c>
      <c r="G1696" t="s">
        <v>960</v>
      </c>
    </row>
    <row r="1697" spans="1:7">
      <c r="A1697" t="s">
        <v>192</v>
      </c>
      <c r="B1697" t="s">
        <v>1519</v>
      </c>
      <c r="C1697" t="s">
        <v>1518</v>
      </c>
      <c r="D1697">
        <v>4.1870598000000002E-2</v>
      </c>
      <c r="E1697" t="s">
        <v>821</v>
      </c>
      <c r="F1697" t="s">
        <v>1520</v>
      </c>
      <c r="G1697" t="s">
        <v>1521</v>
      </c>
    </row>
    <row r="1698" spans="1:7">
      <c r="A1698" t="s">
        <v>192</v>
      </c>
      <c r="B1698" t="s">
        <v>782</v>
      </c>
      <c r="C1698" t="s">
        <v>781</v>
      </c>
      <c r="D1698">
        <v>3.0474000000000001E-2</v>
      </c>
      <c r="E1698" t="s">
        <v>783</v>
      </c>
      <c r="F1698" t="s">
        <v>784</v>
      </c>
      <c r="G1698" t="s">
        <v>785</v>
      </c>
    </row>
    <row r="1699" spans="1:7">
      <c r="A1699" t="s">
        <v>192</v>
      </c>
      <c r="B1699" t="s">
        <v>1534</v>
      </c>
      <c r="C1699" t="s">
        <v>1533</v>
      </c>
      <c r="D1699">
        <v>2.1652501000000001E-2</v>
      </c>
      <c r="E1699" t="s">
        <v>845</v>
      </c>
      <c r="F1699" t="s">
        <v>1535</v>
      </c>
      <c r="G1699" t="s">
        <v>1536</v>
      </c>
    </row>
    <row r="1700" spans="1:7">
      <c r="A1700" t="s">
        <v>192</v>
      </c>
      <c r="B1700" t="s">
        <v>604</v>
      </c>
      <c r="C1700" t="s">
        <v>603</v>
      </c>
      <c r="D1700">
        <v>1.7628700000000001E-2</v>
      </c>
      <c r="E1700" t="s">
        <v>443</v>
      </c>
      <c r="F1700" t="s">
        <v>605</v>
      </c>
      <c r="G1700" t="s">
        <v>606</v>
      </c>
    </row>
    <row r="1701" spans="1:7">
      <c r="A1701" t="s">
        <v>193</v>
      </c>
      <c r="B1701" t="s">
        <v>643</v>
      </c>
      <c r="C1701" t="s">
        <v>642</v>
      </c>
      <c r="D1701">
        <v>0.1173829</v>
      </c>
      <c r="E1701" t="s">
        <v>443</v>
      </c>
      <c r="F1701" t="s">
        <v>644</v>
      </c>
      <c r="G1701" t="s">
        <v>645</v>
      </c>
    </row>
    <row r="1702" spans="1:7">
      <c r="A1702" t="s">
        <v>193</v>
      </c>
      <c r="B1702" t="s">
        <v>741</v>
      </c>
      <c r="C1702" t="s">
        <v>740</v>
      </c>
      <c r="D1702">
        <v>9.8068100000000005E-2</v>
      </c>
      <c r="E1702" t="s">
        <v>443</v>
      </c>
      <c r="F1702" t="s">
        <v>742</v>
      </c>
      <c r="G1702" t="s">
        <v>743</v>
      </c>
    </row>
    <row r="1703" spans="1:7">
      <c r="A1703" t="s">
        <v>193</v>
      </c>
      <c r="B1703" t="s">
        <v>862</v>
      </c>
      <c r="C1703" t="s">
        <v>861</v>
      </c>
      <c r="D1703">
        <v>8.7496589999999999E-2</v>
      </c>
      <c r="E1703" t="s">
        <v>576</v>
      </c>
      <c r="F1703" t="s">
        <v>863</v>
      </c>
      <c r="G1703" t="s">
        <v>864</v>
      </c>
    </row>
    <row r="1704" spans="1:7">
      <c r="A1704" t="s">
        <v>193</v>
      </c>
      <c r="B1704" t="s">
        <v>962</v>
      </c>
      <c r="C1704" t="s">
        <v>961</v>
      </c>
      <c r="D1704">
        <v>7.5802594000000001E-2</v>
      </c>
      <c r="E1704" t="s">
        <v>963</v>
      </c>
      <c r="F1704" t="s">
        <v>964</v>
      </c>
      <c r="G1704" t="s">
        <v>965</v>
      </c>
    </row>
    <row r="1705" spans="1:7">
      <c r="A1705" t="s">
        <v>193</v>
      </c>
      <c r="B1705" t="s">
        <v>1169</v>
      </c>
      <c r="C1705" t="s">
        <v>1168</v>
      </c>
      <c r="D1705">
        <v>6.3137899999999997E-2</v>
      </c>
      <c r="E1705" t="s">
        <v>489</v>
      </c>
      <c r="F1705" t="s">
        <v>490</v>
      </c>
      <c r="G1705" t="s">
        <v>490</v>
      </c>
    </row>
    <row r="1706" spans="1:7">
      <c r="A1706" t="s">
        <v>193</v>
      </c>
      <c r="B1706" t="s">
        <v>1924</v>
      </c>
      <c r="C1706" t="s">
        <v>1923</v>
      </c>
      <c r="D1706">
        <v>5.08469E-2</v>
      </c>
      <c r="E1706" t="s">
        <v>963</v>
      </c>
      <c r="F1706" t="s">
        <v>1925</v>
      </c>
      <c r="G1706" t="s">
        <v>1926</v>
      </c>
    </row>
    <row r="1707" spans="1:7">
      <c r="A1707" t="s">
        <v>193</v>
      </c>
      <c r="B1707" t="s">
        <v>1989</v>
      </c>
      <c r="C1707" t="s">
        <v>1988</v>
      </c>
      <c r="D1707">
        <v>4.82659E-2</v>
      </c>
      <c r="E1707" t="s">
        <v>443</v>
      </c>
      <c r="F1707" t="s">
        <v>1990</v>
      </c>
      <c r="G1707" t="s">
        <v>1991</v>
      </c>
    </row>
    <row r="1708" spans="1:7">
      <c r="A1708" t="s">
        <v>193</v>
      </c>
      <c r="B1708" t="s">
        <v>1603</v>
      </c>
      <c r="C1708" t="s">
        <v>1602</v>
      </c>
      <c r="D1708">
        <v>4.2139000000000003E-2</v>
      </c>
      <c r="E1708" t="s">
        <v>963</v>
      </c>
      <c r="F1708" t="s">
        <v>1604</v>
      </c>
      <c r="G1708" t="s">
        <v>1605</v>
      </c>
    </row>
    <row r="1709" spans="1:7">
      <c r="A1709" t="s">
        <v>193</v>
      </c>
      <c r="B1709" t="s">
        <v>2584</v>
      </c>
      <c r="C1709" t="s">
        <v>2583</v>
      </c>
      <c r="D1709">
        <v>3.4605400000000001E-2</v>
      </c>
      <c r="E1709" t="s">
        <v>505</v>
      </c>
      <c r="F1709" t="s">
        <v>2585</v>
      </c>
      <c r="G1709" t="s">
        <v>2586</v>
      </c>
    </row>
    <row r="1710" spans="1:7">
      <c r="A1710" t="s">
        <v>193</v>
      </c>
      <c r="B1710" t="s">
        <v>1208</v>
      </c>
      <c r="C1710" t="s">
        <v>1207</v>
      </c>
      <c r="D1710">
        <v>3.3835200000000003E-2</v>
      </c>
      <c r="E1710" t="s">
        <v>489</v>
      </c>
      <c r="F1710" t="s">
        <v>490</v>
      </c>
      <c r="G1710" t="s">
        <v>490</v>
      </c>
    </row>
    <row r="1711" spans="1:7">
      <c r="A1711" t="s">
        <v>194</v>
      </c>
      <c r="B1711" t="s">
        <v>768</v>
      </c>
      <c r="C1711" t="s">
        <v>767</v>
      </c>
      <c r="D1711">
        <v>8.9059399999999997E-2</v>
      </c>
      <c r="E1711" t="s">
        <v>505</v>
      </c>
      <c r="F1711" t="s">
        <v>769</v>
      </c>
      <c r="G1711" t="s">
        <v>770</v>
      </c>
    </row>
    <row r="1712" spans="1:7">
      <c r="A1712" t="s">
        <v>194</v>
      </c>
      <c r="B1712" t="s">
        <v>447</v>
      </c>
      <c r="C1712" t="s">
        <v>446</v>
      </c>
      <c r="D1712">
        <v>7.6080999999999996E-2</v>
      </c>
      <c r="E1712" t="s">
        <v>443</v>
      </c>
      <c r="F1712" t="s">
        <v>448</v>
      </c>
      <c r="G1712" t="s">
        <v>449</v>
      </c>
    </row>
    <row r="1713" spans="1:7">
      <c r="A1713" t="s">
        <v>194</v>
      </c>
      <c r="B1713" t="s">
        <v>673</v>
      </c>
      <c r="C1713" t="s">
        <v>672</v>
      </c>
      <c r="D1713">
        <v>5.7522996999999999E-2</v>
      </c>
      <c r="E1713" t="s">
        <v>489</v>
      </c>
      <c r="F1713" t="s">
        <v>490</v>
      </c>
      <c r="G1713" t="s">
        <v>490</v>
      </c>
    </row>
    <row r="1714" spans="1:7">
      <c r="A1714" t="s">
        <v>194</v>
      </c>
      <c r="B1714" t="s">
        <v>913</v>
      </c>
      <c r="C1714" t="s">
        <v>912</v>
      </c>
      <c r="D1714">
        <v>5.1227997999999997E-2</v>
      </c>
      <c r="E1714" t="s">
        <v>489</v>
      </c>
      <c r="F1714" t="s">
        <v>490</v>
      </c>
      <c r="G1714" t="s">
        <v>490</v>
      </c>
    </row>
    <row r="1715" spans="1:7">
      <c r="A1715" t="s">
        <v>194</v>
      </c>
      <c r="B1715" t="s">
        <v>802</v>
      </c>
      <c r="C1715" t="s">
        <v>801</v>
      </c>
      <c r="D1715">
        <v>5.0836199999999998E-2</v>
      </c>
      <c r="E1715" t="s">
        <v>505</v>
      </c>
      <c r="F1715" t="s">
        <v>803</v>
      </c>
      <c r="G1715" t="s">
        <v>804</v>
      </c>
    </row>
    <row r="1716" spans="1:7">
      <c r="A1716" t="s">
        <v>194</v>
      </c>
      <c r="B1716" t="s">
        <v>557</v>
      </c>
      <c r="C1716" t="s">
        <v>556</v>
      </c>
      <c r="D1716">
        <v>4.4611704000000002E-2</v>
      </c>
      <c r="E1716" t="s">
        <v>489</v>
      </c>
      <c r="F1716" t="s">
        <v>490</v>
      </c>
      <c r="G1716" t="s">
        <v>490</v>
      </c>
    </row>
    <row r="1717" spans="1:7">
      <c r="A1717" t="s">
        <v>194</v>
      </c>
      <c r="B1717" t="s">
        <v>699</v>
      </c>
      <c r="C1717" t="s">
        <v>698</v>
      </c>
      <c r="D1717">
        <v>3.5681499999999998E-2</v>
      </c>
      <c r="E1717" t="s">
        <v>505</v>
      </c>
      <c r="F1717" t="s">
        <v>700</v>
      </c>
      <c r="G1717" t="s">
        <v>701</v>
      </c>
    </row>
    <row r="1718" spans="1:7">
      <c r="A1718" t="s">
        <v>194</v>
      </c>
      <c r="B1718" t="s">
        <v>898</v>
      </c>
      <c r="C1718" t="s">
        <v>897</v>
      </c>
      <c r="D1718">
        <v>3.4573E-2</v>
      </c>
      <c r="E1718" t="s">
        <v>489</v>
      </c>
      <c r="F1718" t="s">
        <v>490</v>
      </c>
      <c r="G1718" t="s">
        <v>490</v>
      </c>
    </row>
    <row r="1719" spans="1:7">
      <c r="A1719" t="s">
        <v>194</v>
      </c>
      <c r="B1719" t="s">
        <v>941</v>
      </c>
      <c r="C1719" t="s">
        <v>940</v>
      </c>
      <c r="D1719">
        <v>3.28139E-2</v>
      </c>
      <c r="E1719" t="s">
        <v>443</v>
      </c>
      <c r="F1719" t="s">
        <v>942</v>
      </c>
      <c r="G1719" t="s">
        <v>943</v>
      </c>
    </row>
    <row r="1720" spans="1:7">
      <c r="A1720" t="s">
        <v>194</v>
      </c>
      <c r="B1720" t="s">
        <v>1228</v>
      </c>
      <c r="C1720" t="s">
        <v>1227</v>
      </c>
      <c r="D1720">
        <v>3.1691402E-2</v>
      </c>
      <c r="E1720" t="s">
        <v>1229</v>
      </c>
      <c r="F1720" t="s">
        <v>1230</v>
      </c>
      <c r="G1720" t="s">
        <v>1231</v>
      </c>
    </row>
    <row r="1721" spans="1:7">
      <c r="A1721" t="s">
        <v>195</v>
      </c>
      <c r="B1721" t="s">
        <v>463</v>
      </c>
      <c r="C1721" t="s">
        <v>462</v>
      </c>
      <c r="D1721">
        <v>5.6383000000000003E-2</v>
      </c>
      <c r="E1721" t="s">
        <v>443</v>
      </c>
      <c r="F1721" t="s">
        <v>464</v>
      </c>
      <c r="G1721" t="s">
        <v>465</v>
      </c>
    </row>
    <row r="1722" spans="1:7">
      <c r="A1722" t="s">
        <v>195</v>
      </c>
      <c r="B1722" t="s">
        <v>442</v>
      </c>
      <c r="C1722" t="s">
        <v>441</v>
      </c>
      <c r="D1722">
        <v>5.2569999999999999E-2</v>
      </c>
      <c r="E1722" t="s">
        <v>443</v>
      </c>
      <c r="F1722" t="s">
        <v>444</v>
      </c>
      <c r="G1722" t="s">
        <v>445</v>
      </c>
    </row>
    <row r="1723" spans="1:7">
      <c r="A1723" t="s">
        <v>195</v>
      </c>
      <c r="B1723" t="s">
        <v>483</v>
      </c>
      <c r="C1723" t="s">
        <v>482</v>
      </c>
      <c r="D1723">
        <v>5.2243100000000001E-2</v>
      </c>
      <c r="E1723" t="s">
        <v>484</v>
      </c>
      <c r="F1723" t="s">
        <v>485</v>
      </c>
      <c r="G1723" t="s">
        <v>486</v>
      </c>
    </row>
    <row r="1724" spans="1:7">
      <c r="A1724" t="s">
        <v>195</v>
      </c>
      <c r="B1724" t="s">
        <v>459</v>
      </c>
      <c r="C1724" t="s">
        <v>458</v>
      </c>
      <c r="D1724">
        <v>4.2515802999999998E-2</v>
      </c>
      <c r="E1724" t="s">
        <v>443</v>
      </c>
      <c r="F1724" t="s">
        <v>460</v>
      </c>
      <c r="G1724" t="s">
        <v>461</v>
      </c>
    </row>
    <row r="1725" spans="1:7">
      <c r="A1725" t="s">
        <v>195</v>
      </c>
      <c r="B1725" t="s">
        <v>455</v>
      </c>
      <c r="C1725" t="s">
        <v>454</v>
      </c>
      <c r="D1725">
        <v>4.0351699999999997E-2</v>
      </c>
      <c r="E1725" t="s">
        <v>443</v>
      </c>
      <c r="F1725" t="s">
        <v>456</v>
      </c>
      <c r="G1725" t="s">
        <v>457</v>
      </c>
    </row>
    <row r="1726" spans="1:7">
      <c r="A1726" t="s">
        <v>195</v>
      </c>
      <c r="B1726" t="s">
        <v>488</v>
      </c>
      <c r="C1726" t="s">
        <v>487</v>
      </c>
      <c r="D1726">
        <v>3.5404199999999997E-2</v>
      </c>
      <c r="E1726" t="s">
        <v>489</v>
      </c>
      <c r="F1726" t="s">
        <v>490</v>
      </c>
      <c r="G1726" t="s">
        <v>490</v>
      </c>
    </row>
    <row r="1727" spans="1:7">
      <c r="A1727" t="s">
        <v>195</v>
      </c>
      <c r="B1727" t="s">
        <v>451</v>
      </c>
      <c r="C1727" t="s">
        <v>450</v>
      </c>
      <c r="D1727">
        <v>3.31008E-2</v>
      </c>
      <c r="E1727" t="s">
        <v>443</v>
      </c>
      <c r="F1727" t="s">
        <v>452</v>
      </c>
      <c r="G1727" t="s">
        <v>453</v>
      </c>
    </row>
    <row r="1728" spans="1:7">
      <c r="A1728" t="s">
        <v>195</v>
      </c>
      <c r="B1728" t="s">
        <v>535</v>
      </c>
      <c r="C1728" t="s">
        <v>534</v>
      </c>
      <c r="D1728">
        <v>3.0353000000000002E-2</v>
      </c>
      <c r="E1728" t="s">
        <v>443</v>
      </c>
      <c r="F1728" t="s">
        <v>536</v>
      </c>
      <c r="G1728" t="s">
        <v>537</v>
      </c>
    </row>
    <row r="1729" spans="1:7">
      <c r="A1729" t="s">
        <v>195</v>
      </c>
      <c r="B1729" t="s">
        <v>467</v>
      </c>
      <c r="C1729" t="s">
        <v>466</v>
      </c>
      <c r="D1729">
        <v>2.8545999999999998E-2</v>
      </c>
      <c r="E1729" t="s">
        <v>443</v>
      </c>
      <c r="F1729" t="s">
        <v>468</v>
      </c>
      <c r="G1729" t="s">
        <v>469</v>
      </c>
    </row>
    <row r="1730" spans="1:7">
      <c r="A1730" t="s">
        <v>196</v>
      </c>
      <c r="B1730" t="s">
        <v>451</v>
      </c>
      <c r="C1730" t="s">
        <v>450</v>
      </c>
      <c r="D1730">
        <v>4.0002897000000003E-2</v>
      </c>
      <c r="E1730" t="s">
        <v>443</v>
      </c>
      <c r="F1730" t="s">
        <v>452</v>
      </c>
      <c r="G1730" t="s">
        <v>453</v>
      </c>
    </row>
    <row r="1731" spans="1:7">
      <c r="A1731" t="s">
        <v>196</v>
      </c>
      <c r="B1731" t="s">
        <v>617</v>
      </c>
      <c r="C1731" t="s">
        <v>616</v>
      </c>
      <c r="D1731">
        <v>3.9001899999999999E-2</v>
      </c>
      <c r="E1731" t="s">
        <v>618</v>
      </c>
      <c r="F1731" t="s">
        <v>619</v>
      </c>
      <c r="G1731" t="s">
        <v>620</v>
      </c>
    </row>
    <row r="1732" spans="1:7">
      <c r="A1732" t="s">
        <v>196</v>
      </c>
      <c r="B1732" t="s">
        <v>679</v>
      </c>
      <c r="C1732" t="s">
        <v>678</v>
      </c>
      <c r="D1732">
        <v>3.7823700000000002E-2</v>
      </c>
      <c r="E1732" t="s">
        <v>443</v>
      </c>
      <c r="F1732" t="s">
        <v>680</v>
      </c>
      <c r="G1732" t="s">
        <v>681</v>
      </c>
    </row>
    <row r="1733" spans="1:7">
      <c r="A1733" t="s">
        <v>196</v>
      </c>
      <c r="B1733" t="s">
        <v>584</v>
      </c>
      <c r="C1733" t="s">
        <v>583</v>
      </c>
      <c r="D1733">
        <v>3.3684899999999997E-2</v>
      </c>
      <c r="E1733" t="s">
        <v>585</v>
      </c>
      <c r="F1733" t="s">
        <v>586</v>
      </c>
      <c r="G1733" t="s">
        <v>587</v>
      </c>
    </row>
    <row r="1734" spans="1:7">
      <c r="A1734" t="s">
        <v>196</v>
      </c>
      <c r="B1734" t="s">
        <v>535</v>
      </c>
      <c r="C1734" t="s">
        <v>534</v>
      </c>
      <c r="D1734">
        <v>2.99735E-2</v>
      </c>
      <c r="E1734" t="s">
        <v>443</v>
      </c>
      <c r="F1734" t="s">
        <v>536</v>
      </c>
      <c r="G1734" t="s">
        <v>537</v>
      </c>
    </row>
    <row r="1735" spans="1:7">
      <c r="A1735" t="s">
        <v>196</v>
      </c>
      <c r="B1735" t="s">
        <v>825</v>
      </c>
      <c r="C1735" t="s">
        <v>824</v>
      </c>
      <c r="D1735">
        <v>2.9936399999999998E-2</v>
      </c>
      <c r="E1735" t="s">
        <v>826</v>
      </c>
      <c r="F1735" t="s">
        <v>827</v>
      </c>
      <c r="G1735" t="s">
        <v>828</v>
      </c>
    </row>
    <row r="1736" spans="1:7">
      <c r="A1736" t="s">
        <v>196</v>
      </c>
      <c r="B1736" t="s">
        <v>908</v>
      </c>
      <c r="C1736" t="s">
        <v>907</v>
      </c>
      <c r="D1736">
        <v>2.8260800999999999E-2</v>
      </c>
      <c r="E1736" t="s">
        <v>909</v>
      </c>
      <c r="F1736" t="s">
        <v>910</v>
      </c>
      <c r="G1736" t="s">
        <v>911</v>
      </c>
    </row>
    <row r="1737" spans="1:7">
      <c r="A1737" t="s">
        <v>196</v>
      </c>
      <c r="B1737" t="s">
        <v>1204</v>
      </c>
      <c r="C1737" t="s">
        <v>1203</v>
      </c>
      <c r="D1737">
        <v>2.7823899999999999E-2</v>
      </c>
      <c r="E1737" t="s">
        <v>505</v>
      </c>
      <c r="F1737" t="s">
        <v>1205</v>
      </c>
      <c r="G1737" t="s">
        <v>1206</v>
      </c>
    </row>
    <row r="1738" spans="1:7">
      <c r="A1738" t="s">
        <v>196</v>
      </c>
      <c r="B1738" t="s">
        <v>2865</v>
      </c>
      <c r="C1738" t="s">
        <v>2864</v>
      </c>
      <c r="D1738">
        <v>2.5740198999999998E-2</v>
      </c>
      <c r="E1738" t="s">
        <v>585</v>
      </c>
      <c r="F1738" t="s">
        <v>2866</v>
      </c>
      <c r="G1738" t="s">
        <v>2867</v>
      </c>
    </row>
    <row r="1739" spans="1:7">
      <c r="A1739" t="s">
        <v>196</v>
      </c>
      <c r="B1739" t="s">
        <v>479</v>
      </c>
      <c r="C1739" t="s">
        <v>478</v>
      </c>
      <c r="D1739">
        <v>2.5186199999999999E-2</v>
      </c>
      <c r="E1739" t="s">
        <v>443</v>
      </c>
      <c r="F1739" t="s">
        <v>480</v>
      </c>
      <c r="G1739" t="s">
        <v>481</v>
      </c>
    </row>
    <row r="1740" spans="1:7">
      <c r="A1740" t="s">
        <v>197</v>
      </c>
      <c r="B1740" t="s">
        <v>1017</v>
      </c>
      <c r="C1740" t="s">
        <v>1016</v>
      </c>
      <c r="D1740">
        <v>8.1087599999999996E-2</v>
      </c>
      <c r="E1740" t="s">
        <v>505</v>
      </c>
      <c r="F1740" t="s">
        <v>1018</v>
      </c>
      <c r="G1740" t="s">
        <v>1019</v>
      </c>
    </row>
    <row r="1741" spans="1:7">
      <c r="A1741" t="s">
        <v>197</v>
      </c>
      <c r="B1741" t="s">
        <v>589</v>
      </c>
      <c r="C1741" t="s">
        <v>588</v>
      </c>
      <c r="D1741">
        <v>7.4414805000000001E-2</v>
      </c>
      <c r="E1741" t="s">
        <v>590</v>
      </c>
      <c r="F1741" t="s">
        <v>591</v>
      </c>
      <c r="G1741" t="s">
        <v>592</v>
      </c>
    </row>
    <row r="1742" spans="1:7">
      <c r="A1742" t="s">
        <v>197</v>
      </c>
      <c r="B1742" t="s">
        <v>1320</v>
      </c>
      <c r="C1742" t="s">
        <v>1319</v>
      </c>
      <c r="D1742">
        <v>6.9002599999999997E-2</v>
      </c>
      <c r="E1742" t="s">
        <v>484</v>
      </c>
      <c r="F1742" t="s">
        <v>1321</v>
      </c>
      <c r="G1742" t="s">
        <v>1322</v>
      </c>
    </row>
    <row r="1743" spans="1:7">
      <c r="A1743" t="s">
        <v>197</v>
      </c>
      <c r="B1743" t="s">
        <v>1025</v>
      </c>
      <c r="C1743" t="s">
        <v>1024</v>
      </c>
      <c r="D1743">
        <v>6.8633899999999998E-2</v>
      </c>
      <c r="E1743" t="s">
        <v>489</v>
      </c>
      <c r="F1743" t="s">
        <v>490</v>
      </c>
      <c r="G1743" t="s">
        <v>490</v>
      </c>
    </row>
    <row r="1744" spans="1:7">
      <c r="A1744" t="s">
        <v>197</v>
      </c>
      <c r="B1744" t="s">
        <v>1287</v>
      </c>
      <c r="C1744" t="s">
        <v>1286</v>
      </c>
      <c r="D1744">
        <v>6.6253000000000006E-2</v>
      </c>
      <c r="E1744" t="s">
        <v>505</v>
      </c>
      <c r="F1744" t="s">
        <v>1288</v>
      </c>
      <c r="G1744" t="s">
        <v>1289</v>
      </c>
    </row>
    <row r="1745" spans="1:7">
      <c r="A1745" t="s">
        <v>197</v>
      </c>
      <c r="B1745" t="s">
        <v>1806</v>
      </c>
      <c r="C1745" t="s">
        <v>1805</v>
      </c>
      <c r="D1745">
        <v>6.1863596999999999E-2</v>
      </c>
      <c r="E1745" t="s">
        <v>505</v>
      </c>
      <c r="F1745" t="s">
        <v>1807</v>
      </c>
      <c r="G1745" t="s">
        <v>1808</v>
      </c>
    </row>
    <row r="1746" spans="1:7">
      <c r="A1746" t="s">
        <v>197</v>
      </c>
      <c r="B1746" t="s">
        <v>1936</v>
      </c>
      <c r="C1746" t="s">
        <v>1935</v>
      </c>
      <c r="D1746">
        <v>5.0303303000000001E-2</v>
      </c>
      <c r="E1746" t="s">
        <v>1937</v>
      </c>
      <c r="F1746" t="s">
        <v>1938</v>
      </c>
      <c r="G1746" t="s">
        <v>1939</v>
      </c>
    </row>
    <row r="1747" spans="1:7">
      <c r="A1747" t="s">
        <v>197</v>
      </c>
      <c r="B1747" t="s">
        <v>776</v>
      </c>
      <c r="C1747" t="s">
        <v>775</v>
      </c>
      <c r="D1747">
        <v>4.9457002E-2</v>
      </c>
      <c r="E1747" t="s">
        <v>489</v>
      </c>
      <c r="F1747" t="s">
        <v>490</v>
      </c>
      <c r="G1747" t="s">
        <v>490</v>
      </c>
    </row>
    <row r="1748" spans="1:7">
      <c r="A1748" t="s">
        <v>197</v>
      </c>
      <c r="B1748" t="s">
        <v>1050</v>
      </c>
      <c r="C1748" t="s">
        <v>1049</v>
      </c>
      <c r="D1748">
        <v>4.7254900000000002E-2</v>
      </c>
      <c r="E1748" t="s">
        <v>505</v>
      </c>
      <c r="F1748" t="s">
        <v>1051</v>
      </c>
      <c r="G1748" t="s">
        <v>1052</v>
      </c>
    </row>
    <row r="1749" spans="1:7">
      <c r="A1749" t="s">
        <v>197</v>
      </c>
      <c r="B1749" t="s">
        <v>915</v>
      </c>
      <c r="C1749" t="s">
        <v>914</v>
      </c>
      <c r="D1749">
        <v>4.6725000000000003E-2</v>
      </c>
      <c r="E1749" t="s">
        <v>489</v>
      </c>
      <c r="F1749" t="s">
        <v>490</v>
      </c>
      <c r="G1749" t="s">
        <v>490</v>
      </c>
    </row>
    <row r="1750" spans="1:7">
      <c r="A1750" t="s">
        <v>198</v>
      </c>
      <c r="B1750" t="s">
        <v>639</v>
      </c>
      <c r="C1750" t="s">
        <v>638</v>
      </c>
      <c r="D1750">
        <v>7.2224795999999994E-2</v>
      </c>
      <c r="E1750" t="s">
        <v>505</v>
      </c>
      <c r="F1750" t="s">
        <v>640</v>
      </c>
      <c r="G1750" t="s">
        <v>641</v>
      </c>
    </row>
    <row r="1751" spans="1:7">
      <c r="A1751" t="s">
        <v>198</v>
      </c>
      <c r="B1751" t="s">
        <v>1109</v>
      </c>
      <c r="C1751" t="s">
        <v>1108</v>
      </c>
      <c r="D1751">
        <v>5.8725100000000002E-2</v>
      </c>
      <c r="E1751" t="s">
        <v>505</v>
      </c>
      <c r="F1751" t="s">
        <v>1110</v>
      </c>
      <c r="G1751" t="s">
        <v>1111</v>
      </c>
    </row>
    <row r="1752" spans="1:7">
      <c r="A1752" t="s">
        <v>198</v>
      </c>
      <c r="B1752" t="s">
        <v>598</v>
      </c>
      <c r="C1752" t="s">
        <v>597</v>
      </c>
      <c r="D1752">
        <v>5.6451503E-2</v>
      </c>
      <c r="E1752" t="s">
        <v>489</v>
      </c>
      <c r="F1752" t="s">
        <v>490</v>
      </c>
      <c r="G1752" t="s">
        <v>490</v>
      </c>
    </row>
    <row r="1753" spans="1:7">
      <c r="A1753" t="s">
        <v>198</v>
      </c>
      <c r="B1753" t="s">
        <v>1086</v>
      </c>
      <c r="C1753" t="s">
        <v>1085</v>
      </c>
      <c r="D1753">
        <v>5.6015599999999999E-2</v>
      </c>
      <c r="E1753" t="s">
        <v>505</v>
      </c>
      <c r="F1753" t="s">
        <v>1087</v>
      </c>
      <c r="G1753" t="s">
        <v>1088</v>
      </c>
    </row>
    <row r="1754" spans="1:7">
      <c r="A1754" t="s">
        <v>198</v>
      </c>
      <c r="B1754" t="s">
        <v>539</v>
      </c>
      <c r="C1754" t="s">
        <v>538</v>
      </c>
      <c r="D1754">
        <v>5.4177299999999998E-2</v>
      </c>
      <c r="E1754" t="s">
        <v>489</v>
      </c>
      <c r="F1754" t="s">
        <v>490</v>
      </c>
      <c r="G1754" t="s">
        <v>490</v>
      </c>
    </row>
    <row r="1755" spans="1:7">
      <c r="A1755" t="s">
        <v>198</v>
      </c>
      <c r="B1755" t="s">
        <v>687</v>
      </c>
      <c r="C1755" t="s">
        <v>686</v>
      </c>
      <c r="D1755">
        <v>5.2834699999999998E-2</v>
      </c>
      <c r="E1755" t="s">
        <v>489</v>
      </c>
      <c r="F1755" t="s">
        <v>490</v>
      </c>
      <c r="G1755" t="s">
        <v>490</v>
      </c>
    </row>
    <row r="1756" spans="1:7">
      <c r="A1756" t="s">
        <v>198</v>
      </c>
      <c r="B1756" t="s">
        <v>762</v>
      </c>
      <c r="C1756" t="s">
        <v>761</v>
      </c>
      <c r="D1756">
        <v>4.7469600000000001E-2</v>
      </c>
      <c r="E1756" t="s">
        <v>505</v>
      </c>
      <c r="F1756" t="s">
        <v>763</v>
      </c>
      <c r="G1756" t="s">
        <v>764</v>
      </c>
    </row>
    <row r="1757" spans="1:7">
      <c r="A1757" t="s">
        <v>198</v>
      </c>
      <c r="B1757" t="s">
        <v>778</v>
      </c>
      <c r="C1757" t="s">
        <v>777</v>
      </c>
      <c r="D1757">
        <v>4.5302299999999997E-2</v>
      </c>
      <c r="E1757" t="s">
        <v>443</v>
      </c>
      <c r="F1757" t="s">
        <v>779</v>
      </c>
      <c r="G1757" t="s">
        <v>780</v>
      </c>
    </row>
    <row r="1758" spans="1:7">
      <c r="A1758" t="s">
        <v>198</v>
      </c>
      <c r="B1758" t="s">
        <v>1036</v>
      </c>
      <c r="C1758" t="s">
        <v>1035</v>
      </c>
      <c r="D1758">
        <v>4.4266800000000002E-2</v>
      </c>
      <c r="E1758" t="s">
        <v>505</v>
      </c>
      <c r="F1758" t="s">
        <v>1037</v>
      </c>
      <c r="G1758" t="s">
        <v>1038</v>
      </c>
    </row>
    <row r="1759" spans="1:7">
      <c r="A1759" t="s">
        <v>198</v>
      </c>
      <c r="B1759" t="s">
        <v>915</v>
      </c>
      <c r="C1759" t="s">
        <v>914</v>
      </c>
      <c r="D1759">
        <v>3.9693102000000001E-2</v>
      </c>
      <c r="E1759" t="s">
        <v>489</v>
      </c>
      <c r="F1759" t="s">
        <v>490</v>
      </c>
      <c r="G1759" t="s">
        <v>490</v>
      </c>
    </row>
    <row r="1760" spans="1:7">
      <c r="A1760" t="s">
        <v>200</v>
      </c>
      <c r="B1760" t="s">
        <v>513</v>
      </c>
      <c r="C1760" t="s">
        <v>512</v>
      </c>
      <c r="D1760">
        <v>6.9110900000000003E-2</v>
      </c>
      <c r="E1760" t="s">
        <v>443</v>
      </c>
      <c r="F1760" t="s">
        <v>514</v>
      </c>
      <c r="G1760" t="s">
        <v>515</v>
      </c>
    </row>
    <row r="1761" spans="1:7">
      <c r="A1761" t="s">
        <v>200</v>
      </c>
      <c r="B1761" t="s">
        <v>631</v>
      </c>
      <c r="C1761" t="s">
        <v>630</v>
      </c>
      <c r="D1761">
        <v>6.7457799999999998E-2</v>
      </c>
      <c r="E1761" t="s">
        <v>505</v>
      </c>
      <c r="F1761" t="s">
        <v>632</v>
      </c>
      <c r="G1761" t="s">
        <v>633</v>
      </c>
    </row>
    <row r="1762" spans="1:7">
      <c r="A1762" t="s">
        <v>200</v>
      </c>
      <c r="B1762" t="s">
        <v>697</v>
      </c>
      <c r="C1762" t="s">
        <v>696</v>
      </c>
      <c r="D1762">
        <v>5.70897E-2</v>
      </c>
      <c r="E1762" t="s">
        <v>489</v>
      </c>
      <c r="F1762" t="s">
        <v>490</v>
      </c>
      <c r="G1762" t="s">
        <v>490</v>
      </c>
    </row>
    <row r="1763" spans="1:7">
      <c r="A1763" t="s">
        <v>200</v>
      </c>
      <c r="B1763" t="s">
        <v>900</v>
      </c>
      <c r="C1763" t="s">
        <v>899</v>
      </c>
      <c r="D1763">
        <v>4.74522E-2</v>
      </c>
      <c r="E1763" t="s">
        <v>590</v>
      </c>
      <c r="F1763" t="s">
        <v>901</v>
      </c>
      <c r="G1763" t="s">
        <v>902</v>
      </c>
    </row>
    <row r="1764" spans="1:7">
      <c r="A1764" t="s">
        <v>200</v>
      </c>
      <c r="B1764" t="s">
        <v>575</v>
      </c>
      <c r="C1764" t="s">
        <v>574</v>
      </c>
      <c r="D1764">
        <v>4.7296900000000003E-2</v>
      </c>
      <c r="E1764" t="s">
        <v>576</v>
      </c>
      <c r="F1764" t="s">
        <v>577</v>
      </c>
      <c r="G1764" t="s">
        <v>578</v>
      </c>
    </row>
    <row r="1765" spans="1:7">
      <c r="A1765" t="s">
        <v>200</v>
      </c>
      <c r="B1765" t="s">
        <v>604</v>
      </c>
      <c r="C1765" t="s">
        <v>603</v>
      </c>
      <c r="D1765">
        <v>4.7176297999999998E-2</v>
      </c>
      <c r="E1765" t="s">
        <v>443</v>
      </c>
      <c r="F1765" t="s">
        <v>605</v>
      </c>
      <c r="G1765" t="s">
        <v>606</v>
      </c>
    </row>
    <row r="1766" spans="1:7">
      <c r="A1766" t="s">
        <v>200</v>
      </c>
      <c r="B1766" t="s">
        <v>2178</v>
      </c>
      <c r="C1766" t="s">
        <v>2177</v>
      </c>
      <c r="D1766">
        <v>4.3740402999999997E-2</v>
      </c>
      <c r="E1766" t="s">
        <v>489</v>
      </c>
      <c r="F1766" t="s">
        <v>490</v>
      </c>
      <c r="G1766" t="s">
        <v>490</v>
      </c>
    </row>
    <row r="1767" spans="1:7">
      <c r="A1767" t="s">
        <v>200</v>
      </c>
      <c r="B1767" t="s">
        <v>647</v>
      </c>
      <c r="C1767" t="s">
        <v>646</v>
      </c>
      <c r="D1767">
        <v>4.2884199999999997E-2</v>
      </c>
      <c r="E1767" t="s">
        <v>443</v>
      </c>
      <c r="F1767" t="s">
        <v>648</v>
      </c>
      <c r="G1767" t="s">
        <v>649</v>
      </c>
    </row>
    <row r="1768" spans="1:7">
      <c r="A1768" t="s">
        <v>200</v>
      </c>
      <c r="B1768" t="s">
        <v>1130</v>
      </c>
      <c r="C1768" t="s">
        <v>1129</v>
      </c>
      <c r="D1768">
        <v>4.2759600000000002E-2</v>
      </c>
      <c r="E1768" t="s">
        <v>443</v>
      </c>
      <c r="F1768" t="s">
        <v>1131</v>
      </c>
      <c r="G1768" t="s">
        <v>1132</v>
      </c>
    </row>
    <row r="1769" spans="1:7">
      <c r="A1769" t="s">
        <v>200</v>
      </c>
      <c r="B1769" t="s">
        <v>1463</v>
      </c>
      <c r="C1769" t="s">
        <v>1462</v>
      </c>
      <c r="D1769">
        <v>4.22429E-2</v>
      </c>
      <c r="E1769" t="s">
        <v>489</v>
      </c>
      <c r="F1769" t="s">
        <v>490</v>
      </c>
      <c r="G1769" t="s">
        <v>490</v>
      </c>
    </row>
    <row r="1770" spans="1:7">
      <c r="A1770" t="s">
        <v>201</v>
      </c>
      <c r="B1770" t="s">
        <v>998</v>
      </c>
      <c r="C1770" t="s">
        <v>997</v>
      </c>
      <c r="D1770">
        <v>6.2352999999999999E-2</v>
      </c>
      <c r="E1770" t="s">
        <v>576</v>
      </c>
      <c r="F1770" t="s">
        <v>999</v>
      </c>
      <c r="G1770" t="s">
        <v>1000</v>
      </c>
    </row>
    <row r="1771" spans="1:7">
      <c r="A1771" t="s">
        <v>201</v>
      </c>
      <c r="B1771" t="s">
        <v>2221</v>
      </c>
      <c r="C1771" t="s">
        <v>2220</v>
      </c>
      <c r="D1771">
        <v>4.2866300000000003E-2</v>
      </c>
      <c r="E1771" t="s">
        <v>792</v>
      </c>
      <c r="F1771" t="s">
        <v>2222</v>
      </c>
      <c r="G1771" t="s">
        <v>2223</v>
      </c>
    </row>
    <row r="1772" spans="1:7">
      <c r="A1772" t="s">
        <v>201</v>
      </c>
      <c r="B1772" t="s">
        <v>1208</v>
      </c>
      <c r="C1772" t="s">
        <v>1207</v>
      </c>
      <c r="D1772">
        <v>3.3680000000000002E-2</v>
      </c>
      <c r="E1772" t="s">
        <v>489</v>
      </c>
      <c r="F1772" t="s">
        <v>490</v>
      </c>
      <c r="G1772" t="s">
        <v>490</v>
      </c>
    </row>
    <row r="1773" spans="1:7">
      <c r="A1773" t="s">
        <v>201</v>
      </c>
      <c r="B1773" t="s">
        <v>504</v>
      </c>
      <c r="C1773" t="s">
        <v>503</v>
      </c>
      <c r="D1773">
        <v>3.3545800000000001E-2</v>
      </c>
      <c r="E1773" t="s">
        <v>505</v>
      </c>
      <c r="F1773" t="s">
        <v>506</v>
      </c>
      <c r="G1773" t="s">
        <v>507</v>
      </c>
    </row>
    <row r="1774" spans="1:7">
      <c r="A1774" t="s">
        <v>201</v>
      </c>
      <c r="B1774" t="s">
        <v>643</v>
      </c>
      <c r="C1774" t="s">
        <v>642</v>
      </c>
      <c r="D1774">
        <v>2.9310599999999999E-2</v>
      </c>
      <c r="E1774" t="s">
        <v>443</v>
      </c>
      <c r="F1774" t="s">
        <v>644</v>
      </c>
      <c r="G1774" t="s">
        <v>645</v>
      </c>
    </row>
    <row r="1775" spans="1:7">
      <c r="A1775" t="s">
        <v>201</v>
      </c>
      <c r="B1775" t="s">
        <v>2780</v>
      </c>
      <c r="C1775" t="s">
        <v>2779</v>
      </c>
      <c r="D1775">
        <v>2.8854300999999999E-2</v>
      </c>
      <c r="E1775" t="s">
        <v>505</v>
      </c>
      <c r="F1775" t="s">
        <v>2781</v>
      </c>
      <c r="G1775" t="s">
        <v>2782</v>
      </c>
    </row>
    <row r="1776" spans="1:7">
      <c r="A1776" t="s">
        <v>201</v>
      </c>
      <c r="B1776" t="s">
        <v>2807</v>
      </c>
      <c r="C1776" t="s">
        <v>2806</v>
      </c>
      <c r="D1776">
        <v>2.7397999999999999E-2</v>
      </c>
      <c r="E1776" t="s">
        <v>443</v>
      </c>
      <c r="F1776" t="s">
        <v>2808</v>
      </c>
      <c r="G1776" t="s">
        <v>2809</v>
      </c>
    </row>
    <row r="1777" spans="1:7">
      <c r="A1777" t="s">
        <v>201</v>
      </c>
      <c r="B1777" t="s">
        <v>791</v>
      </c>
      <c r="C1777" t="s">
        <v>790</v>
      </c>
      <c r="D1777">
        <v>2.71817E-2</v>
      </c>
      <c r="E1777" t="s">
        <v>792</v>
      </c>
      <c r="F1777" t="s">
        <v>793</v>
      </c>
      <c r="G1777" t="s">
        <v>794</v>
      </c>
    </row>
    <row r="1778" spans="1:7">
      <c r="A1778" t="s">
        <v>201</v>
      </c>
      <c r="B1778" t="s">
        <v>2847</v>
      </c>
      <c r="C1778" t="s">
        <v>2846</v>
      </c>
      <c r="D1778">
        <v>2.6714700000000001E-2</v>
      </c>
      <c r="E1778" t="s">
        <v>792</v>
      </c>
      <c r="F1778" t="s">
        <v>2848</v>
      </c>
      <c r="G1778" t="s">
        <v>2849</v>
      </c>
    </row>
    <row r="1779" spans="1:7">
      <c r="A1779" t="s">
        <v>201</v>
      </c>
      <c r="B1779" t="s">
        <v>2853</v>
      </c>
      <c r="C1779" t="s">
        <v>2852</v>
      </c>
      <c r="D1779">
        <v>2.6251500000000001E-2</v>
      </c>
      <c r="E1779" t="s">
        <v>443</v>
      </c>
      <c r="F1779" t="s">
        <v>2854</v>
      </c>
      <c r="G1779" t="s">
        <v>2855</v>
      </c>
    </row>
    <row r="1780" spans="1:7">
      <c r="A1780" t="s">
        <v>202</v>
      </c>
      <c r="B1780" t="s">
        <v>589</v>
      </c>
      <c r="C1780" t="s">
        <v>588</v>
      </c>
      <c r="D1780">
        <v>0.2317631</v>
      </c>
      <c r="E1780" t="s">
        <v>590</v>
      </c>
      <c r="F1780" t="s">
        <v>591</v>
      </c>
      <c r="G1780" t="s">
        <v>592</v>
      </c>
    </row>
    <row r="1781" spans="1:7">
      <c r="A1781" t="s">
        <v>202</v>
      </c>
      <c r="B1781" t="s">
        <v>1310</v>
      </c>
      <c r="C1781" t="s">
        <v>1309</v>
      </c>
      <c r="D1781">
        <v>7.3712200000000005E-2</v>
      </c>
      <c r="E1781" t="s">
        <v>505</v>
      </c>
      <c r="F1781" t="s">
        <v>1311</v>
      </c>
      <c r="G1781" t="s">
        <v>1312</v>
      </c>
    </row>
    <row r="1782" spans="1:7">
      <c r="A1782" t="s">
        <v>202</v>
      </c>
      <c r="B1782" t="s">
        <v>1241</v>
      </c>
      <c r="C1782" t="s">
        <v>1240</v>
      </c>
      <c r="D1782">
        <v>6.3146203999999997E-2</v>
      </c>
      <c r="E1782" t="s">
        <v>590</v>
      </c>
      <c r="F1782" t="s">
        <v>1242</v>
      </c>
      <c r="G1782" t="s">
        <v>1243</v>
      </c>
    </row>
    <row r="1783" spans="1:7">
      <c r="A1783" t="s">
        <v>202</v>
      </c>
      <c r="B1783" t="s">
        <v>776</v>
      </c>
      <c r="C1783" t="s">
        <v>775</v>
      </c>
      <c r="D1783">
        <v>5.8542700000000003E-2</v>
      </c>
      <c r="E1783" t="s">
        <v>489</v>
      </c>
      <c r="F1783" t="s">
        <v>490</v>
      </c>
      <c r="G1783" t="s">
        <v>490</v>
      </c>
    </row>
    <row r="1784" spans="1:7">
      <c r="A1784" t="s">
        <v>202</v>
      </c>
      <c r="B1784" t="s">
        <v>1090</v>
      </c>
      <c r="C1784" t="s">
        <v>1089</v>
      </c>
      <c r="D1784">
        <v>4.3281897999999999E-2</v>
      </c>
      <c r="E1784" t="s">
        <v>1091</v>
      </c>
      <c r="F1784" t="s">
        <v>490</v>
      </c>
      <c r="G1784" t="s">
        <v>490</v>
      </c>
    </row>
    <row r="1785" spans="1:7">
      <c r="A1785" t="s">
        <v>202</v>
      </c>
      <c r="B1785" t="s">
        <v>967</v>
      </c>
      <c r="C1785" t="s">
        <v>966</v>
      </c>
      <c r="D1785">
        <v>3.9189599999999998E-2</v>
      </c>
      <c r="E1785" t="s">
        <v>968</v>
      </c>
      <c r="F1785" t="s">
        <v>969</v>
      </c>
      <c r="G1785" t="s">
        <v>970</v>
      </c>
    </row>
    <row r="1786" spans="1:7">
      <c r="A1786" t="s">
        <v>202</v>
      </c>
      <c r="B1786" t="s">
        <v>840</v>
      </c>
      <c r="C1786" t="s">
        <v>839</v>
      </c>
      <c r="D1786">
        <v>3.3172800000000002E-2</v>
      </c>
      <c r="E1786" t="s">
        <v>783</v>
      </c>
      <c r="F1786" t="s">
        <v>841</v>
      </c>
      <c r="G1786" t="s">
        <v>842</v>
      </c>
    </row>
    <row r="1787" spans="1:7">
      <c r="A1787" t="s">
        <v>202</v>
      </c>
      <c r="B1787" t="s">
        <v>2644</v>
      </c>
      <c r="C1787" t="s">
        <v>2643</v>
      </c>
      <c r="D1787">
        <v>3.2711299999999999E-2</v>
      </c>
      <c r="E1787" t="s">
        <v>484</v>
      </c>
      <c r="F1787" t="s">
        <v>2645</v>
      </c>
      <c r="G1787" t="s">
        <v>2646</v>
      </c>
    </row>
    <row r="1788" spans="1:7">
      <c r="A1788" t="s">
        <v>202</v>
      </c>
      <c r="B1788" t="s">
        <v>1554</v>
      </c>
      <c r="C1788" t="s">
        <v>1553</v>
      </c>
      <c r="D1788">
        <v>3.0520599999999998E-2</v>
      </c>
      <c r="E1788" t="s">
        <v>484</v>
      </c>
      <c r="F1788" t="s">
        <v>1555</v>
      </c>
      <c r="G1788" t="s">
        <v>1556</v>
      </c>
    </row>
    <row r="1789" spans="1:7">
      <c r="A1789" t="s">
        <v>203</v>
      </c>
      <c r="B1789" t="s">
        <v>840</v>
      </c>
      <c r="C1789" t="s">
        <v>839</v>
      </c>
      <c r="D1789">
        <v>0.15649740000000001</v>
      </c>
      <c r="E1789" t="s">
        <v>783</v>
      </c>
      <c r="F1789" t="s">
        <v>841</v>
      </c>
      <c r="G1789" t="s">
        <v>842</v>
      </c>
    </row>
    <row r="1790" spans="1:7">
      <c r="A1790" t="s">
        <v>203</v>
      </c>
      <c r="B1790" t="s">
        <v>1245</v>
      </c>
      <c r="C1790" t="s">
        <v>1244</v>
      </c>
      <c r="D1790">
        <v>0.1391435</v>
      </c>
      <c r="E1790" t="s">
        <v>590</v>
      </c>
      <c r="F1790" t="s">
        <v>1246</v>
      </c>
      <c r="G1790" t="s">
        <v>1247</v>
      </c>
    </row>
    <row r="1791" spans="1:7">
      <c r="A1791" t="s">
        <v>203</v>
      </c>
      <c r="B1791" t="s">
        <v>967</v>
      </c>
      <c r="C1791" t="s">
        <v>966</v>
      </c>
      <c r="D1791">
        <v>0.12952830000000001</v>
      </c>
      <c r="E1791" t="s">
        <v>968</v>
      </c>
      <c r="F1791" t="s">
        <v>969</v>
      </c>
      <c r="G1791" t="s">
        <v>970</v>
      </c>
    </row>
    <row r="1792" spans="1:7">
      <c r="A1792" t="s">
        <v>203</v>
      </c>
      <c r="B1792" t="s">
        <v>1662</v>
      </c>
      <c r="C1792" t="s">
        <v>1661</v>
      </c>
      <c r="D1792">
        <v>0.12930949999999999</v>
      </c>
      <c r="E1792" t="s">
        <v>505</v>
      </c>
      <c r="F1792" t="s">
        <v>1663</v>
      </c>
      <c r="G1792" t="s">
        <v>1664</v>
      </c>
    </row>
    <row r="1793" spans="1:7">
      <c r="A1793" t="s">
        <v>203</v>
      </c>
      <c r="B1793" t="s">
        <v>2030</v>
      </c>
      <c r="C1793" t="s">
        <v>2029</v>
      </c>
      <c r="D1793">
        <v>4.6770399999999997E-2</v>
      </c>
      <c r="E1793" t="s">
        <v>489</v>
      </c>
      <c r="F1793" t="s">
        <v>490</v>
      </c>
      <c r="G1793" t="s">
        <v>490</v>
      </c>
    </row>
    <row r="1794" spans="1:7">
      <c r="A1794" t="s">
        <v>203</v>
      </c>
      <c r="B1794" t="s">
        <v>2194</v>
      </c>
      <c r="C1794" t="s">
        <v>2193</v>
      </c>
      <c r="D1794">
        <v>4.32378E-2</v>
      </c>
      <c r="E1794" t="s">
        <v>2195</v>
      </c>
      <c r="F1794" t="s">
        <v>2196</v>
      </c>
      <c r="G1794" t="s">
        <v>2197</v>
      </c>
    </row>
    <row r="1795" spans="1:7">
      <c r="A1795" t="s">
        <v>203</v>
      </c>
      <c r="B1795" t="s">
        <v>1455</v>
      </c>
      <c r="C1795" t="s">
        <v>1454</v>
      </c>
      <c r="D1795">
        <v>4.3060698000000001E-2</v>
      </c>
      <c r="E1795" t="s">
        <v>783</v>
      </c>
      <c r="F1795" t="s">
        <v>1456</v>
      </c>
      <c r="G1795" t="s">
        <v>1457</v>
      </c>
    </row>
    <row r="1796" spans="1:7">
      <c r="A1796" t="s">
        <v>203</v>
      </c>
      <c r="B1796" t="s">
        <v>2491</v>
      </c>
      <c r="C1796" t="s">
        <v>2490</v>
      </c>
      <c r="D1796">
        <v>3.7029399999999997E-2</v>
      </c>
      <c r="E1796" t="s">
        <v>590</v>
      </c>
      <c r="F1796" t="s">
        <v>2492</v>
      </c>
      <c r="G1796" t="s">
        <v>2493</v>
      </c>
    </row>
    <row r="1797" spans="1:7">
      <c r="A1797" t="s">
        <v>203</v>
      </c>
      <c r="B1797" t="s">
        <v>2592</v>
      </c>
      <c r="C1797" t="s">
        <v>2591</v>
      </c>
      <c r="D1797">
        <v>3.4404200000000003E-2</v>
      </c>
      <c r="E1797" t="s">
        <v>783</v>
      </c>
      <c r="F1797" t="s">
        <v>2593</v>
      </c>
      <c r="G1797" t="s">
        <v>2594</v>
      </c>
    </row>
    <row r="1798" spans="1:7">
      <c r="A1798" t="s">
        <v>203</v>
      </c>
      <c r="B1798" t="s">
        <v>2596</v>
      </c>
      <c r="C1798" t="s">
        <v>2595</v>
      </c>
      <c r="D1798">
        <v>3.4150100000000003E-2</v>
      </c>
      <c r="E1798" t="s">
        <v>489</v>
      </c>
      <c r="F1798" t="s">
        <v>490</v>
      </c>
      <c r="G1798" t="s">
        <v>490</v>
      </c>
    </row>
    <row r="1799" spans="1:7">
      <c r="A1799" t="s">
        <v>204</v>
      </c>
      <c r="B1799" t="s">
        <v>589</v>
      </c>
      <c r="C1799" t="s">
        <v>588</v>
      </c>
      <c r="D1799">
        <v>0.21648249999999999</v>
      </c>
      <c r="E1799" t="s">
        <v>590</v>
      </c>
      <c r="F1799" t="s">
        <v>591</v>
      </c>
      <c r="G1799" t="s">
        <v>592</v>
      </c>
    </row>
    <row r="1800" spans="1:7">
      <c r="A1800" t="s">
        <v>204</v>
      </c>
      <c r="B1800" t="s">
        <v>1241</v>
      </c>
      <c r="C1800" t="s">
        <v>1240</v>
      </c>
      <c r="D1800">
        <v>0.1271111</v>
      </c>
      <c r="E1800" t="s">
        <v>590</v>
      </c>
      <c r="F1800" t="s">
        <v>1242</v>
      </c>
      <c r="G1800" t="s">
        <v>1243</v>
      </c>
    </row>
    <row r="1801" spans="1:7">
      <c r="A1801" t="s">
        <v>204</v>
      </c>
      <c r="B1801" t="s">
        <v>776</v>
      </c>
      <c r="C1801" t="s">
        <v>775</v>
      </c>
      <c r="D1801">
        <v>5.2527799999999999E-2</v>
      </c>
      <c r="E1801" t="s">
        <v>489</v>
      </c>
      <c r="F1801" t="s">
        <v>490</v>
      </c>
      <c r="G1801" t="s">
        <v>490</v>
      </c>
    </row>
    <row r="1802" spans="1:7">
      <c r="A1802" t="s">
        <v>204</v>
      </c>
      <c r="B1802" t="s">
        <v>840</v>
      </c>
      <c r="C1802" t="s">
        <v>839</v>
      </c>
      <c r="D1802">
        <v>4.7476202000000002E-2</v>
      </c>
      <c r="E1802" t="s">
        <v>783</v>
      </c>
      <c r="F1802" t="s">
        <v>841</v>
      </c>
      <c r="G1802" t="s">
        <v>842</v>
      </c>
    </row>
    <row r="1803" spans="1:7">
      <c r="A1803" t="s">
        <v>204</v>
      </c>
      <c r="B1803" t="s">
        <v>967</v>
      </c>
      <c r="C1803" t="s">
        <v>966</v>
      </c>
      <c r="D1803">
        <v>4.7192402000000001E-2</v>
      </c>
      <c r="E1803" t="s">
        <v>968</v>
      </c>
      <c r="F1803" t="s">
        <v>969</v>
      </c>
      <c r="G1803" t="s">
        <v>970</v>
      </c>
    </row>
    <row r="1804" spans="1:7">
      <c r="A1804" t="s">
        <v>204</v>
      </c>
      <c r="B1804" t="s">
        <v>1245</v>
      </c>
      <c r="C1804" t="s">
        <v>1244</v>
      </c>
      <c r="D1804">
        <v>4.6723399999999998E-2</v>
      </c>
      <c r="E1804" t="s">
        <v>590</v>
      </c>
      <c r="F1804" t="s">
        <v>1246</v>
      </c>
      <c r="G1804" t="s">
        <v>1247</v>
      </c>
    </row>
    <row r="1805" spans="1:7">
      <c r="A1805" t="s">
        <v>204</v>
      </c>
      <c r="B1805" t="s">
        <v>1090</v>
      </c>
      <c r="C1805" t="s">
        <v>1089</v>
      </c>
      <c r="D1805">
        <v>4.6550202999999998E-2</v>
      </c>
      <c r="E1805" t="s">
        <v>1091</v>
      </c>
      <c r="F1805" t="s">
        <v>490</v>
      </c>
      <c r="G1805" t="s">
        <v>490</v>
      </c>
    </row>
    <row r="1806" spans="1:7">
      <c r="A1806" t="s">
        <v>204</v>
      </c>
      <c r="B1806" t="s">
        <v>2389</v>
      </c>
      <c r="C1806" t="s">
        <v>2388</v>
      </c>
      <c r="D1806">
        <v>3.9460599999999998E-2</v>
      </c>
      <c r="E1806" t="s">
        <v>489</v>
      </c>
      <c r="F1806" t="s">
        <v>490</v>
      </c>
      <c r="G1806" t="s">
        <v>490</v>
      </c>
    </row>
    <row r="1807" spans="1:7">
      <c r="A1807" t="s">
        <v>204</v>
      </c>
      <c r="B1807" t="s">
        <v>1455</v>
      </c>
      <c r="C1807" t="s">
        <v>1454</v>
      </c>
      <c r="D1807">
        <v>3.7134300000000002E-2</v>
      </c>
      <c r="E1807" t="s">
        <v>783</v>
      </c>
      <c r="F1807" t="s">
        <v>1456</v>
      </c>
      <c r="G1807" t="s">
        <v>1457</v>
      </c>
    </row>
    <row r="1808" spans="1:7">
      <c r="A1808" t="s">
        <v>205</v>
      </c>
      <c r="B1808" t="s">
        <v>635</v>
      </c>
      <c r="C1808" t="s">
        <v>634</v>
      </c>
      <c r="D1808">
        <v>7.8968499999999997E-2</v>
      </c>
      <c r="E1808" t="s">
        <v>590</v>
      </c>
      <c r="F1808" t="s">
        <v>636</v>
      </c>
      <c r="G1808" t="s">
        <v>637</v>
      </c>
    </row>
    <row r="1809" spans="1:7">
      <c r="A1809" t="s">
        <v>205</v>
      </c>
      <c r="B1809" t="s">
        <v>639</v>
      </c>
      <c r="C1809" t="s">
        <v>638</v>
      </c>
      <c r="D1809">
        <v>7.8443600000000002E-2</v>
      </c>
      <c r="E1809" t="s">
        <v>505</v>
      </c>
      <c r="F1809" t="s">
        <v>640</v>
      </c>
      <c r="G1809" t="s">
        <v>641</v>
      </c>
    </row>
    <row r="1810" spans="1:7">
      <c r="A1810" t="s">
        <v>205</v>
      </c>
      <c r="B1810" t="s">
        <v>687</v>
      </c>
      <c r="C1810" t="s">
        <v>686</v>
      </c>
      <c r="D1810">
        <v>7.8005400000000003E-2</v>
      </c>
      <c r="E1810" t="s">
        <v>489</v>
      </c>
      <c r="F1810" t="s">
        <v>490</v>
      </c>
      <c r="G1810" t="s">
        <v>490</v>
      </c>
    </row>
    <row r="1811" spans="1:7">
      <c r="A1811" t="s">
        <v>205</v>
      </c>
      <c r="B1811" t="s">
        <v>539</v>
      </c>
      <c r="C1811" t="s">
        <v>538</v>
      </c>
      <c r="D1811">
        <v>7.5650599999999998E-2</v>
      </c>
      <c r="E1811" t="s">
        <v>489</v>
      </c>
      <c r="F1811" t="s">
        <v>490</v>
      </c>
      <c r="G1811" t="s">
        <v>490</v>
      </c>
    </row>
    <row r="1812" spans="1:7">
      <c r="A1812" t="s">
        <v>205</v>
      </c>
      <c r="B1812" t="s">
        <v>836</v>
      </c>
      <c r="C1812" t="s">
        <v>835</v>
      </c>
      <c r="D1812">
        <v>7.5291999999999998E-2</v>
      </c>
      <c r="E1812" t="s">
        <v>505</v>
      </c>
      <c r="F1812" t="s">
        <v>837</v>
      </c>
      <c r="G1812" t="s">
        <v>838</v>
      </c>
    </row>
    <row r="1813" spans="1:7">
      <c r="A1813" t="s">
        <v>205</v>
      </c>
      <c r="B1813" t="s">
        <v>762</v>
      </c>
      <c r="C1813" t="s">
        <v>761</v>
      </c>
      <c r="D1813">
        <v>6.1058796999999998E-2</v>
      </c>
      <c r="E1813" t="s">
        <v>505</v>
      </c>
      <c r="F1813" t="s">
        <v>763</v>
      </c>
      <c r="G1813" t="s">
        <v>764</v>
      </c>
    </row>
    <row r="1814" spans="1:7">
      <c r="A1814" t="s">
        <v>205</v>
      </c>
      <c r="B1814" t="s">
        <v>598</v>
      </c>
      <c r="C1814" t="s">
        <v>597</v>
      </c>
      <c r="D1814">
        <v>4.8596100000000003E-2</v>
      </c>
      <c r="E1814" t="s">
        <v>489</v>
      </c>
      <c r="F1814" t="s">
        <v>490</v>
      </c>
      <c r="G1814" t="s">
        <v>490</v>
      </c>
    </row>
    <row r="1815" spans="1:7">
      <c r="A1815" t="s">
        <v>205</v>
      </c>
      <c r="B1815" t="s">
        <v>1013</v>
      </c>
      <c r="C1815" t="s">
        <v>1012</v>
      </c>
      <c r="D1815">
        <v>4.2679300000000003E-2</v>
      </c>
      <c r="E1815" t="s">
        <v>505</v>
      </c>
      <c r="F1815" t="s">
        <v>1014</v>
      </c>
      <c r="G1815" t="s">
        <v>1015</v>
      </c>
    </row>
    <row r="1816" spans="1:7">
      <c r="A1816" t="s">
        <v>205</v>
      </c>
      <c r="B1816" t="s">
        <v>858</v>
      </c>
      <c r="C1816" t="s">
        <v>857</v>
      </c>
      <c r="D1816">
        <v>4.2152099999999998E-2</v>
      </c>
      <c r="E1816" t="s">
        <v>505</v>
      </c>
      <c r="F1816" t="s">
        <v>859</v>
      </c>
      <c r="G1816" t="s">
        <v>860</v>
      </c>
    </row>
    <row r="1817" spans="1:7">
      <c r="A1817" t="s">
        <v>205</v>
      </c>
      <c r="B1817" t="s">
        <v>1082</v>
      </c>
      <c r="C1817" t="s">
        <v>1081</v>
      </c>
      <c r="D1817">
        <v>3.9493100000000003E-2</v>
      </c>
      <c r="E1817" t="s">
        <v>590</v>
      </c>
      <c r="F1817" t="s">
        <v>1083</v>
      </c>
      <c r="G1817" t="s">
        <v>1084</v>
      </c>
    </row>
    <row r="1818" spans="1:7">
      <c r="A1818" t="s">
        <v>206</v>
      </c>
      <c r="B1818" t="s">
        <v>1674</v>
      </c>
      <c r="C1818" t="s">
        <v>1673</v>
      </c>
      <c r="D1818">
        <v>0.100250594</v>
      </c>
      <c r="E1818" t="s">
        <v>489</v>
      </c>
      <c r="F1818" t="s">
        <v>490</v>
      </c>
      <c r="G1818" t="s">
        <v>490</v>
      </c>
    </row>
    <row r="1819" spans="1:7">
      <c r="A1819" t="s">
        <v>206</v>
      </c>
      <c r="B1819" t="s">
        <v>504</v>
      </c>
      <c r="C1819" t="s">
        <v>503</v>
      </c>
      <c r="D1819">
        <v>9.1213199999999994E-2</v>
      </c>
      <c r="E1819" t="s">
        <v>505</v>
      </c>
      <c r="F1819" t="s">
        <v>506</v>
      </c>
      <c r="G1819" t="s">
        <v>507</v>
      </c>
    </row>
    <row r="1820" spans="1:7">
      <c r="A1820" t="s">
        <v>206</v>
      </c>
      <c r="B1820" t="s">
        <v>539</v>
      </c>
      <c r="C1820" t="s">
        <v>538</v>
      </c>
      <c r="D1820">
        <v>8.1080503999999998E-2</v>
      </c>
      <c r="E1820" t="s">
        <v>489</v>
      </c>
      <c r="F1820" t="s">
        <v>490</v>
      </c>
      <c r="G1820" t="s">
        <v>490</v>
      </c>
    </row>
    <row r="1821" spans="1:7">
      <c r="A1821" t="s">
        <v>206</v>
      </c>
      <c r="B1821" t="s">
        <v>858</v>
      </c>
      <c r="C1821" t="s">
        <v>857</v>
      </c>
      <c r="D1821">
        <v>7.0421499999999998E-2</v>
      </c>
      <c r="E1821" t="s">
        <v>505</v>
      </c>
      <c r="F1821" t="s">
        <v>859</v>
      </c>
      <c r="G1821" t="s">
        <v>860</v>
      </c>
    </row>
    <row r="1822" spans="1:7">
      <c r="A1822" t="s">
        <v>206</v>
      </c>
      <c r="B1822" t="s">
        <v>635</v>
      </c>
      <c r="C1822" t="s">
        <v>634</v>
      </c>
      <c r="D1822">
        <v>6.8992100000000001E-2</v>
      </c>
      <c r="E1822" t="s">
        <v>590</v>
      </c>
      <c r="F1822" t="s">
        <v>636</v>
      </c>
      <c r="G1822" t="s">
        <v>637</v>
      </c>
    </row>
    <row r="1823" spans="1:7">
      <c r="A1823" t="s">
        <v>206</v>
      </c>
      <c r="B1823" t="s">
        <v>1036</v>
      </c>
      <c r="C1823" t="s">
        <v>1035</v>
      </c>
      <c r="D1823">
        <v>6.6711604999999993E-2</v>
      </c>
      <c r="E1823" t="s">
        <v>505</v>
      </c>
      <c r="F1823" t="s">
        <v>1037</v>
      </c>
      <c r="G1823" t="s">
        <v>1038</v>
      </c>
    </row>
    <row r="1824" spans="1:7">
      <c r="A1824" t="s">
        <v>206</v>
      </c>
      <c r="B1824" t="s">
        <v>687</v>
      </c>
      <c r="C1824" t="s">
        <v>686</v>
      </c>
      <c r="D1824">
        <v>4.18882E-2</v>
      </c>
      <c r="E1824" t="s">
        <v>489</v>
      </c>
      <c r="F1824" t="s">
        <v>490</v>
      </c>
      <c r="G1824" t="s">
        <v>490</v>
      </c>
    </row>
    <row r="1825" spans="1:7">
      <c r="A1825" t="s">
        <v>206</v>
      </c>
      <c r="B1825" t="s">
        <v>1097</v>
      </c>
      <c r="C1825" t="s">
        <v>1096</v>
      </c>
      <c r="D1825">
        <v>4.0207E-2</v>
      </c>
      <c r="E1825" t="s">
        <v>443</v>
      </c>
      <c r="F1825" t="s">
        <v>1098</v>
      </c>
      <c r="G1825" t="s">
        <v>1099</v>
      </c>
    </row>
    <row r="1826" spans="1:7">
      <c r="A1826" t="s">
        <v>206</v>
      </c>
      <c r="B1826" t="s">
        <v>872</v>
      </c>
      <c r="C1826" t="s">
        <v>871</v>
      </c>
      <c r="D1826">
        <v>3.9646099999999997E-2</v>
      </c>
      <c r="E1826" t="s">
        <v>505</v>
      </c>
      <c r="F1826" t="s">
        <v>873</v>
      </c>
      <c r="G1826" t="s">
        <v>874</v>
      </c>
    </row>
    <row r="1827" spans="1:7">
      <c r="A1827" t="s">
        <v>206</v>
      </c>
      <c r="B1827" t="s">
        <v>639</v>
      </c>
      <c r="C1827" t="s">
        <v>638</v>
      </c>
      <c r="D1827">
        <v>3.6214499999999997E-2</v>
      </c>
      <c r="E1827" t="s">
        <v>505</v>
      </c>
      <c r="F1827" t="s">
        <v>640</v>
      </c>
      <c r="G1827" t="s">
        <v>641</v>
      </c>
    </row>
    <row r="1828" spans="1:7">
      <c r="A1828" t="s">
        <v>207</v>
      </c>
      <c r="B1828" t="s">
        <v>622</v>
      </c>
      <c r="C1828" t="s">
        <v>621</v>
      </c>
      <c r="D1828">
        <v>0.1478034</v>
      </c>
      <c r="E1828" t="s">
        <v>623</v>
      </c>
      <c r="F1828" t="s">
        <v>624</v>
      </c>
      <c r="G1828" t="s">
        <v>625</v>
      </c>
    </row>
    <row r="1829" spans="1:7">
      <c r="A1829" t="s">
        <v>207</v>
      </c>
      <c r="B1829" t="s">
        <v>737</v>
      </c>
      <c r="C1829" t="s">
        <v>736</v>
      </c>
      <c r="D1829">
        <v>7.5999800000000006E-2</v>
      </c>
      <c r="E1829" t="s">
        <v>505</v>
      </c>
      <c r="F1829" t="s">
        <v>738</v>
      </c>
      <c r="G1829" t="s">
        <v>739</v>
      </c>
    </row>
    <row r="1830" spans="1:7">
      <c r="A1830" t="s">
        <v>207</v>
      </c>
      <c r="B1830" t="s">
        <v>549</v>
      </c>
      <c r="C1830" t="s">
        <v>548</v>
      </c>
      <c r="D1830">
        <v>6.0523401999999997E-2</v>
      </c>
      <c r="E1830" t="s">
        <v>505</v>
      </c>
      <c r="F1830" t="s">
        <v>550</v>
      </c>
      <c r="G1830" t="s">
        <v>551</v>
      </c>
    </row>
    <row r="1831" spans="1:7">
      <c r="A1831" t="s">
        <v>207</v>
      </c>
      <c r="B1831" t="s">
        <v>667</v>
      </c>
      <c r="C1831" t="s">
        <v>666</v>
      </c>
      <c r="D1831">
        <v>4.66711E-2</v>
      </c>
      <c r="E1831" t="s">
        <v>613</v>
      </c>
      <c r="F1831" t="s">
        <v>668</v>
      </c>
      <c r="G1831" t="s">
        <v>669</v>
      </c>
    </row>
    <row r="1832" spans="1:7">
      <c r="A1832" t="s">
        <v>207</v>
      </c>
      <c r="B1832" t="s">
        <v>1093</v>
      </c>
      <c r="C1832" t="s">
        <v>1092</v>
      </c>
      <c r="D1832">
        <v>4.5759099999999997E-2</v>
      </c>
      <c r="E1832" t="s">
        <v>489</v>
      </c>
      <c r="F1832" t="s">
        <v>490</v>
      </c>
      <c r="G1832" t="s">
        <v>490</v>
      </c>
    </row>
    <row r="1833" spans="1:7">
      <c r="A1833" t="s">
        <v>207</v>
      </c>
      <c r="B1833" t="s">
        <v>1059</v>
      </c>
      <c r="C1833" t="s">
        <v>1058</v>
      </c>
      <c r="D1833">
        <v>4.1702299999999998E-2</v>
      </c>
      <c r="E1833" t="s">
        <v>505</v>
      </c>
      <c r="F1833" t="s">
        <v>1060</v>
      </c>
      <c r="G1833" t="s">
        <v>1061</v>
      </c>
    </row>
    <row r="1834" spans="1:7">
      <c r="A1834" t="s">
        <v>207</v>
      </c>
      <c r="B1834" t="s">
        <v>810</v>
      </c>
      <c r="C1834" t="s">
        <v>809</v>
      </c>
      <c r="D1834">
        <v>3.6117700000000003E-2</v>
      </c>
      <c r="E1834" t="s">
        <v>505</v>
      </c>
      <c r="F1834" t="s">
        <v>811</v>
      </c>
      <c r="G1834" t="s">
        <v>812</v>
      </c>
    </row>
    <row r="1835" spans="1:7">
      <c r="A1835" t="s">
        <v>207</v>
      </c>
      <c r="B1835" t="s">
        <v>663</v>
      </c>
      <c r="C1835" t="s">
        <v>662</v>
      </c>
      <c r="D1835">
        <v>3.5581500000000002E-2</v>
      </c>
      <c r="E1835" t="s">
        <v>505</v>
      </c>
      <c r="F1835" t="s">
        <v>664</v>
      </c>
      <c r="G1835" t="s">
        <v>665</v>
      </c>
    </row>
    <row r="1836" spans="1:7">
      <c r="A1836" t="s">
        <v>207</v>
      </c>
      <c r="B1836" t="s">
        <v>921</v>
      </c>
      <c r="C1836" t="s">
        <v>920</v>
      </c>
      <c r="D1836">
        <v>3.3680700000000001E-2</v>
      </c>
      <c r="E1836" t="s">
        <v>505</v>
      </c>
      <c r="F1836" t="s">
        <v>922</v>
      </c>
      <c r="G1836" t="s">
        <v>923</v>
      </c>
    </row>
    <row r="1837" spans="1:7">
      <c r="A1837" t="s">
        <v>207</v>
      </c>
      <c r="B1837" t="s">
        <v>814</v>
      </c>
      <c r="C1837" t="s">
        <v>813</v>
      </c>
      <c r="D1837">
        <v>2.36549E-2</v>
      </c>
      <c r="E1837" t="s">
        <v>489</v>
      </c>
      <c r="F1837" t="s">
        <v>490</v>
      </c>
      <c r="G1837" t="s">
        <v>490</v>
      </c>
    </row>
    <row r="1838" spans="1:7">
      <c r="A1838" t="s">
        <v>208</v>
      </c>
      <c r="B1838" t="s">
        <v>643</v>
      </c>
      <c r="C1838" t="s">
        <v>642</v>
      </c>
      <c r="D1838">
        <v>8.5201600000000002E-2</v>
      </c>
      <c r="E1838" t="s">
        <v>443</v>
      </c>
      <c r="F1838" t="s">
        <v>644</v>
      </c>
      <c r="G1838" t="s">
        <v>645</v>
      </c>
    </row>
    <row r="1839" spans="1:7">
      <c r="A1839" t="s">
        <v>208</v>
      </c>
      <c r="B1839" t="s">
        <v>504</v>
      </c>
      <c r="C1839" t="s">
        <v>503</v>
      </c>
      <c r="D1839">
        <v>8.0909900000000007E-2</v>
      </c>
      <c r="E1839" t="s">
        <v>505</v>
      </c>
      <c r="F1839" t="s">
        <v>506</v>
      </c>
      <c r="G1839" t="s">
        <v>507</v>
      </c>
    </row>
    <row r="1840" spans="1:7">
      <c r="A1840" t="s">
        <v>208</v>
      </c>
      <c r="B1840" t="s">
        <v>741</v>
      </c>
      <c r="C1840" t="s">
        <v>740</v>
      </c>
      <c r="D1840">
        <v>8.0001004000000001E-2</v>
      </c>
      <c r="E1840" t="s">
        <v>443</v>
      </c>
      <c r="F1840" t="s">
        <v>742</v>
      </c>
      <c r="G1840" t="s">
        <v>743</v>
      </c>
    </row>
    <row r="1841" spans="1:7">
      <c r="A1841" t="s">
        <v>208</v>
      </c>
      <c r="B1841" t="s">
        <v>862</v>
      </c>
      <c r="C1841" t="s">
        <v>861</v>
      </c>
      <c r="D1841">
        <v>5.6312000000000001E-2</v>
      </c>
      <c r="E1841" t="s">
        <v>576</v>
      </c>
      <c r="F1841" t="s">
        <v>863</v>
      </c>
      <c r="G1841" t="s">
        <v>864</v>
      </c>
    </row>
    <row r="1842" spans="1:7">
      <c r="A1842" t="s">
        <v>208</v>
      </c>
      <c r="B1842" t="s">
        <v>1027</v>
      </c>
      <c r="C1842" t="s">
        <v>1026</v>
      </c>
      <c r="D1842">
        <v>4.9249599999999998E-2</v>
      </c>
      <c r="E1842" t="s">
        <v>1028</v>
      </c>
      <c r="F1842" t="s">
        <v>1029</v>
      </c>
      <c r="G1842" t="s">
        <v>1030</v>
      </c>
    </row>
    <row r="1843" spans="1:7">
      <c r="A1843" t="s">
        <v>208</v>
      </c>
      <c r="B1843" t="s">
        <v>1157</v>
      </c>
      <c r="C1843" t="s">
        <v>1156</v>
      </c>
      <c r="D1843">
        <v>3.7620599999999997E-2</v>
      </c>
      <c r="E1843" t="s">
        <v>754</v>
      </c>
      <c r="F1843" t="s">
        <v>1158</v>
      </c>
      <c r="G1843" t="s">
        <v>1159</v>
      </c>
    </row>
    <row r="1844" spans="1:7">
      <c r="A1844" t="s">
        <v>208</v>
      </c>
      <c r="B1844" t="s">
        <v>791</v>
      </c>
      <c r="C1844" t="s">
        <v>790</v>
      </c>
      <c r="D1844">
        <v>3.6416900000000002E-2</v>
      </c>
      <c r="E1844" t="s">
        <v>792</v>
      </c>
      <c r="F1844" t="s">
        <v>793</v>
      </c>
      <c r="G1844" t="s">
        <v>794</v>
      </c>
    </row>
    <row r="1845" spans="1:7">
      <c r="A1845" t="s">
        <v>208</v>
      </c>
      <c r="B1845" t="s">
        <v>1086</v>
      </c>
      <c r="C1845" t="s">
        <v>1085</v>
      </c>
      <c r="D1845">
        <v>3.6175899999999997E-2</v>
      </c>
      <c r="E1845" t="s">
        <v>505</v>
      </c>
      <c r="F1845" t="s">
        <v>1087</v>
      </c>
      <c r="G1845" t="s">
        <v>1088</v>
      </c>
    </row>
    <row r="1846" spans="1:7">
      <c r="A1846" t="s">
        <v>208</v>
      </c>
      <c r="B1846" t="s">
        <v>820</v>
      </c>
      <c r="C1846" t="s">
        <v>819</v>
      </c>
      <c r="D1846">
        <v>3.0699199999999999E-2</v>
      </c>
      <c r="E1846" t="s">
        <v>821</v>
      </c>
      <c r="F1846" t="s">
        <v>822</v>
      </c>
      <c r="G1846" t="s">
        <v>823</v>
      </c>
    </row>
    <row r="1847" spans="1:7">
      <c r="A1847" t="s">
        <v>208</v>
      </c>
      <c r="B1847" t="s">
        <v>1071</v>
      </c>
      <c r="C1847" t="s">
        <v>1070</v>
      </c>
      <c r="D1847">
        <v>2.8572400000000001E-2</v>
      </c>
      <c r="E1847" t="s">
        <v>489</v>
      </c>
      <c r="F1847" t="s">
        <v>490</v>
      </c>
      <c r="G1847" t="s">
        <v>490</v>
      </c>
    </row>
    <row r="1848" spans="1:7">
      <c r="A1848" t="s">
        <v>210</v>
      </c>
      <c r="B1848" t="s">
        <v>442</v>
      </c>
      <c r="C1848" t="s">
        <v>441</v>
      </c>
      <c r="D1848">
        <v>0.167824</v>
      </c>
      <c r="E1848" t="s">
        <v>443</v>
      </c>
      <c r="F1848" t="s">
        <v>444</v>
      </c>
      <c r="G1848" t="s">
        <v>445</v>
      </c>
    </row>
    <row r="1849" spans="1:7">
      <c r="A1849" t="s">
        <v>210</v>
      </c>
      <c r="B1849" t="s">
        <v>475</v>
      </c>
      <c r="C1849" t="s">
        <v>474</v>
      </c>
      <c r="D1849">
        <v>0.15264301</v>
      </c>
      <c r="E1849" t="s">
        <v>443</v>
      </c>
      <c r="F1849" t="s">
        <v>476</v>
      </c>
      <c r="G1849" t="s">
        <v>477</v>
      </c>
    </row>
    <row r="1850" spans="1:7">
      <c r="A1850" t="s">
        <v>210</v>
      </c>
      <c r="B1850" t="s">
        <v>467</v>
      </c>
      <c r="C1850" t="s">
        <v>466</v>
      </c>
      <c r="D1850">
        <v>9.8749199999999995E-2</v>
      </c>
      <c r="E1850" t="s">
        <v>443</v>
      </c>
      <c r="F1850" t="s">
        <v>468</v>
      </c>
      <c r="G1850" t="s">
        <v>469</v>
      </c>
    </row>
    <row r="1851" spans="1:7">
      <c r="A1851" t="s">
        <v>210</v>
      </c>
      <c r="B1851" t="s">
        <v>455</v>
      </c>
      <c r="C1851" t="s">
        <v>454</v>
      </c>
      <c r="D1851">
        <v>4.4899702E-2</v>
      </c>
      <c r="E1851" t="s">
        <v>443</v>
      </c>
      <c r="F1851" t="s">
        <v>456</v>
      </c>
      <c r="G1851" t="s">
        <v>457</v>
      </c>
    </row>
    <row r="1852" spans="1:7">
      <c r="A1852" t="s">
        <v>210</v>
      </c>
      <c r="B1852" t="s">
        <v>447</v>
      </c>
      <c r="C1852" t="s">
        <v>446</v>
      </c>
      <c r="D1852">
        <v>4.1910500000000003E-2</v>
      </c>
      <c r="E1852" t="s">
        <v>443</v>
      </c>
      <c r="F1852" t="s">
        <v>448</v>
      </c>
      <c r="G1852" t="s">
        <v>449</v>
      </c>
    </row>
    <row r="1853" spans="1:7">
      <c r="A1853" t="s">
        <v>210</v>
      </c>
      <c r="B1853" t="s">
        <v>451</v>
      </c>
      <c r="C1853" t="s">
        <v>450</v>
      </c>
      <c r="D1853">
        <v>3.2013399999999997E-2</v>
      </c>
      <c r="E1853" t="s">
        <v>443</v>
      </c>
      <c r="F1853" t="s">
        <v>452</v>
      </c>
      <c r="G1853" t="s">
        <v>453</v>
      </c>
    </row>
    <row r="1854" spans="1:7">
      <c r="A1854" t="s">
        <v>210</v>
      </c>
      <c r="B1854" t="s">
        <v>471</v>
      </c>
      <c r="C1854" t="s">
        <v>470</v>
      </c>
      <c r="D1854">
        <v>1.9544499999999999E-2</v>
      </c>
      <c r="E1854" t="s">
        <v>443</v>
      </c>
      <c r="F1854" t="s">
        <v>472</v>
      </c>
      <c r="G1854" t="s">
        <v>473</v>
      </c>
    </row>
    <row r="1855" spans="1:7">
      <c r="A1855" t="s">
        <v>210</v>
      </c>
      <c r="B1855" t="s">
        <v>531</v>
      </c>
      <c r="C1855" t="s">
        <v>530</v>
      </c>
      <c r="D1855">
        <v>1.8473400000000001E-2</v>
      </c>
      <c r="E1855" t="s">
        <v>443</v>
      </c>
      <c r="F1855" t="s">
        <v>532</v>
      </c>
      <c r="G1855" t="s">
        <v>533</v>
      </c>
    </row>
    <row r="1856" spans="1:7">
      <c r="A1856" t="s">
        <v>210</v>
      </c>
      <c r="B1856" t="s">
        <v>517</v>
      </c>
      <c r="C1856" t="s">
        <v>516</v>
      </c>
      <c r="D1856">
        <v>1.5549199999999999E-2</v>
      </c>
      <c r="E1856" t="s">
        <v>443</v>
      </c>
      <c r="F1856" t="s">
        <v>518</v>
      </c>
      <c r="G1856" t="s">
        <v>519</v>
      </c>
    </row>
    <row r="1857" spans="1:7">
      <c r="A1857" t="s">
        <v>210</v>
      </c>
      <c r="B1857" t="s">
        <v>521</v>
      </c>
      <c r="C1857" t="s">
        <v>520</v>
      </c>
      <c r="D1857">
        <v>1.4511899999999999E-2</v>
      </c>
      <c r="E1857" t="s">
        <v>505</v>
      </c>
      <c r="F1857" t="s">
        <v>522</v>
      </c>
      <c r="G1857" t="s">
        <v>523</v>
      </c>
    </row>
    <row r="1858" spans="1:7">
      <c r="A1858" t="s">
        <v>211</v>
      </c>
      <c r="B1858" t="s">
        <v>580</v>
      </c>
      <c r="C1858" t="s">
        <v>579</v>
      </c>
      <c r="D1858">
        <v>5.7582202999999998E-2</v>
      </c>
      <c r="E1858" t="s">
        <v>505</v>
      </c>
      <c r="F1858" t="s">
        <v>581</v>
      </c>
      <c r="G1858" t="s">
        <v>582</v>
      </c>
    </row>
    <row r="1859" spans="1:7">
      <c r="A1859" t="s">
        <v>211</v>
      </c>
      <c r="B1859" t="s">
        <v>594</v>
      </c>
      <c r="C1859" t="s">
        <v>593</v>
      </c>
      <c r="D1859">
        <v>4.7797300000000001E-2</v>
      </c>
      <c r="E1859" t="s">
        <v>505</v>
      </c>
      <c r="F1859" t="s">
        <v>595</v>
      </c>
      <c r="G1859" t="s">
        <v>596</v>
      </c>
    </row>
    <row r="1860" spans="1:7">
      <c r="A1860" t="s">
        <v>211</v>
      </c>
      <c r="B1860" t="s">
        <v>559</v>
      </c>
      <c r="C1860" t="s">
        <v>558</v>
      </c>
      <c r="D1860">
        <v>3.6876800000000001E-2</v>
      </c>
      <c r="E1860" t="s">
        <v>505</v>
      </c>
      <c r="F1860" t="s">
        <v>560</v>
      </c>
      <c r="G1860" t="s">
        <v>561</v>
      </c>
    </row>
    <row r="1861" spans="1:7">
      <c r="A1861" t="s">
        <v>211</v>
      </c>
      <c r="B1861" t="s">
        <v>571</v>
      </c>
      <c r="C1861" t="s">
        <v>570</v>
      </c>
      <c r="D1861">
        <v>3.4167200000000002E-2</v>
      </c>
      <c r="E1861" t="s">
        <v>505</v>
      </c>
      <c r="F1861" t="s">
        <v>572</v>
      </c>
      <c r="G1861" t="s">
        <v>573</v>
      </c>
    </row>
    <row r="1862" spans="1:7">
      <c r="A1862" t="s">
        <v>211</v>
      </c>
      <c r="B1862" t="s">
        <v>545</v>
      </c>
      <c r="C1862" t="s">
        <v>544</v>
      </c>
      <c r="D1862">
        <v>2.4383100000000001E-2</v>
      </c>
      <c r="E1862" t="s">
        <v>505</v>
      </c>
      <c r="F1862" t="s">
        <v>546</v>
      </c>
      <c r="G1862" t="s">
        <v>547</v>
      </c>
    </row>
    <row r="1863" spans="1:7">
      <c r="A1863" t="s">
        <v>211</v>
      </c>
      <c r="B1863" t="s">
        <v>612</v>
      </c>
      <c r="C1863" t="s">
        <v>611</v>
      </c>
      <c r="D1863">
        <v>2.1961201E-2</v>
      </c>
      <c r="E1863" t="s">
        <v>613</v>
      </c>
      <c r="F1863" t="s">
        <v>614</v>
      </c>
      <c r="G1863" t="s">
        <v>615</v>
      </c>
    </row>
    <row r="1864" spans="1:7">
      <c r="A1864" t="s">
        <v>211</v>
      </c>
      <c r="B1864" t="s">
        <v>709</v>
      </c>
      <c r="C1864" t="s">
        <v>708</v>
      </c>
      <c r="D1864">
        <v>2.1364500000000002E-2</v>
      </c>
      <c r="E1864" t="s">
        <v>443</v>
      </c>
      <c r="F1864" t="s">
        <v>710</v>
      </c>
      <c r="G1864" t="s">
        <v>711</v>
      </c>
    </row>
    <row r="1865" spans="1:7">
      <c r="A1865" t="s">
        <v>211</v>
      </c>
      <c r="B1865" t="s">
        <v>610</v>
      </c>
      <c r="C1865" t="s">
        <v>609</v>
      </c>
      <c r="D1865">
        <v>1.8900900000000002E-2</v>
      </c>
      <c r="E1865" t="s">
        <v>489</v>
      </c>
      <c r="F1865" t="s">
        <v>490</v>
      </c>
      <c r="G1865" t="s">
        <v>490</v>
      </c>
    </row>
    <row r="1866" spans="1:7">
      <c r="A1866" t="s">
        <v>211</v>
      </c>
      <c r="B1866" t="s">
        <v>675</v>
      </c>
      <c r="C1866" t="s">
        <v>674</v>
      </c>
      <c r="D1866">
        <v>1.8623299999999999E-2</v>
      </c>
      <c r="E1866" t="s">
        <v>505</v>
      </c>
      <c r="F1866" t="s">
        <v>676</v>
      </c>
      <c r="G1866" t="s">
        <v>677</v>
      </c>
    </row>
    <row r="1867" spans="1:7">
      <c r="A1867" t="s">
        <v>211</v>
      </c>
      <c r="B1867" t="s">
        <v>939</v>
      </c>
      <c r="C1867" t="s">
        <v>938</v>
      </c>
      <c r="D1867">
        <v>1.7731E-2</v>
      </c>
      <c r="E1867" t="s">
        <v>489</v>
      </c>
      <c r="F1867" t="s">
        <v>490</v>
      </c>
      <c r="G1867" t="s">
        <v>490</v>
      </c>
    </row>
    <row r="1868" spans="1:7">
      <c r="A1868" t="s">
        <v>212</v>
      </c>
      <c r="B1868" t="s">
        <v>447</v>
      </c>
      <c r="C1868" t="s">
        <v>446</v>
      </c>
      <c r="D1868">
        <v>0.2181408</v>
      </c>
      <c r="E1868" t="s">
        <v>443</v>
      </c>
      <c r="F1868" t="s">
        <v>448</v>
      </c>
      <c r="G1868" t="s">
        <v>449</v>
      </c>
    </row>
    <row r="1869" spans="1:7">
      <c r="A1869" t="s">
        <v>212</v>
      </c>
      <c r="B1869" t="s">
        <v>531</v>
      </c>
      <c r="C1869" t="s">
        <v>530</v>
      </c>
      <c r="D1869">
        <v>4.7065599999999999E-2</v>
      </c>
      <c r="E1869" t="s">
        <v>443</v>
      </c>
      <c r="F1869" t="s">
        <v>532</v>
      </c>
      <c r="G1869" t="s">
        <v>533</v>
      </c>
    </row>
    <row r="1870" spans="1:7">
      <c r="A1870" t="s">
        <v>212</v>
      </c>
      <c r="B1870" t="s">
        <v>1523</v>
      </c>
      <c r="C1870" t="s">
        <v>1522</v>
      </c>
      <c r="D1870">
        <v>3.64289E-2</v>
      </c>
      <c r="E1870" t="s">
        <v>505</v>
      </c>
      <c r="F1870" t="s">
        <v>680</v>
      </c>
      <c r="G1870" t="s">
        <v>1524</v>
      </c>
    </row>
    <row r="1871" spans="1:7">
      <c r="A1871" t="s">
        <v>212</v>
      </c>
      <c r="B1871" t="s">
        <v>1601</v>
      </c>
      <c r="C1871" t="s">
        <v>1600</v>
      </c>
      <c r="D1871">
        <v>2.9550099999999999E-2</v>
      </c>
      <c r="E1871" t="s">
        <v>489</v>
      </c>
      <c r="F1871" t="s">
        <v>490</v>
      </c>
      <c r="G1871" t="s">
        <v>490</v>
      </c>
    </row>
    <row r="1872" spans="1:7">
      <c r="A1872" t="s">
        <v>212</v>
      </c>
      <c r="B1872" t="s">
        <v>2774</v>
      </c>
      <c r="C1872" t="s">
        <v>2773</v>
      </c>
      <c r="D1872">
        <v>2.90622E-2</v>
      </c>
      <c r="E1872" t="s">
        <v>489</v>
      </c>
      <c r="F1872" t="s">
        <v>490</v>
      </c>
      <c r="G1872" t="s">
        <v>490</v>
      </c>
    </row>
    <row r="1873" spans="1:7">
      <c r="A1873" t="s">
        <v>212</v>
      </c>
      <c r="B1873" t="s">
        <v>1623</v>
      </c>
      <c r="C1873" t="s">
        <v>1622</v>
      </c>
      <c r="D1873">
        <v>2.6470398999999999E-2</v>
      </c>
      <c r="E1873" t="s">
        <v>489</v>
      </c>
      <c r="F1873" t="s">
        <v>490</v>
      </c>
      <c r="G1873" t="s">
        <v>490</v>
      </c>
    </row>
    <row r="1874" spans="1:7">
      <c r="A1874" t="s">
        <v>212</v>
      </c>
      <c r="B1874" t="s">
        <v>1597</v>
      </c>
      <c r="C1874" t="s">
        <v>1596</v>
      </c>
      <c r="D1874">
        <v>2.47221E-2</v>
      </c>
      <c r="E1874" t="s">
        <v>505</v>
      </c>
      <c r="F1874" t="s">
        <v>1598</v>
      </c>
      <c r="G1874" t="s">
        <v>1599</v>
      </c>
    </row>
    <row r="1875" spans="1:7">
      <c r="A1875" t="s">
        <v>212</v>
      </c>
      <c r="B1875" t="s">
        <v>496</v>
      </c>
      <c r="C1875" t="s">
        <v>495</v>
      </c>
      <c r="D1875">
        <v>2.35368E-2</v>
      </c>
      <c r="E1875" t="s">
        <v>443</v>
      </c>
      <c r="F1875" t="s">
        <v>497</v>
      </c>
      <c r="G1875" t="s">
        <v>498</v>
      </c>
    </row>
    <row r="1876" spans="1:7">
      <c r="A1876" t="s">
        <v>212</v>
      </c>
      <c r="B1876" t="s">
        <v>1196</v>
      </c>
      <c r="C1876" t="s">
        <v>1195</v>
      </c>
      <c r="D1876">
        <v>1.7959099999999999E-2</v>
      </c>
      <c r="E1876" t="s">
        <v>505</v>
      </c>
      <c r="F1876" t="s">
        <v>1197</v>
      </c>
      <c r="G1876" t="s">
        <v>1198</v>
      </c>
    </row>
    <row r="1877" spans="1:7">
      <c r="A1877" t="s">
        <v>212</v>
      </c>
      <c r="B1877" t="s">
        <v>3082</v>
      </c>
      <c r="C1877" t="s">
        <v>3081</v>
      </c>
      <c r="D1877">
        <v>1.7953899999999998E-2</v>
      </c>
      <c r="E1877" t="s">
        <v>443</v>
      </c>
      <c r="F1877" t="s">
        <v>3083</v>
      </c>
      <c r="G1877" t="s">
        <v>3084</v>
      </c>
    </row>
    <row r="1878" spans="1:7">
      <c r="A1878" t="s">
        <v>213</v>
      </c>
      <c r="B1878" t="s">
        <v>721</v>
      </c>
      <c r="C1878" t="s">
        <v>720</v>
      </c>
      <c r="D1878">
        <v>0.1155682</v>
      </c>
      <c r="E1878" t="s">
        <v>443</v>
      </c>
      <c r="F1878" t="s">
        <v>722</v>
      </c>
      <c r="G1878" t="s">
        <v>723</v>
      </c>
    </row>
    <row r="1879" spans="1:7">
      <c r="A1879" t="s">
        <v>213</v>
      </c>
      <c r="B1879" t="s">
        <v>729</v>
      </c>
      <c r="C1879" t="s">
        <v>728</v>
      </c>
      <c r="D1879">
        <v>0.10767700500000001</v>
      </c>
      <c r="E1879" t="s">
        <v>505</v>
      </c>
      <c r="F1879" t="s">
        <v>730</v>
      </c>
      <c r="G1879" t="s">
        <v>731</v>
      </c>
    </row>
    <row r="1880" spans="1:7">
      <c r="A1880" t="s">
        <v>213</v>
      </c>
      <c r="B1880" t="s">
        <v>958</v>
      </c>
      <c r="C1880" t="s">
        <v>957</v>
      </c>
      <c r="D1880">
        <v>0.1071637</v>
      </c>
      <c r="E1880" t="s">
        <v>505</v>
      </c>
      <c r="F1880" t="s">
        <v>959</v>
      </c>
      <c r="G1880" t="s">
        <v>960</v>
      </c>
    </row>
    <row r="1881" spans="1:7">
      <c r="A1881" t="s">
        <v>213</v>
      </c>
      <c r="B1881" t="s">
        <v>733</v>
      </c>
      <c r="C1881" t="s">
        <v>732</v>
      </c>
      <c r="D1881">
        <v>8.9953400000000003E-2</v>
      </c>
      <c r="E1881" t="s">
        <v>505</v>
      </c>
      <c r="F1881" t="s">
        <v>734</v>
      </c>
      <c r="G1881" t="s">
        <v>735</v>
      </c>
    </row>
    <row r="1882" spans="1:7">
      <c r="A1882" t="s">
        <v>213</v>
      </c>
      <c r="B1882" t="s">
        <v>800</v>
      </c>
      <c r="C1882" t="s">
        <v>799</v>
      </c>
      <c r="D1882">
        <v>5.6487999999999997E-2</v>
      </c>
      <c r="E1882" t="s">
        <v>489</v>
      </c>
      <c r="F1882" t="s">
        <v>490</v>
      </c>
      <c r="G1882" t="s">
        <v>490</v>
      </c>
    </row>
    <row r="1883" spans="1:7">
      <c r="A1883" t="s">
        <v>213</v>
      </c>
      <c r="B1883" t="s">
        <v>782</v>
      </c>
      <c r="C1883" t="s">
        <v>781</v>
      </c>
      <c r="D1883">
        <v>5.3347199999999997E-2</v>
      </c>
      <c r="E1883" t="s">
        <v>783</v>
      </c>
      <c r="F1883" t="s">
        <v>784</v>
      </c>
      <c r="G1883" t="s">
        <v>785</v>
      </c>
    </row>
    <row r="1884" spans="1:7">
      <c r="A1884" t="s">
        <v>213</v>
      </c>
      <c r="B1884" t="s">
        <v>1534</v>
      </c>
      <c r="C1884" t="s">
        <v>1533</v>
      </c>
      <c r="D1884">
        <v>4.7980000000000002E-2</v>
      </c>
      <c r="E1884" t="s">
        <v>845</v>
      </c>
      <c r="F1884" t="s">
        <v>1535</v>
      </c>
      <c r="G1884" t="s">
        <v>1536</v>
      </c>
    </row>
    <row r="1885" spans="1:7">
      <c r="A1885" t="s">
        <v>213</v>
      </c>
      <c r="B1885" t="s">
        <v>2099</v>
      </c>
      <c r="C1885" t="s">
        <v>2098</v>
      </c>
      <c r="D1885">
        <v>4.54245E-2</v>
      </c>
      <c r="E1885" t="s">
        <v>505</v>
      </c>
      <c r="F1885" t="s">
        <v>2100</v>
      </c>
      <c r="G1885" t="s">
        <v>2101</v>
      </c>
    </row>
    <row r="1886" spans="1:7">
      <c r="A1886" t="s">
        <v>213</v>
      </c>
      <c r="B1886" t="s">
        <v>1498</v>
      </c>
      <c r="C1886" t="s">
        <v>1497</v>
      </c>
      <c r="D1886">
        <v>3.9575300000000001E-2</v>
      </c>
      <c r="E1886" t="s">
        <v>1499</v>
      </c>
      <c r="F1886" t="s">
        <v>1500</v>
      </c>
      <c r="G1886" t="s">
        <v>1501</v>
      </c>
    </row>
    <row r="1887" spans="1:7">
      <c r="A1887" t="s">
        <v>213</v>
      </c>
      <c r="B1887" t="s">
        <v>896</v>
      </c>
      <c r="C1887" t="s">
        <v>895</v>
      </c>
      <c r="D1887">
        <v>3.8507E-2</v>
      </c>
      <c r="E1887" t="s">
        <v>489</v>
      </c>
      <c r="F1887" t="s">
        <v>490</v>
      </c>
      <c r="G1887" t="s">
        <v>490</v>
      </c>
    </row>
    <row r="1888" spans="1:7">
      <c r="A1888" t="s">
        <v>214</v>
      </c>
      <c r="B1888" t="s">
        <v>447</v>
      </c>
      <c r="C1888" t="s">
        <v>446</v>
      </c>
      <c r="D1888">
        <v>0.10853740000000001</v>
      </c>
      <c r="E1888" t="s">
        <v>443</v>
      </c>
      <c r="F1888" t="s">
        <v>448</v>
      </c>
      <c r="G1888" t="s">
        <v>449</v>
      </c>
    </row>
    <row r="1889" spans="1:7">
      <c r="A1889" t="s">
        <v>214</v>
      </c>
      <c r="B1889" t="s">
        <v>679</v>
      </c>
      <c r="C1889" t="s">
        <v>678</v>
      </c>
      <c r="D1889">
        <v>9.8951705000000001E-2</v>
      </c>
      <c r="E1889" t="s">
        <v>443</v>
      </c>
      <c r="F1889" t="s">
        <v>680</v>
      </c>
      <c r="G1889" t="s">
        <v>681</v>
      </c>
    </row>
    <row r="1890" spans="1:7">
      <c r="A1890" t="s">
        <v>214</v>
      </c>
      <c r="B1890" t="s">
        <v>451</v>
      </c>
      <c r="C1890" t="s">
        <v>450</v>
      </c>
      <c r="D1890">
        <v>7.3180099999999998E-2</v>
      </c>
      <c r="E1890" t="s">
        <v>443</v>
      </c>
      <c r="F1890" t="s">
        <v>452</v>
      </c>
      <c r="G1890" t="s">
        <v>453</v>
      </c>
    </row>
    <row r="1891" spans="1:7">
      <c r="A1891" t="s">
        <v>214</v>
      </c>
      <c r="B1891" t="s">
        <v>509</v>
      </c>
      <c r="C1891" t="s">
        <v>508</v>
      </c>
      <c r="D1891">
        <v>7.30687E-2</v>
      </c>
      <c r="E1891" t="s">
        <v>443</v>
      </c>
      <c r="F1891" t="s">
        <v>510</v>
      </c>
      <c r="G1891" t="s">
        <v>511</v>
      </c>
    </row>
    <row r="1892" spans="1:7">
      <c r="A1892" t="s">
        <v>214</v>
      </c>
      <c r="B1892" t="s">
        <v>1800</v>
      </c>
      <c r="C1892" t="s">
        <v>1799</v>
      </c>
      <c r="D1892">
        <v>6.23873E-2</v>
      </c>
      <c r="E1892" t="s">
        <v>505</v>
      </c>
      <c r="F1892" t="s">
        <v>1801</v>
      </c>
      <c r="G1892" t="s">
        <v>1802</v>
      </c>
    </row>
    <row r="1893" spans="1:7">
      <c r="A1893" t="s">
        <v>214</v>
      </c>
      <c r="B1893" t="s">
        <v>1810</v>
      </c>
      <c r="C1893" t="s">
        <v>1809</v>
      </c>
      <c r="D1893">
        <v>6.1830502000000002E-2</v>
      </c>
      <c r="E1893" t="s">
        <v>1811</v>
      </c>
      <c r="F1893" t="s">
        <v>1812</v>
      </c>
      <c r="G1893" t="s">
        <v>1813</v>
      </c>
    </row>
    <row r="1894" spans="1:7">
      <c r="A1894" t="s">
        <v>214</v>
      </c>
      <c r="B1894" t="s">
        <v>1953</v>
      </c>
      <c r="C1894" t="s">
        <v>1952</v>
      </c>
      <c r="D1894">
        <v>4.9590804000000002E-2</v>
      </c>
      <c r="E1894" t="s">
        <v>783</v>
      </c>
      <c r="F1894" t="s">
        <v>1954</v>
      </c>
      <c r="G1894" t="s">
        <v>1955</v>
      </c>
    </row>
    <row r="1895" spans="1:7">
      <c r="A1895" t="s">
        <v>214</v>
      </c>
      <c r="B1895" t="s">
        <v>1397</v>
      </c>
      <c r="C1895" t="s">
        <v>1396</v>
      </c>
      <c r="D1895">
        <v>4.1234497000000002E-2</v>
      </c>
      <c r="E1895" t="s">
        <v>443</v>
      </c>
      <c r="F1895" t="s">
        <v>1398</v>
      </c>
      <c r="G1895" t="s">
        <v>1399</v>
      </c>
    </row>
    <row r="1896" spans="1:7">
      <c r="A1896" t="s">
        <v>214</v>
      </c>
      <c r="B1896" t="s">
        <v>525</v>
      </c>
      <c r="C1896" t="s">
        <v>524</v>
      </c>
      <c r="D1896">
        <v>3.3263399999999999E-2</v>
      </c>
      <c r="E1896" t="s">
        <v>443</v>
      </c>
      <c r="F1896" t="s">
        <v>526</v>
      </c>
      <c r="G1896" t="s">
        <v>527</v>
      </c>
    </row>
    <row r="1897" spans="1:7">
      <c r="A1897" t="s">
        <v>214</v>
      </c>
      <c r="B1897" t="s">
        <v>442</v>
      </c>
      <c r="C1897" t="s">
        <v>441</v>
      </c>
      <c r="D1897">
        <v>3.1373400000000003E-2</v>
      </c>
      <c r="E1897" t="s">
        <v>443</v>
      </c>
      <c r="F1897" t="s">
        <v>444</v>
      </c>
      <c r="G1897" t="s">
        <v>445</v>
      </c>
    </row>
    <row r="1898" spans="1:7">
      <c r="A1898" t="s">
        <v>215</v>
      </c>
      <c r="B1898" t="s">
        <v>631</v>
      </c>
      <c r="C1898" t="s">
        <v>630</v>
      </c>
      <c r="D1898">
        <v>9.4432004E-2</v>
      </c>
      <c r="E1898" t="s">
        <v>505</v>
      </c>
      <c r="F1898" t="s">
        <v>632</v>
      </c>
      <c r="G1898" t="s">
        <v>633</v>
      </c>
    </row>
    <row r="1899" spans="1:7">
      <c r="A1899" t="s">
        <v>215</v>
      </c>
      <c r="B1899" t="s">
        <v>513</v>
      </c>
      <c r="C1899" t="s">
        <v>512</v>
      </c>
      <c r="D1899">
        <v>9.3636504999999995E-2</v>
      </c>
      <c r="E1899" t="s">
        <v>443</v>
      </c>
      <c r="F1899" t="s">
        <v>514</v>
      </c>
      <c r="G1899" t="s">
        <v>515</v>
      </c>
    </row>
    <row r="1900" spans="1:7">
      <c r="A1900" t="s">
        <v>215</v>
      </c>
      <c r="B1900" t="s">
        <v>697</v>
      </c>
      <c r="C1900" t="s">
        <v>696</v>
      </c>
      <c r="D1900">
        <v>7.0668704999999998E-2</v>
      </c>
      <c r="E1900" t="s">
        <v>489</v>
      </c>
      <c r="F1900" t="s">
        <v>490</v>
      </c>
      <c r="G1900" t="s">
        <v>490</v>
      </c>
    </row>
    <row r="1901" spans="1:7">
      <c r="A1901" t="s">
        <v>215</v>
      </c>
      <c r="B1901" t="s">
        <v>575</v>
      </c>
      <c r="C1901" t="s">
        <v>574</v>
      </c>
      <c r="D1901">
        <v>6.2758595E-2</v>
      </c>
      <c r="E1901" t="s">
        <v>576</v>
      </c>
      <c r="F1901" t="s">
        <v>577</v>
      </c>
      <c r="G1901" t="s">
        <v>578</v>
      </c>
    </row>
    <row r="1902" spans="1:7">
      <c r="A1902" t="s">
        <v>215</v>
      </c>
      <c r="B1902" t="s">
        <v>647</v>
      </c>
      <c r="C1902" t="s">
        <v>646</v>
      </c>
      <c r="D1902">
        <v>6.0456099999999999E-2</v>
      </c>
      <c r="E1902" t="s">
        <v>443</v>
      </c>
      <c r="F1902" t="s">
        <v>648</v>
      </c>
      <c r="G1902" t="s">
        <v>649</v>
      </c>
    </row>
    <row r="1903" spans="1:7">
      <c r="A1903" t="s">
        <v>215</v>
      </c>
      <c r="B1903" t="s">
        <v>1316</v>
      </c>
      <c r="C1903" t="s">
        <v>1315</v>
      </c>
      <c r="D1903">
        <v>5.9640395999999998E-2</v>
      </c>
      <c r="E1903" t="s">
        <v>576</v>
      </c>
      <c r="F1903" t="s">
        <v>1317</v>
      </c>
      <c r="G1903" t="s">
        <v>1318</v>
      </c>
    </row>
    <row r="1904" spans="1:7">
      <c r="A1904" t="s">
        <v>215</v>
      </c>
      <c r="B1904" t="s">
        <v>758</v>
      </c>
      <c r="C1904" t="s">
        <v>757</v>
      </c>
      <c r="D1904">
        <v>5.8593600000000003E-2</v>
      </c>
      <c r="E1904" t="s">
        <v>505</v>
      </c>
      <c r="F1904" t="s">
        <v>759</v>
      </c>
      <c r="G1904" t="s">
        <v>760</v>
      </c>
    </row>
    <row r="1905" spans="1:7">
      <c r="A1905" t="s">
        <v>215</v>
      </c>
      <c r="B1905" t="s">
        <v>1864</v>
      </c>
      <c r="C1905" t="s">
        <v>1863</v>
      </c>
      <c r="D1905">
        <v>5.6498600000000003E-2</v>
      </c>
      <c r="E1905" t="s">
        <v>1055</v>
      </c>
      <c r="F1905" t="s">
        <v>1865</v>
      </c>
      <c r="G1905" t="s">
        <v>1866</v>
      </c>
    </row>
    <row r="1906" spans="1:7">
      <c r="A1906" t="s">
        <v>215</v>
      </c>
      <c r="B1906" t="s">
        <v>870</v>
      </c>
      <c r="C1906" t="s">
        <v>869</v>
      </c>
      <c r="D1906">
        <v>5.4135299999999997E-2</v>
      </c>
      <c r="E1906" t="s">
        <v>489</v>
      </c>
      <c r="F1906" t="s">
        <v>490</v>
      </c>
      <c r="G1906" t="s">
        <v>490</v>
      </c>
    </row>
    <row r="1907" spans="1:7">
      <c r="A1907" t="s">
        <v>215</v>
      </c>
      <c r="B1907" t="s">
        <v>604</v>
      </c>
      <c r="C1907" t="s">
        <v>603</v>
      </c>
      <c r="D1907">
        <v>5.4066999999999997E-2</v>
      </c>
      <c r="E1907" t="s">
        <v>443</v>
      </c>
      <c r="F1907" t="s">
        <v>605</v>
      </c>
      <c r="G1907" t="s">
        <v>606</v>
      </c>
    </row>
    <row r="1908" spans="1:7">
      <c r="A1908" t="s">
        <v>216</v>
      </c>
      <c r="B1908" t="s">
        <v>500</v>
      </c>
      <c r="C1908" t="s">
        <v>499</v>
      </c>
      <c r="D1908">
        <v>7.7501E-2</v>
      </c>
      <c r="E1908" t="s">
        <v>443</v>
      </c>
      <c r="F1908" t="s">
        <v>501</v>
      </c>
      <c r="G1908" t="s">
        <v>502</v>
      </c>
    </row>
    <row r="1909" spans="1:7">
      <c r="A1909" t="s">
        <v>216</v>
      </c>
      <c r="B1909" t="s">
        <v>535</v>
      </c>
      <c r="C1909" t="s">
        <v>534</v>
      </c>
      <c r="D1909">
        <v>6.8232100000000004E-2</v>
      </c>
      <c r="E1909" t="s">
        <v>443</v>
      </c>
      <c r="F1909" t="s">
        <v>536</v>
      </c>
      <c r="G1909" t="s">
        <v>537</v>
      </c>
    </row>
    <row r="1910" spans="1:7">
      <c r="A1910" t="s">
        <v>216</v>
      </c>
      <c r="B1910" t="s">
        <v>479</v>
      </c>
      <c r="C1910" t="s">
        <v>478</v>
      </c>
      <c r="D1910">
        <v>5.8356499999999999E-2</v>
      </c>
      <c r="E1910" t="s">
        <v>443</v>
      </c>
      <c r="F1910" t="s">
        <v>480</v>
      </c>
      <c r="G1910" t="s">
        <v>481</v>
      </c>
    </row>
    <row r="1911" spans="1:7">
      <c r="A1911" t="s">
        <v>216</v>
      </c>
      <c r="B1911" t="s">
        <v>567</v>
      </c>
      <c r="C1911" t="s">
        <v>566</v>
      </c>
      <c r="D1911">
        <v>5.7534200000000001E-2</v>
      </c>
      <c r="E1911" t="s">
        <v>443</v>
      </c>
      <c r="F1911" t="s">
        <v>568</v>
      </c>
      <c r="G1911" t="s">
        <v>569</v>
      </c>
    </row>
    <row r="1912" spans="1:7">
      <c r="A1912" t="s">
        <v>216</v>
      </c>
      <c r="B1912" t="s">
        <v>917</v>
      </c>
      <c r="C1912" t="s">
        <v>916</v>
      </c>
      <c r="D1912">
        <v>5.6206997000000002E-2</v>
      </c>
      <c r="E1912" t="s">
        <v>489</v>
      </c>
      <c r="F1912" t="s">
        <v>490</v>
      </c>
      <c r="G1912" t="s">
        <v>490</v>
      </c>
    </row>
    <row r="1913" spans="1:7">
      <c r="A1913" t="s">
        <v>216</v>
      </c>
      <c r="B1913" t="s">
        <v>553</v>
      </c>
      <c r="C1913" t="s">
        <v>552</v>
      </c>
      <c r="D1913">
        <v>5.49271E-2</v>
      </c>
      <c r="E1913" t="s">
        <v>443</v>
      </c>
      <c r="F1913" t="s">
        <v>554</v>
      </c>
      <c r="G1913" t="s">
        <v>555</v>
      </c>
    </row>
    <row r="1914" spans="1:7">
      <c r="A1914" t="s">
        <v>216</v>
      </c>
      <c r="B1914" t="s">
        <v>655</v>
      </c>
      <c r="C1914" t="s">
        <v>654</v>
      </c>
      <c r="D1914">
        <v>5.1089401999999999E-2</v>
      </c>
      <c r="E1914" t="s">
        <v>505</v>
      </c>
      <c r="F1914" t="s">
        <v>656</v>
      </c>
      <c r="G1914" t="s">
        <v>657</v>
      </c>
    </row>
    <row r="1915" spans="1:7">
      <c r="A1915" t="s">
        <v>216</v>
      </c>
      <c r="B1915" t="s">
        <v>1095</v>
      </c>
      <c r="C1915" t="s">
        <v>1094</v>
      </c>
      <c r="D1915">
        <v>4.90559E-2</v>
      </c>
      <c r="E1915" t="s">
        <v>489</v>
      </c>
      <c r="F1915" t="s">
        <v>490</v>
      </c>
      <c r="G1915" t="s">
        <v>490</v>
      </c>
    </row>
    <row r="1916" spans="1:7">
      <c r="A1916" t="s">
        <v>216</v>
      </c>
      <c r="B1916" t="s">
        <v>2132</v>
      </c>
      <c r="C1916" t="s">
        <v>2131</v>
      </c>
      <c r="D1916">
        <v>4.4609296999999999E-2</v>
      </c>
      <c r="E1916" t="s">
        <v>443</v>
      </c>
      <c r="F1916" t="s">
        <v>2133</v>
      </c>
      <c r="G1916" t="s">
        <v>2134</v>
      </c>
    </row>
    <row r="1917" spans="1:7">
      <c r="A1917" t="s">
        <v>216</v>
      </c>
      <c r="B1917" t="s">
        <v>1391</v>
      </c>
      <c r="C1917" t="s">
        <v>1390</v>
      </c>
      <c r="D1917">
        <v>4.3108399999999998E-2</v>
      </c>
      <c r="E1917" t="s">
        <v>489</v>
      </c>
      <c r="F1917" t="s">
        <v>490</v>
      </c>
      <c r="G1917" t="s">
        <v>490</v>
      </c>
    </row>
    <row r="1918" spans="1:7">
      <c r="A1918" t="s">
        <v>217</v>
      </c>
      <c r="B1918" t="s">
        <v>880</v>
      </c>
      <c r="C1918" t="s">
        <v>879</v>
      </c>
      <c r="D1918">
        <v>3.1685900000000003E-2</v>
      </c>
      <c r="E1918" t="s">
        <v>505</v>
      </c>
      <c r="F1918" t="s">
        <v>881</v>
      </c>
      <c r="G1918" t="s">
        <v>882</v>
      </c>
    </row>
    <row r="1919" spans="1:7">
      <c r="A1919" t="s">
        <v>217</v>
      </c>
      <c r="B1919" t="s">
        <v>535</v>
      </c>
      <c r="C1919" t="s">
        <v>534</v>
      </c>
      <c r="D1919">
        <v>2.7649902000000001E-2</v>
      </c>
      <c r="E1919" t="s">
        <v>443</v>
      </c>
      <c r="F1919" t="s">
        <v>536</v>
      </c>
      <c r="G1919" t="s">
        <v>537</v>
      </c>
    </row>
    <row r="1920" spans="1:7">
      <c r="A1920" t="s">
        <v>217</v>
      </c>
      <c r="B1920" t="s">
        <v>2821</v>
      </c>
      <c r="C1920" t="s">
        <v>2820</v>
      </c>
      <c r="D1920">
        <v>2.7195497999999999E-2</v>
      </c>
      <c r="E1920" t="s">
        <v>443</v>
      </c>
      <c r="F1920" t="s">
        <v>2822</v>
      </c>
      <c r="G1920" t="s">
        <v>2823</v>
      </c>
    </row>
    <row r="1921" spans="1:7">
      <c r="A1921" t="s">
        <v>217</v>
      </c>
      <c r="B1921" t="s">
        <v>479</v>
      </c>
      <c r="C1921" t="s">
        <v>478</v>
      </c>
      <c r="D1921">
        <v>2.4419400000000001E-2</v>
      </c>
      <c r="E1921" t="s">
        <v>443</v>
      </c>
      <c r="F1921" t="s">
        <v>480</v>
      </c>
      <c r="G1921" t="s">
        <v>481</v>
      </c>
    </row>
    <row r="1922" spans="1:7">
      <c r="A1922" t="s">
        <v>217</v>
      </c>
      <c r="B1922" t="s">
        <v>500</v>
      </c>
      <c r="C1922" t="s">
        <v>499</v>
      </c>
      <c r="D1922">
        <v>2.4324998E-2</v>
      </c>
      <c r="E1922" t="s">
        <v>443</v>
      </c>
      <c r="F1922" t="s">
        <v>501</v>
      </c>
      <c r="G1922" t="s">
        <v>502</v>
      </c>
    </row>
    <row r="1923" spans="1:7">
      <c r="A1923" t="s">
        <v>217</v>
      </c>
      <c r="B1923" t="s">
        <v>1220</v>
      </c>
      <c r="C1923" t="s">
        <v>1219</v>
      </c>
      <c r="D1923">
        <v>2.1764200000000001E-2</v>
      </c>
      <c r="E1923" t="s">
        <v>489</v>
      </c>
      <c r="F1923" t="s">
        <v>490</v>
      </c>
      <c r="G1923" t="s">
        <v>490</v>
      </c>
    </row>
    <row r="1924" spans="1:7">
      <c r="A1924" t="s">
        <v>217</v>
      </c>
      <c r="B1924" t="s">
        <v>553</v>
      </c>
      <c r="C1924" t="s">
        <v>552</v>
      </c>
      <c r="D1924">
        <v>2.1428599999999999E-2</v>
      </c>
      <c r="E1924" t="s">
        <v>443</v>
      </c>
      <c r="F1924" t="s">
        <v>554</v>
      </c>
      <c r="G1924" t="s">
        <v>555</v>
      </c>
    </row>
    <row r="1925" spans="1:7">
      <c r="A1925" t="s">
        <v>217</v>
      </c>
      <c r="B1925" t="s">
        <v>655</v>
      </c>
      <c r="C1925" t="s">
        <v>654</v>
      </c>
      <c r="D1925">
        <v>2.0261399999999999E-2</v>
      </c>
      <c r="E1925" t="s">
        <v>505</v>
      </c>
      <c r="F1925" t="s">
        <v>656</v>
      </c>
      <c r="G1925" t="s">
        <v>657</v>
      </c>
    </row>
    <row r="1926" spans="1:7">
      <c r="A1926" t="s">
        <v>217</v>
      </c>
      <c r="B1926" t="s">
        <v>3042</v>
      </c>
      <c r="C1926" t="s">
        <v>3041</v>
      </c>
      <c r="D1926">
        <v>1.9506699999999998E-2</v>
      </c>
      <c r="E1926" t="s">
        <v>505</v>
      </c>
      <c r="F1926" t="s">
        <v>3043</v>
      </c>
      <c r="G1926" t="s">
        <v>3044</v>
      </c>
    </row>
    <row r="1927" spans="1:7">
      <c r="A1927" t="s">
        <v>217</v>
      </c>
      <c r="B1927" t="s">
        <v>3050</v>
      </c>
      <c r="C1927" t="s">
        <v>3049</v>
      </c>
      <c r="D1927">
        <v>1.9232900000000001E-2</v>
      </c>
      <c r="E1927" t="s">
        <v>443</v>
      </c>
      <c r="F1927" t="s">
        <v>3051</v>
      </c>
      <c r="G1927" t="s">
        <v>3052</v>
      </c>
    </row>
    <row r="1928" spans="1:7">
      <c r="A1928" t="s">
        <v>218</v>
      </c>
      <c r="B1928" t="s">
        <v>1324</v>
      </c>
      <c r="C1928" t="s">
        <v>1323</v>
      </c>
      <c r="D1928">
        <v>7.1249000000000007E-2</v>
      </c>
      <c r="E1928" t="s">
        <v>484</v>
      </c>
      <c r="F1928" t="s">
        <v>1325</v>
      </c>
      <c r="G1928" t="s">
        <v>1326</v>
      </c>
    </row>
    <row r="1929" spans="1:7">
      <c r="A1929" t="s">
        <v>218</v>
      </c>
      <c r="B1929" t="s">
        <v>1746</v>
      </c>
      <c r="C1929" t="s">
        <v>1745</v>
      </c>
      <c r="D1929">
        <v>7.0997500000000005E-2</v>
      </c>
      <c r="E1929" t="s">
        <v>954</v>
      </c>
      <c r="F1929" t="s">
        <v>1747</v>
      </c>
      <c r="G1929" t="s">
        <v>1748</v>
      </c>
    </row>
    <row r="1930" spans="1:7">
      <c r="A1930" t="s">
        <v>218</v>
      </c>
      <c r="B1930" t="s">
        <v>1750</v>
      </c>
      <c r="C1930" t="s">
        <v>1749</v>
      </c>
      <c r="D1930">
        <v>6.9886900000000002E-2</v>
      </c>
      <c r="E1930" t="s">
        <v>1269</v>
      </c>
      <c r="F1930" t="s">
        <v>1751</v>
      </c>
      <c r="G1930" t="s">
        <v>1752</v>
      </c>
    </row>
    <row r="1931" spans="1:7">
      <c r="A1931" t="s">
        <v>218</v>
      </c>
      <c r="B1931" t="s">
        <v>949</v>
      </c>
      <c r="C1931" t="s">
        <v>948</v>
      </c>
      <c r="D1931">
        <v>6.8226499999999995E-2</v>
      </c>
      <c r="E1931" t="s">
        <v>484</v>
      </c>
      <c r="F1931" t="s">
        <v>950</v>
      </c>
      <c r="G1931" t="s">
        <v>951</v>
      </c>
    </row>
    <row r="1932" spans="1:7">
      <c r="A1932" t="s">
        <v>218</v>
      </c>
      <c r="B1932" t="s">
        <v>1237</v>
      </c>
      <c r="C1932" t="s">
        <v>1236</v>
      </c>
      <c r="D1932">
        <v>6.4879800000000001E-2</v>
      </c>
      <c r="E1932" t="s">
        <v>484</v>
      </c>
      <c r="F1932" t="s">
        <v>1238</v>
      </c>
      <c r="G1932" t="s">
        <v>1239</v>
      </c>
    </row>
    <row r="1933" spans="1:7">
      <c r="A1933" t="s">
        <v>218</v>
      </c>
      <c r="B1933" t="s">
        <v>1387</v>
      </c>
      <c r="C1933" t="s">
        <v>1386</v>
      </c>
      <c r="D1933">
        <v>5.1394299999999997E-2</v>
      </c>
      <c r="E1933" t="s">
        <v>484</v>
      </c>
      <c r="F1933" t="s">
        <v>1388</v>
      </c>
      <c r="G1933" t="s">
        <v>1389</v>
      </c>
    </row>
    <row r="1934" spans="1:7">
      <c r="A1934" t="s">
        <v>218</v>
      </c>
      <c r="B1934" t="s">
        <v>2043</v>
      </c>
      <c r="C1934" t="s">
        <v>2042</v>
      </c>
      <c r="D1934">
        <v>4.6314201999999999E-2</v>
      </c>
      <c r="E1934" t="s">
        <v>489</v>
      </c>
      <c r="F1934" t="s">
        <v>490</v>
      </c>
      <c r="G1934" t="s">
        <v>490</v>
      </c>
    </row>
    <row r="1935" spans="1:7">
      <c r="A1935" t="s">
        <v>218</v>
      </c>
      <c r="B1935" t="s">
        <v>1345</v>
      </c>
      <c r="C1935" t="s">
        <v>1344</v>
      </c>
      <c r="D1935">
        <v>4.4615697000000003E-2</v>
      </c>
      <c r="E1935" t="s">
        <v>484</v>
      </c>
      <c r="F1935" t="s">
        <v>1346</v>
      </c>
      <c r="G1935" t="s">
        <v>1347</v>
      </c>
    </row>
    <row r="1936" spans="1:7">
      <c r="A1936" t="s">
        <v>218</v>
      </c>
      <c r="B1936" t="s">
        <v>2213</v>
      </c>
      <c r="C1936" t="s">
        <v>2212</v>
      </c>
      <c r="D1936">
        <v>4.2938299999999999E-2</v>
      </c>
      <c r="E1936" t="s">
        <v>1055</v>
      </c>
      <c r="F1936" t="s">
        <v>2214</v>
      </c>
      <c r="G1936" t="s">
        <v>2215</v>
      </c>
    </row>
    <row r="1937" spans="1:7">
      <c r="A1937" t="s">
        <v>218</v>
      </c>
      <c r="B1937" t="s">
        <v>2259</v>
      </c>
      <c r="C1937" t="s">
        <v>2258</v>
      </c>
      <c r="D1937">
        <v>4.2033701999999999E-2</v>
      </c>
      <c r="E1937" t="s">
        <v>1055</v>
      </c>
      <c r="F1937" t="s">
        <v>2260</v>
      </c>
      <c r="G1937" t="s">
        <v>2261</v>
      </c>
    </row>
    <row r="1938" spans="1:7">
      <c r="A1938" t="s">
        <v>220</v>
      </c>
      <c r="B1938" t="s">
        <v>545</v>
      </c>
      <c r="C1938" t="s">
        <v>544</v>
      </c>
      <c r="D1938">
        <v>5.2798299999999999E-2</v>
      </c>
      <c r="E1938" t="s">
        <v>505</v>
      </c>
      <c r="F1938" t="s">
        <v>546</v>
      </c>
      <c r="G1938" t="s">
        <v>547</v>
      </c>
    </row>
    <row r="1939" spans="1:7">
      <c r="A1939" t="s">
        <v>220</v>
      </c>
      <c r="B1939" t="s">
        <v>693</v>
      </c>
      <c r="C1939" t="s">
        <v>692</v>
      </c>
      <c r="D1939">
        <v>5.1932100000000002E-2</v>
      </c>
      <c r="E1939" t="s">
        <v>505</v>
      </c>
      <c r="F1939" t="s">
        <v>694</v>
      </c>
      <c r="G1939" t="s">
        <v>695</v>
      </c>
    </row>
    <row r="1940" spans="1:7">
      <c r="A1940" t="s">
        <v>220</v>
      </c>
      <c r="B1940" t="s">
        <v>525</v>
      </c>
      <c r="C1940" t="s">
        <v>524</v>
      </c>
      <c r="D1940">
        <v>5.1504099999999997E-2</v>
      </c>
      <c r="E1940" t="s">
        <v>443</v>
      </c>
      <c r="F1940" t="s">
        <v>526</v>
      </c>
      <c r="G1940" t="s">
        <v>527</v>
      </c>
    </row>
    <row r="1941" spans="1:7">
      <c r="A1941" t="s">
        <v>220</v>
      </c>
      <c r="B1941" t="s">
        <v>571</v>
      </c>
      <c r="C1941" t="s">
        <v>570</v>
      </c>
      <c r="D1941">
        <v>5.1073096999999998E-2</v>
      </c>
      <c r="E1941" t="s">
        <v>505</v>
      </c>
      <c r="F1941" t="s">
        <v>572</v>
      </c>
      <c r="G1941" t="s">
        <v>573</v>
      </c>
    </row>
    <row r="1942" spans="1:7">
      <c r="A1942" t="s">
        <v>220</v>
      </c>
      <c r="B1942" t="s">
        <v>866</v>
      </c>
      <c r="C1942" t="s">
        <v>865</v>
      </c>
      <c r="D1942">
        <v>5.08587E-2</v>
      </c>
      <c r="E1942" t="s">
        <v>754</v>
      </c>
      <c r="F1942" t="s">
        <v>867</v>
      </c>
      <c r="G1942" t="s">
        <v>868</v>
      </c>
    </row>
    <row r="1943" spans="1:7">
      <c r="A1943" t="s">
        <v>220</v>
      </c>
      <c r="B1943" t="s">
        <v>987</v>
      </c>
      <c r="C1943" t="s">
        <v>986</v>
      </c>
      <c r="D1943">
        <v>5.0160700000000003E-2</v>
      </c>
      <c r="E1943" t="s">
        <v>826</v>
      </c>
      <c r="F1943" t="s">
        <v>988</v>
      </c>
      <c r="G1943" t="s">
        <v>989</v>
      </c>
    </row>
    <row r="1944" spans="1:7">
      <c r="A1944" t="s">
        <v>220</v>
      </c>
      <c r="B1944" t="s">
        <v>749</v>
      </c>
      <c r="C1944" t="s">
        <v>748</v>
      </c>
      <c r="D1944">
        <v>4.9824800000000002E-2</v>
      </c>
      <c r="E1944" t="s">
        <v>505</v>
      </c>
      <c r="F1944" t="s">
        <v>750</v>
      </c>
      <c r="G1944" t="s">
        <v>751</v>
      </c>
    </row>
    <row r="1945" spans="1:7">
      <c r="A1945" t="s">
        <v>220</v>
      </c>
      <c r="B1945" t="s">
        <v>563</v>
      </c>
      <c r="C1945" t="s">
        <v>562</v>
      </c>
      <c r="D1945">
        <v>4.9796600000000003E-2</v>
      </c>
      <c r="E1945" t="s">
        <v>505</v>
      </c>
      <c r="F1945" t="s">
        <v>564</v>
      </c>
      <c r="G1945" t="s">
        <v>565</v>
      </c>
    </row>
    <row r="1946" spans="1:7">
      <c r="A1946" t="s">
        <v>220</v>
      </c>
      <c r="B1946" t="s">
        <v>745</v>
      </c>
      <c r="C1946" t="s">
        <v>744</v>
      </c>
      <c r="D1946">
        <v>3.9656299999999998E-2</v>
      </c>
      <c r="E1946" t="s">
        <v>505</v>
      </c>
      <c r="F1946" t="s">
        <v>746</v>
      </c>
      <c r="G1946" t="s">
        <v>747</v>
      </c>
    </row>
    <row r="1947" spans="1:7">
      <c r="A1947" t="s">
        <v>220</v>
      </c>
      <c r="B1947" t="s">
        <v>1117</v>
      </c>
      <c r="C1947" t="s">
        <v>1116</v>
      </c>
      <c r="D1947">
        <v>3.66603E-2</v>
      </c>
      <c r="E1947" t="s">
        <v>1118</v>
      </c>
      <c r="F1947" t="s">
        <v>1119</v>
      </c>
      <c r="G1947" t="s">
        <v>1120</v>
      </c>
    </row>
    <row r="1948" spans="1:7">
      <c r="A1948" t="s">
        <v>222</v>
      </c>
      <c r="B1948" t="s">
        <v>451</v>
      </c>
      <c r="C1948" t="s">
        <v>450</v>
      </c>
      <c r="D1948">
        <v>8.9138300000000004E-2</v>
      </c>
      <c r="E1948" t="s">
        <v>443</v>
      </c>
      <c r="F1948" t="s">
        <v>452</v>
      </c>
      <c r="G1948" t="s">
        <v>453</v>
      </c>
    </row>
    <row r="1949" spans="1:7">
      <c r="A1949" t="s">
        <v>222</v>
      </c>
      <c r="B1949" t="s">
        <v>1758</v>
      </c>
      <c r="C1949" t="s">
        <v>1757</v>
      </c>
      <c r="D1949">
        <v>6.8611099999999994E-2</v>
      </c>
      <c r="E1949" t="s">
        <v>792</v>
      </c>
      <c r="F1949" t="s">
        <v>1759</v>
      </c>
      <c r="G1949" t="s">
        <v>1760</v>
      </c>
    </row>
    <row r="1950" spans="1:7">
      <c r="A1950" t="s">
        <v>222</v>
      </c>
      <c r="B1950" t="s">
        <v>1948</v>
      </c>
      <c r="C1950" t="s">
        <v>1947</v>
      </c>
      <c r="D1950">
        <v>4.9677800000000001E-2</v>
      </c>
      <c r="E1950" t="s">
        <v>1949</v>
      </c>
      <c r="F1950" t="s">
        <v>1950</v>
      </c>
      <c r="G1950" t="s">
        <v>1951</v>
      </c>
    </row>
    <row r="1951" spans="1:7">
      <c r="A1951" t="s">
        <v>222</v>
      </c>
      <c r="B1951" t="s">
        <v>1985</v>
      </c>
      <c r="C1951" t="s">
        <v>1984</v>
      </c>
      <c r="D1951">
        <v>4.8351100000000001E-2</v>
      </c>
      <c r="E1951" t="s">
        <v>1055</v>
      </c>
      <c r="F1951" t="s">
        <v>1986</v>
      </c>
      <c r="G1951" t="s">
        <v>1987</v>
      </c>
    </row>
    <row r="1952" spans="1:7">
      <c r="A1952" t="s">
        <v>222</v>
      </c>
      <c r="B1952" t="s">
        <v>608</v>
      </c>
      <c r="C1952" t="s">
        <v>607</v>
      </c>
      <c r="D1952">
        <v>4.5429999999999998E-2</v>
      </c>
      <c r="E1952" t="s">
        <v>489</v>
      </c>
      <c r="F1952" t="s">
        <v>490</v>
      </c>
      <c r="G1952" t="s">
        <v>490</v>
      </c>
    </row>
    <row r="1953" spans="1:7">
      <c r="A1953" t="s">
        <v>222</v>
      </c>
      <c r="B1953" t="s">
        <v>442</v>
      </c>
      <c r="C1953" t="s">
        <v>441</v>
      </c>
      <c r="D1953">
        <v>4.3574399999999999E-2</v>
      </c>
      <c r="E1953" t="s">
        <v>443</v>
      </c>
      <c r="F1953" t="s">
        <v>444</v>
      </c>
      <c r="G1953" t="s">
        <v>445</v>
      </c>
    </row>
    <row r="1954" spans="1:7">
      <c r="A1954" t="s">
        <v>222</v>
      </c>
      <c r="B1954" t="s">
        <v>2330</v>
      </c>
      <c r="C1954" t="s">
        <v>2329</v>
      </c>
      <c r="D1954">
        <v>4.0879595999999997E-2</v>
      </c>
      <c r="E1954" t="s">
        <v>489</v>
      </c>
      <c r="F1954" t="s">
        <v>490</v>
      </c>
      <c r="G1954" t="s">
        <v>490</v>
      </c>
    </row>
    <row r="1955" spans="1:7">
      <c r="A1955" t="s">
        <v>222</v>
      </c>
      <c r="B1955" t="s">
        <v>1585</v>
      </c>
      <c r="C1955" t="s">
        <v>1584</v>
      </c>
      <c r="D1955">
        <v>4.0669200000000003E-2</v>
      </c>
      <c r="E1955" t="s">
        <v>505</v>
      </c>
      <c r="F1955" t="s">
        <v>1586</v>
      </c>
      <c r="G1955" t="s">
        <v>1587</v>
      </c>
    </row>
    <row r="1956" spans="1:7">
      <c r="A1956" t="s">
        <v>222</v>
      </c>
      <c r="B1956" t="s">
        <v>525</v>
      </c>
      <c r="C1956" t="s">
        <v>524</v>
      </c>
      <c r="D1956">
        <v>3.7436700000000003E-2</v>
      </c>
      <c r="E1956" t="s">
        <v>443</v>
      </c>
      <c r="F1956" t="s">
        <v>526</v>
      </c>
      <c r="G1956" t="s">
        <v>527</v>
      </c>
    </row>
    <row r="1957" spans="1:7">
      <c r="A1957" t="s">
        <v>222</v>
      </c>
      <c r="B1957" t="s">
        <v>455</v>
      </c>
      <c r="C1957" t="s">
        <v>454</v>
      </c>
      <c r="D1957">
        <v>3.67252E-2</v>
      </c>
      <c r="E1957" t="s">
        <v>443</v>
      </c>
      <c r="F1957" t="s">
        <v>456</v>
      </c>
      <c r="G1957" t="s">
        <v>457</v>
      </c>
    </row>
    <row r="1958" spans="1:7">
      <c r="A1958" t="s">
        <v>223</v>
      </c>
      <c r="B1958" t="s">
        <v>447</v>
      </c>
      <c r="C1958" t="s">
        <v>446</v>
      </c>
      <c r="D1958">
        <v>4.6953099999999998E-2</v>
      </c>
      <c r="E1958" t="s">
        <v>443</v>
      </c>
      <c r="F1958" t="s">
        <v>448</v>
      </c>
      <c r="G1958" t="s">
        <v>449</v>
      </c>
    </row>
    <row r="1959" spans="1:7">
      <c r="A1959" t="s">
        <v>223</v>
      </c>
      <c r="B1959" t="s">
        <v>627</v>
      </c>
      <c r="C1959" t="s">
        <v>626</v>
      </c>
      <c r="D1959">
        <v>4.5508300000000002E-2</v>
      </c>
      <c r="E1959" t="s">
        <v>484</v>
      </c>
      <c r="F1959" t="s">
        <v>628</v>
      </c>
      <c r="G1959" t="s">
        <v>629</v>
      </c>
    </row>
    <row r="1960" spans="1:7">
      <c r="A1960" t="s">
        <v>223</v>
      </c>
      <c r="B1960" t="s">
        <v>442</v>
      </c>
      <c r="C1960" t="s">
        <v>441</v>
      </c>
      <c r="D1960">
        <v>4.23165E-2</v>
      </c>
      <c r="E1960" t="s">
        <v>443</v>
      </c>
      <c r="F1960" t="s">
        <v>444</v>
      </c>
      <c r="G1960" t="s">
        <v>445</v>
      </c>
    </row>
    <row r="1961" spans="1:7">
      <c r="A1961" t="s">
        <v>223</v>
      </c>
      <c r="B1961" t="s">
        <v>459</v>
      </c>
      <c r="C1961" t="s">
        <v>458</v>
      </c>
      <c r="D1961">
        <v>4.0371098000000001E-2</v>
      </c>
      <c r="E1961" t="s">
        <v>443</v>
      </c>
      <c r="F1961" t="s">
        <v>460</v>
      </c>
      <c r="G1961" t="s">
        <v>461</v>
      </c>
    </row>
    <row r="1962" spans="1:7">
      <c r="A1962" t="s">
        <v>223</v>
      </c>
      <c r="B1962" t="s">
        <v>463</v>
      </c>
      <c r="C1962" t="s">
        <v>462</v>
      </c>
      <c r="D1962">
        <v>3.5602500000000002E-2</v>
      </c>
      <c r="E1962" t="s">
        <v>443</v>
      </c>
      <c r="F1962" t="s">
        <v>464</v>
      </c>
      <c r="G1962" t="s">
        <v>465</v>
      </c>
    </row>
    <row r="1963" spans="1:7">
      <c r="A1963" t="s">
        <v>223</v>
      </c>
      <c r="B1963" t="s">
        <v>492</v>
      </c>
      <c r="C1963" t="s">
        <v>491</v>
      </c>
      <c r="D1963">
        <v>3.3839800000000003E-2</v>
      </c>
      <c r="E1963" t="s">
        <v>443</v>
      </c>
      <c r="F1963" t="s">
        <v>493</v>
      </c>
      <c r="G1963" t="s">
        <v>494</v>
      </c>
    </row>
    <row r="1964" spans="1:7">
      <c r="A1964" t="s">
        <v>223</v>
      </c>
      <c r="B1964" t="s">
        <v>455</v>
      </c>
      <c r="C1964" t="s">
        <v>454</v>
      </c>
      <c r="D1964">
        <v>3.3620999999999998E-2</v>
      </c>
      <c r="E1964" t="s">
        <v>443</v>
      </c>
      <c r="F1964" t="s">
        <v>456</v>
      </c>
      <c r="G1964" t="s">
        <v>457</v>
      </c>
    </row>
    <row r="1965" spans="1:7">
      <c r="A1965" t="s">
        <v>223</v>
      </c>
      <c r="B1965" t="s">
        <v>521</v>
      </c>
      <c r="C1965" t="s">
        <v>520</v>
      </c>
      <c r="D1965">
        <v>3.2483897999999997E-2</v>
      </c>
      <c r="E1965" t="s">
        <v>505</v>
      </c>
      <c r="F1965" t="s">
        <v>522</v>
      </c>
      <c r="G1965" t="s">
        <v>523</v>
      </c>
    </row>
    <row r="1966" spans="1:7">
      <c r="A1966" t="s">
        <v>223</v>
      </c>
      <c r="B1966" t="s">
        <v>898</v>
      </c>
      <c r="C1966" t="s">
        <v>897</v>
      </c>
      <c r="D1966">
        <v>3.1901199999999998E-2</v>
      </c>
      <c r="E1966" t="s">
        <v>489</v>
      </c>
      <c r="F1966" t="s">
        <v>490</v>
      </c>
      <c r="G1966" t="s">
        <v>490</v>
      </c>
    </row>
    <row r="1967" spans="1:7">
      <c r="A1967" t="s">
        <v>223</v>
      </c>
      <c r="B1967" t="s">
        <v>1369</v>
      </c>
      <c r="C1967" t="s">
        <v>1368</v>
      </c>
      <c r="D1967">
        <v>3.1830203000000001E-2</v>
      </c>
      <c r="E1967" t="s">
        <v>1055</v>
      </c>
      <c r="F1967" t="s">
        <v>1370</v>
      </c>
      <c r="G1967" t="s">
        <v>1371</v>
      </c>
    </row>
    <row r="1968" spans="1:7">
      <c r="A1968" t="s">
        <v>224</v>
      </c>
      <c r="B1968" t="s">
        <v>627</v>
      </c>
      <c r="C1968" t="s">
        <v>626</v>
      </c>
      <c r="D1968">
        <v>7.1943304999999999E-2</v>
      </c>
      <c r="E1968" t="s">
        <v>484</v>
      </c>
      <c r="F1968" t="s">
        <v>628</v>
      </c>
      <c r="G1968" t="s">
        <v>629</v>
      </c>
    </row>
    <row r="1969" spans="1:7">
      <c r="A1969" t="s">
        <v>224</v>
      </c>
      <c r="B1969" t="s">
        <v>447</v>
      </c>
      <c r="C1969" t="s">
        <v>446</v>
      </c>
      <c r="D1969">
        <v>5.8891199999999998E-2</v>
      </c>
      <c r="E1969" t="s">
        <v>443</v>
      </c>
      <c r="F1969" t="s">
        <v>448</v>
      </c>
      <c r="G1969" t="s">
        <v>449</v>
      </c>
    </row>
    <row r="1970" spans="1:7">
      <c r="A1970" t="s">
        <v>224</v>
      </c>
      <c r="B1970" t="s">
        <v>483</v>
      </c>
      <c r="C1970" t="s">
        <v>482</v>
      </c>
      <c r="D1970">
        <v>5.2736603E-2</v>
      </c>
      <c r="E1970" t="s">
        <v>484</v>
      </c>
      <c r="F1970" t="s">
        <v>485</v>
      </c>
      <c r="G1970" t="s">
        <v>486</v>
      </c>
    </row>
    <row r="1971" spans="1:7">
      <c r="A1971" t="s">
        <v>224</v>
      </c>
      <c r="B1971" t="s">
        <v>471</v>
      </c>
      <c r="C1971" t="s">
        <v>470</v>
      </c>
      <c r="D1971">
        <v>4.9599499999999998E-2</v>
      </c>
      <c r="E1971" t="s">
        <v>443</v>
      </c>
      <c r="F1971" t="s">
        <v>472</v>
      </c>
      <c r="G1971" t="s">
        <v>473</v>
      </c>
    </row>
    <row r="1972" spans="1:7">
      <c r="A1972" t="s">
        <v>224</v>
      </c>
      <c r="B1972" t="s">
        <v>463</v>
      </c>
      <c r="C1972" t="s">
        <v>462</v>
      </c>
      <c r="D1972">
        <v>4.9505199999999999E-2</v>
      </c>
      <c r="E1972" t="s">
        <v>443</v>
      </c>
      <c r="F1972" t="s">
        <v>464</v>
      </c>
      <c r="G1972" t="s">
        <v>465</v>
      </c>
    </row>
    <row r="1973" spans="1:7">
      <c r="A1973" t="s">
        <v>224</v>
      </c>
      <c r="B1973" t="s">
        <v>459</v>
      </c>
      <c r="C1973" t="s">
        <v>458</v>
      </c>
      <c r="D1973">
        <v>4.63118E-2</v>
      </c>
      <c r="E1973" t="s">
        <v>443</v>
      </c>
      <c r="F1973" t="s">
        <v>460</v>
      </c>
      <c r="G1973" t="s">
        <v>461</v>
      </c>
    </row>
    <row r="1974" spans="1:7">
      <c r="A1974" t="s">
        <v>224</v>
      </c>
      <c r="B1974" t="s">
        <v>442</v>
      </c>
      <c r="C1974" t="s">
        <v>441</v>
      </c>
      <c r="D1974">
        <v>4.3155600000000002E-2</v>
      </c>
      <c r="E1974" t="s">
        <v>443</v>
      </c>
      <c r="F1974" t="s">
        <v>444</v>
      </c>
      <c r="G1974" t="s">
        <v>445</v>
      </c>
    </row>
    <row r="1975" spans="1:7">
      <c r="A1975" t="s">
        <v>224</v>
      </c>
      <c r="B1975" t="s">
        <v>475</v>
      </c>
      <c r="C1975" t="s">
        <v>474</v>
      </c>
      <c r="D1975">
        <v>4.0191203000000002E-2</v>
      </c>
      <c r="E1975" t="s">
        <v>443</v>
      </c>
      <c r="F1975" t="s">
        <v>476</v>
      </c>
      <c r="G1975" t="s">
        <v>477</v>
      </c>
    </row>
    <row r="1976" spans="1:7">
      <c r="A1976" t="s">
        <v>224</v>
      </c>
      <c r="B1976" t="s">
        <v>1196</v>
      </c>
      <c r="C1976" t="s">
        <v>1195</v>
      </c>
      <c r="D1976">
        <v>3.91525E-2</v>
      </c>
      <c r="E1976" t="s">
        <v>505</v>
      </c>
      <c r="F1976" t="s">
        <v>1197</v>
      </c>
      <c r="G1976" t="s">
        <v>1198</v>
      </c>
    </row>
    <row r="1977" spans="1:7">
      <c r="A1977" t="s">
        <v>224</v>
      </c>
      <c r="B1977" t="s">
        <v>531</v>
      </c>
      <c r="C1977" t="s">
        <v>530</v>
      </c>
      <c r="D1977">
        <v>3.8410300000000001E-2</v>
      </c>
      <c r="E1977" t="s">
        <v>443</v>
      </c>
      <c r="F1977" t="s">
        <v>532</v>
      </c>
      <c r="G1977" t="s">
        <v>533</v>
      </c>
    </row>
    <row r="1978" spans="1:7">
      <c r="A1978" t="s">
        <v>225</v>
      </c>
      <c r="B1978" t="s">
        <v>513</v>
      </c>
      <c r="C1978" t="s">
        <v>512</v>
      </c>
      <c r="D1978">
        <v>5.83124E-2</v>
      </c>
      <c r="E1978" t="s">
        <v>443</v>
      </c>
      <c r="F1978" t="s">
        <v>514</v>
      </c>
      <c r="G1978" t="s">
        <v>515</v>
      </c>
    </row>
    <row r="1979" spans="1:7">
      <c r="A1979" t="s">
        <v>225</v>
      </c>
      <c r="B1979" t="s">
        <v>1101</v>
      </c>
      <c r="C1979" t="s">
        <v>1100</v>
      </c>
      <c r="D1979">
        <v>3.3605200000000002E-2</v>
      </c>
      <c r="E1979" t="s">
        <v>505</v>
      </c>
      <c r="F1979" t="s">
        <v>1102</v>
      </c>
      <c r="G1979" t="s">
        <v>1103</v>
      </c>
    </row>
    <row r="1980" spans="1:7">
      <c r="A1980" t="s">
        <v>225</v>
      </c>
      <c r="B1980" t="s">
        <v>1479</v>
      </c>
      <c r="C1980" t="s">
        <v>1478</v>
      </c>
      <c r="D1980">
        <v>3.3186199999999999E-2</v>
      </c>
      <c r="E1980" t="s">
        <v>505</v>
      </c>
      <c r="F1980" t="s">
        <v>1480</v>
      </c>
      <c r="G1980" t="s">
        <v>1481</v>
      </c>
    </row>
    <row r="1981" spans="1:7">
      <c r="A1981" t="s">
        <v>225</v>
      </c>
      <c r="B1981" t="s">
        <v>1063</v>
      </c>
      <c r="C1981" t="s">
        <v>1062</v>
      </c>
      <c r="D1981">
        <v>3.2530900000000001E-2</v>
      </c>
      <c r="E1981" t="s">
        <v>505</v>
      </c>
      <c r="F1981" t="s">
        <v>1064</v>
      </c>
      <c r="G1981" t="s">
        <v>1065</v>
      </c>
    </row>
    <row r="1982" spans="1:7">
      <c r="A1982" t="s">
        <v>225</v>
      </c>
      <c r="B1982" t="s">
        <v>575</v>
      </c>
      <c r="C1982" t="s">
        <v>574</v>
      </c>
      <c r="D1982">
        <v>3.1954802999999997E-2</v>
      </c>
      <c r="E1982" t="s">
        <v>576</v>
      </c>
      <c r="F1982" t="s">
        <v>577</v>
      </c>
      <c r="G1982" t="s">
        <v>578</v>
      </c>
    </row>
    <row r="1983" spans="1:7">
      <c r="A1983" t="s">
        <v>225</v>
      </c>
      <c r="B1983" t="s">
        <v>545</v>
      </c>
      <c r="C1983" t="s">
        <v>544</v>
      </c>
      <c r="D1983">
        <v>3.1574499999999998E-2</v>
      </c>
      <c r="E1983" t="s">
        <v>505</v>
      </c>
      <c r="F1983" t="s">
        <v>546</v>
      </c>
      <c r="G1983" t="s">
        <v>547</v>
      </c>
    </row>
    <row r="1984" spans="1:7">
      <c r="A1984" t="s">
        <v>225</v>
      </c>
      <c r="B1984" t="s">
        <v>1017</v>
      </c>
      <c r="C1984" t="s">
        <v>1016</v>
      </c>
      <c r="D1984">
        <v>3.15695E-2</v>
      </c>
      <c r="E1984" t="s">
        <v>505</v>
      </c>
      <c r="F1984" t="s">
        <v>1018</v>
      </c>
      <c r="G1984" t="s">
        <v>1019</v>
      </c>
    </row>
    <row r="1985" spans="1:7">
      <c r="A1985" t="s">
        <v>225</v>
      </c>
      <c r="B1985" t="s">
        <v>1488</v>
      </c>
      <c r="C1985" t="s">
        <v>1487</v>
      </c>
      <c r="D1985">
        <v>3.1028699999999999E-2</v>
      </c>
      <c r="E1985" t="s">
        <v>505</v>
      </c>
      <c r="F1985" t="s">
        <v>1489</v>
      </c>
      <c r="G1985" t="s">
        <v>1490</v>
      </c>
    </row>
    <row r="1986" spans="1:7">
      <c r="A1986" t="s">
        <v>225</v>
      </c>
      <c r="B1986" t="s">
        <v>1179</v>
      </c>
      <c r="C1986" t="s">
        <v>1178</v>
      </c>
      <c r="D1986">
        <v>3.0973998999999999E-2</v>
      </c>
      <c r="E1986" t="s">
        <v>505</v>
      </c>
      <c r="F1986" t="s">
        <v>1180</v>
      </c>
      <c r="G1986" t="s">
        <v>1181</v>
      </c>
    </row>
    <row r="1987" spans="1:7">
      <c r="A1987" t="s">
        <v>225</v>
      </c>
      <c r="B1987" t="s">
        <v>1150</v>
      </c>
      <c r="C1987" t="s">
        <v>1149</v>
      </c>
      <c r="D1987">
        <v>3.0796198E-2</v>
      </c>
      <c r="E1987" t="s">
        <v>505</v>
      </c>
      <c r="F1987" t="s">
        <v>1151</v>
      </c>
      <c r="G1987" t="s">
        <v>1152</v>
      </c>
    </row>
    <row r="1988" spans="1:7">
      <c r="A1988" t="s">
        <v>226</v>
      </c>
      <c r="B1988" t="s">
        <v>463</v>
      </c>
      <c r="C1988" t="s">
        <v>462</v>
      </c>
      <c r="D1988">
        <v>9.8337300000000002E-2</v>
      </c>
      <c r="E1988" t="s">
        <v>443</v>
      </c>
      <c r="F1988" t="s">
        <v>464</v>
      </c>
      <c r="G1988" t="s">
        <v>465</v>
      </c>
    </row>
    <row r="1989" spans="1:7">
      <c r="A1989" t="s">
        <v>226</v>
      </c>
      <c r="B1989" t="s">
        <v>600</v>
      </c>
      <c r="C1989" t="s">
        <v>599</v>
      </c>
      <c r="D1989">
        <v>9.46491E-2</v>
      </c>
      <c r="E1989" t="s">
        <v>505</v>
      </c>
      <c r="F1989" t="s">
        <v>601</v>
      </c>
      <c r="G1989" t="s">
        <v>602</v>
      </c>
    </row>
    <row r="1990" spans="1:7">
      <c r="A1990" t="s">
        <v>226</v>
      </c>
      <c r="B1990" t="s">
        <v>492</v>
      </c>
      <c r="C1990" t="s">
        <v>491</v>
      </c>
      <c r="D1990">
        <v>6.8355600000000002E-2</v>
      </c>
      <c r="E1990" t="s">
        <v>443</v>
      </c>
      <c r="F1990" t="s">
        <v>493</v>
      </c>
      <c r="G1990" t="s">
        <v>494</v>
      </c>
    </row>
    <row r="1991" spans="1:7">
      <c r="A1991" t="s">
        <v>226</v>
      </c>
      <c r="B1991" t="s">
        <v>467</v>
      </c>
      <c r="C1991" t="s">
        <v>466</v>
      </c>
      <c r="D1991">
        <v>5.8780196999999999E-2</v>
      </c>
      <c r="E1991" t="s">
        <v>443</v>
      </c>
      <c r="F1991" t="s">
        <v>468</v>
      </c>
      <c r="G1991" t="s">
        <v>469</v>
      </c>
    </row>
    <row r="1992" spans="1:7">
      <c r="A1992" t="s">
        <v>226</v>
      </c>
      <c r="B1992" t="s">
        <v>892</v>
      </c>
      <c r="C1992" t="s">
        <v>891</v>
      </c>
      <c r="D1992">
        <v>5.6545199999999997E-2</v>
      </c>
      <c r="E1992" t="s">
        <v>443</v>
      </c>
      <c r="F1992" t="s">
        <v>893</v>
      </c>
      <c r="G1992" t="s">
        <v>894</v>
      </c>
    </row>
    <row r="1993" spans="1:7">
      <c r="A1993" t="s">
        <v>226</v>
      </c>
      <c r="B1993" t="s">
        <v>521</v>
      </c>
      <c r="C1993" t="s">
        <v>520</v>
      </c>
      <c r="D1993">
        <v>3.8474802000000002E-2</v>
      </c>
      <c r="E1993" t="s">
        <v>505</v>
      </c>
      <c r="F1993" t="s">
        <v>522</v>
      </c>
      <c r="G1993" t="s">
        <v>523</v>
      </c>
    </row>
    <row r="1994" spans="1:7">
      <c r="A1994" t="s">
        <v>226</v>
      </c>
      <c r="B1994" t="s">
        <v>479</v>
      </c>
      <c r="C1994" t="s">
        <v>478</v>
      </c>
      <c r="D1994">
        <v>3.5479999999999998E-2</v>
      </c>
      <c r="E1994" t="s">
        <v>443</v>
      </c>
      <c r="F1994" t="s">
        <v>480</v>
      </c>
      <c r="G1994" t="s">
        <v>481</v>
      </c>
    </row>
    <row r="1995" spans="1:7">
      <c r="A1995" t="s">
        <v>226</v>
      </c>
      <c r="B1995" t="s">
        <v>608</v>
      </c>
      <c r="C1995" t="s">
        <v>607</v>
      </c>
      <c r="D1995">
        <v>3.4537999999999999E-2</v>
      </c>
      <c r="E1995" t="s">
        <v>489</v>
      </c>
      <c r="F1995" t="s">
        <v>490</v>
      </c>
      <c r="G1995" t="s">
        <v>490</v>
      </c>
    </row>
    <row r="1996" spans="1:7">
      <c r="A1996" t="s">
        <v>226</v>
      </c>
      <c r="B1996" t="s">
        <v>500</v>
      </c>
      <c r="C1996" t="s">
        <v>499</v>
      </c>
      <c r="D1996">
        <v>3.0255101999999999E-2</v>
      </c>
      <c r="E1996" t="s">
        <v>443</v>
      </c>
      <c r="F1996" t="s">
        <v>501</v>
      </c>
      <c r="G1996" t="s">
        <v>502</v>
      </c>
    </row>
    <row r="1997" spans="1:7">
      <c r="A1997" t="s">
        <v>226</v>
      </c>
      <c r="B1997" t="s">
        <v>816</v>
      </c>
      <c r="C1997" t="s">
        <v>815</v>
      </c>
      <c r="D1997">
        <v>2.6849201E-2</v>
      </c>
      <c r="E1997" t="s">
        <v>505</v>
      </c>
      <c r="F1997" t="s">
        <v>817</v>
      </c>
      <c r="G1997" t="s">
        <v>818</v>
      </c>
    </row>
    <row r="1998" spans="1:7">
      <c r="A1998" t="s">
        <v>227</v>
      </c>
      <c r="B1998" t="s">
        <v>1277</v>
      </c>
      <c r="C1998" t="s">
        <v>1276</v>
      </c>
      <c r="D1998">
        <v>8.6686200000000005E-2</v>
      </c>
      <c r="E1998" t="s">
        <v>1278</v>
      </c>
      <c r="F1998" t="s">
        <v>1279</v>
      </c>
      <c r="G1998" t="s">
        <v>1280</v>
      </c>
    </row>
    <row r="1999" spans="1:7">
      <c r="A1999" t="s">
        <v>227</v>
      </c>
      <c r="B1999" t="s">
        <v>753</v>
      </c>
      <c r="C1999" t="s">
        <v>752</v>
      </c>
      <c r="D1999">
        <v>8.6219699999999996E-2</v>
      </c>
      <c r="E1999" t="s">
        <v>754</v>
      </c>
      <c r="F1999" t="s">
        <v>755</v>
      </c>
      <c r="G1999" t="s">
        <v>756</v>
      </c>
    </row>
    <row r="2000" spans="1:7">
      <c r="A2000" t="s">
        <v>227</v>
      </c>
      <c r="B2000" t="s">
        <v>1301</v>
      </c>
      <c r="C2000" t="s">
        <v>1300</v>
      </c>
      <c r="D2000">
        <v>8.23903E-2</v>
      </c>
      <c r="E2000" t="s">
        <v>489</v>
      </c>
      <c r="F2000" t="s">
        <v>490</v>
      </c>
      <c r="G2000" t="s">
        <v>490</v>
      </c>
    </row>
    <row r="2001" spans="1:7">
      <c r="A2001" t="s">
        <v>227</v>
      </c>
      <c r="B2001" t="s">
        <v>866</v>
      </c>
      <c r="C2001" t="s">
        <v>865</v>
      </c>
      <c r="D2001">
        <v>7.2816099999999995E-2</v>
      </c>
      <c r="E2001" t="s">
        <v>754</v>
      </c>
      <c r="F2001" t="s">
        <v>867</v>
      </c>
      <c r="G2001" t="s">
        <v>868</v>
      </c>
    </row>
    <row r="2002" spans="1:7">
      <c r="A2002" t="s">
        <v>227</v>
      </c>
      <c r="B2002" t="s">
        <v>987</v>
      </c>
      <c r="C2002" t="s">
        <v>986</v>
      </c>
      <c r="D2002">
        <v>6.9325300000000006E-2</v>
      </c>
      <c r="E2002" t="s">
        <v>826</v>
      </c>
      <c r="F2002" t="s">
        <v>988</v>
      </c>
      <c r="G2002" t="s">
        <v>989</v>
      </c>
    </row>
    <row r="2003" spans="1:7">
      <c r="A2003" t="s">
        <v>227</v>
      </c>
      <c r="B2003" t="s">
        <v>2026</v>
      </c>
      <c r="C2003" t="s">
        <v>2025</v>
      </c>
      <c r="D2003">
        <v>4.6934999999999998E-2</v>
      </c>
      <c r="E2003" t="s">
        <v>1264</v>
      </c>
      <c r="F2003" t="s">
        <v>2027</v>
      </c>
      <c r="G2003" t="s">
        <v>2028</v>
      </c>
    </row>
    <row r="2004" spans="1:7">
      <c r="A2004" t="s">
        <v>227</v>
      </c>
      <c r="B2004" t="s">
        <v>1117</v>
      </c>
      <c r="C2004" t="s">
        <v>1116</v>
      </c>
      <c r="D2004">
        <v>4.3900099999999997E-2</v>
      </c>
      <c r="E2004" t="s">
        <v>1118</v>
      </c>
      <c r="F2004" t="s">
        <v>1119</v>
      </c>
      <c r="G2004" t="s">
        <v>1120</v>
      </c>
    </row>
    <row r="2005" spans="1:7">
      <c r="A2005" t="s">
        <v>227</v>
      </c>
      <c r="B2005" t="s">
        <v>2225</v>
      </c>
      <c r="C2005" t="s">
        <v>2224</v>
      </c>
      <c r="D2005">
        <v>4.2773699999999998E-2</v>
      </c>
      <c r="E2005" t="s">
        <v>826</v>
      </c>
      <c r="F2005" t="s">
        <v>2226</v>
      </c>
      <c r="G2005" t="s">
        <v>2227</v>
      </c>
    </row>
    <row r="2006" spans="1:7">
      <c r="A2006" t="s">
        <v>227</v>
      </c>
      <c r="B2006" t="s">
        <v>2229</v>
      </c>
      <c r="C2006" t="s">
        <v>2228</v>
      </c>
      <c r="D2006">
        <v>4.2716999999999998E-2</v>
      </c>
      <c r="E2006" t="s">
        <v>754</v>
      </c>
      <c r="F2006" t="s">
        <v>2230</v>
      </c>
      <c r="G2006" t="s">
        <v>2231</v>
      </c>
    </row>
    <row r="2007" spans="1:7">
      <c r="A2007" t="s">
        <v>227</v>
      </c>
      <c r="B2007" t="s">
        <v>1438</v>
      </c>
      <c r="C2007" t="s">
        <v>1437</v>
      </c>
      <c r="D2007">
        <v>3.9708E-2</v>
      </c>
      <c r="E2007" t="s">
        <v>1439</v>
      </c>
      <c r="F2007" t="s">
        <v>1440</v>
      </c>
      <c r="G2007" t="s">
        <v>1441</v>
      </c>
    </row>
    <row r="2008" spans="1:7">
      <c r="A2008" t="s">
        <v>228</v>
      </c>
      <c r="B2008" t="s">
        <v>622</v>
      </c>
      <c r="C2008" t="s">
        <v>621</v>
      </c>
      <c r="D2008">
        <v>0.14145450000000001</v>
      </c>
      <c r="E2008" t="s">
        <v>623</v>
      </c>
      <c r="F2008" t="s">
        <v>624</v>
      </c>
      <c r="G2008" t="s">
        <v>625</v>
      </c>
    </row>
    <row r="2009" spans="1:7">
      <c r="A2009" t="s">
        <v>228</v>
      </c>
      <c r="B2009" t="s">
        <v>737</v>
      </c>
      <c r="C2009" t="s">
        <v>736</v>
      </c>
      <c r="D2009">
        <v>7.2940199999999997E-2</v>
      </c>
      <c r="E2009" t="s">
        <v>505</v>
      </c>
      <c r="F2009" t="s">
        <v>738</v>
      </c>
      <c r="G2009" t="s">
        <v>739</v>
      </c>
    </row>
    <row r="2010" spans="1:7">
      <c r="A2010" t="s">
        <v>228</v>
      </c>
      <c r="B2010" t="s">
        <v>663</v>
      </c>
      <c r="C2010" t="s">
        <v>662</v>
      </c>
      <c r="D2010">
        <v>6.3476703999999995E-2</v>
      </c>
      <c r="E2010" t="s">
        <v>505</v>
      </c>
      <c r="F2010" t="s">
        <v>664</v>
      </c>
      <c r="G2010" t="s">
        <v>665</v>
      </c>
    </row>
    <row r="2011" spans="1:7">
      <c r="A2011" t="s">
        <v>228</v>
      </c>
      <c r="B2011" t="s">
        <v>549</v>
      </c>
      <c r="C2011" t="s">
        <v>548</v>
      </c>
      <c r="D2011">
        <v>5.7482499999999999E-2</v>
      </c>
      <c r="E2011" t="s">
        <v>505</v>
      </c>
      <c r="F2011" t="s">
        <v>550</v>
      </c>
      <c r="G2011" t="s">
        <v>551</v>
      </c>
    </row>
    <row r="2012" spans="1:7">
      <c r="A2012" t="s">
        <v>228</v>
      </c>
      <c r="B2012" t="s">
        <v>814</v>
      </c>
      <c r="C2012" t="s">
        <v>813</v>
      </c>
      <c r="D2012">
        <v>4.5789099999999999E-2</v>
      </c>
      <c r="E2012" t="s">
        <v>489</v>
      </c>
      <c r="F2012" t="s">
        <v>490</v>
      </c>
      <c r="G2012" t="s">
        <v>490</v>
      </c>
    </row>
    <row r="2013" spans="1:7">
      <c r="A2013" t="s">
        <v>228</v>
      </c>
      <c r="B2013" t="s">
        <v>667</v>
      </c>
      <c r="C2013" t="s">
        <v>666</v>
      </c>
      <c r="D2013">
        <v>4.5630999999999998E-2</v>
      </c>
      <c r="E2013" t="s">
        <v>613</v>
      </c>
      <c r="F2013" t="s">
        <v>668</v>
      </c>
      <c r="G2013" t="s">
        <v>669</v>
      </c>
    </row>
    <row r="2014" spans="1:7">
      <c r="A2014" t="s">
        <v>228</v>
      </c>
      <c r="B2014" t="s">
        <v>810</v>
      </c>
      <c r="C2014" t="s">
        <v>809</v>
      </c>
      <c r="D2014">
        <v>4.3769304000000002E-2</v>
      </c>
      <c r="E2014" t="s">
        <v>505</v>
      </c>
      <c r="F2014" t="s">
        <v>811</v>
      </c>
      <c r="G2014" t="s">
        <v>812</v>
      </c>
    </row>
    <row r="2015" spans="1:7">
      <c r="A2015" t="s">
        <v>228</v>
      </c>
      <c r="B2015" t="s">
        <v>703</v>
      </c>
      <c r="C2015" t="s">
        <v>702</v>
      </c>
      <c r="D2015">
        <v>4.3741700000000001E-2</v>
      </c>
      <c r="E2015" t="s">
        <v>489</v>
      </c>
      <c r="F2015" t="s">
        <v>490</v>
      </c>
      <c r="G2015" t="s">
        <v>490</v>
      </c>
    </row>
    <row r="2016" spans="1:7">
      <c r="A2016" t="s">
        <v>228</v>
      </c>
      <c r="B2016" t="s">
        <v>921</v>
      </c>
      <c r="C2016" t="s">
        <v>920</v>
      </c>
      <c r="D2016">
        <v>4.3428300000000003E-2</v>
      </c>
      <c r="E2016" t="s">
        <v>505</v>
      </c>
      <c r="F2016" t="s">
        <v>922</v>
      </c>
      <c r="G2016" t="s">
        <v>923</v>
      </c>
    </row>
    <row r="2017" spans="1:7">
      <c r="A2017" t="s">
        <v>228</v>
      </c>
      <c r="B2017" t="s">
        <v>1093</v>
      </c>
      <c r="C2017" t="s">
        <v>1092</v>
      </c>
      <c r="D2017">
        <v>4.2637300000000003E-2</v>
      </c>
      <c r="E2017" t="s">
        <v>489</v>
      </c>
      <c r="F2017" t="s">
        <v>490</v>
      </c>
      <c r="G2017" t="s">
        <v>490</v>
      </c>
    </row>
    <row r="2018" spans="1:7">
      <c r="A2018" t="s">
        <v>229</v>
      </c>
      <c r="B2018" t="s">
        <v>580</v>
      </c>
      <c r="C2018" t="s">
        <v>579</v>
      </c>
      <c r="D2018">
        <v>7.5508094999999997E-2</v>
      </c>
      <c r="E2018" t="s">
        <v>505</v>
      </c>
      <c r="F2018" t="s">
        <v>581</v>
      </c>
      <c r="G2018" t="s">
        <v>582</v>
      </c>
    </row>
    <row r="2019" spans="1:7">
      <c r="A2019" t="s">
        <v>229</v>
      </c>
      <c r="B2019" t="s">
        <v>594</v>
      </c>
      <c r="C2019" t="s">
        <v>593</v>
      </c>
      <c r="D2019">
        <v>6.2916299999999994E-2</v>
      </c>
      <c r="E2019" t="s">
        <v>505</v>
      </c>
      <c r="F2019" t="s">
        <v>595</v>
      </c>
      <c r="G2019" t="s">
        <v>596</v>
      </c>
    </row>
    <row r="2020" spans="1:7">
      <c r="A2020" t="s">
        <v>229</v>
      </c>
      <c r="B2020" t="s">
        <v>559</v>
      </c>
      <c r="C2020" t="s">
        <v>558</v>
      </c>
      <c r="D2020">
        <v>4.8357400000000002E-2</v>
      </c>
      <c r="E2020" t="s">
        <v>505</v>
      </c>
      <c r="F2020" t="s">
        <v>560</v>
      </c>
      <c r="G2020" t="s">
        <v>561</v>
      </c>
    </row>
    <row r="2021" spans="1:7">
      <c r="A2021" t="s">
        <v>229</v>
      </c>
      <c r="B2021" t="s">
        <v>571</v>
      </c>
      <c r="C2021" t="s">
        <v>570</v>
      </c>
      <c r="D2021">
        <v>4.4684302000000002E-2</v>
      </c>
      <c r="E2021" t="s">
        <v>505</v>
      </c>
      <c r="F2021" t="s">
        <v>572</v>
      </c>
      <c r="G2021" t="s">
        <v>573</v>
      </c>
    </row>
    <row r="2022" spans="1:7">
      <c r="A2022" t="s">
        <v>229</v>
      </c>
      <c r="B2022" t="s">
        <v>545</v>
      </c>
      <c r="C2022" t="s">
        <v>544</v>
      </c>
      <c r="D2022">
        <v>3.36288E-2</v>
      </c>
      <c r="E2022" t="s">
        <v>505</v>
      </c>
      <c r="F2022" t="s">
        <v>546</v>
      </c>
      <c r="G2022" t="s">
        <v>547</v>
      </c>
    </row>
    <row r="2023" spans="1:7">
      <c r="A2023" t="s">
        <v>229</v>
      </c>
      <c r="B2023" t="s">
        <v>610</v>
      </c>
      <c r="C2023" t="s">
        <v>609</v>
      </c>
      <c r="D2023">
        <v>2.88718E-2</v>
      </c>
      <c r="E2023" t="s">
        <v>489</v>
      </c>
      <c r="F2023" t="s">
        <v>490</v>
      </c>
      <c r="G2023" t="s">
        <v>490</v>
      </c>
    </row>
    <row r="2024" spans="1:7">
      <c r="A2024" t="s">
        <v>229</v>
      </c>
      <c r="B2024" t="s">
        <v>612</v>
      </c>
      <c r="C2024" t="s">
        <v>611</v>
      </c>
      <c r="D2024">
        <v>2.8825099E-2</v>
      </c>
      <c r="E2024" t="s">
        <v>613</v>
      </c>
      <c r="F2024" t="s">
        <v>614</v>
      </c>
      <c r="G2024" t="s">
        <v>615</v>
      </c>
    </row>
    <row r="2025" spans="1:7">
      <c r="A2025" t="s">
        <v>229</v>
      </c>
      <c r="B2025" t="s">
        <v>709</v>
      </c>
      <c r="C2025" t="s">
        <v>708</v>
      </c>
      <c r="D2025">
        <v>2.79767E-2</v>
      </c>
      <c r="E2025" t="s">
        <v>443</v>
      </c>
      <c r="F2025" t="s">
        <v>710</v>
      </c>
      <c r="G2025" t="s">
        <v>711</v>
      </c>
    </row>
    <row r="2026" spans="1:7">
      <c r="A2026" t="s">
        <v>229</v>
      </c>
      <c r="B2026" t="s">
        <v>939</v>
      </c>
      <c r="C2026" t="s">
        <v>938</v>
      </c>
      <c r="D2026">
        <v>2.6841499000000001E-2</v>
      </c>
      <c r="E2026" t="s">
        <v>489</v>
      </c>
      <c r="F2026" t="s">
        <v>490</v>
      </c>
      <c r="G2026" t="s">
        <v>490</v>
      </c>
    </row>
    <row r="2027" spans="1:7">
      <c r="A2027" t="s">
        <v>229</v>
      </c>
      <c r="B2027" t="s">
        <v>675</v>
      </c>
      <c r="C2027" t="s">
        <v>674</v>
      </c>
      <c r="D2027">
        <v>2.5321E-2</v>
      </c>
      <c r="E2027" t="s">
        <v>505</v>
      </c>
      <c r="F2027" t="s">
        <v>676</v>
      </c>
      <c r="G2027" t="s">
        <v>677</v>
      </c>
    </row>
    <row r="2028" spans="1:7">
      <c r="A2028" t="s">
        <v>230</v>
      </c>
      <c r="B2028" t="s">
        <v>442</v>
      </c>
      <c r="C2028" t="s">
        <v>441</v>
      </c>
      <c r="D2028">
        <v>0.13068569999999999</v>
      </c>
      <c r="E2028" t="s">
        <v>443</v>
      </c>
      <c r="F2028" t="s">
        <v>444</v>
      </c>
      <c r="G2028" t="s">
        <v>445</v>
      </c>
    </row>
    <row r="2029" spans="1:7">
      <c r="A2029" t="s">
        <v>230</v>
      </c>
      <c r="B2029" t="s">
        <v>475</v>
      </c>
      <c r="C2029" t="s">
        <v>474</v>
      </c>
      <c r="D2029">
        <v>0.116694205</v>
      </c>
      <c r="E2029" t="s">
        <v>443</v>
      </c>
      <c r="F2029" t="s">
        <v>476</v>
      </c>
      <c r="G2029" t="s">
        <v>477</v>
      </c>
    </row>
    <row r="2030" spans="1:7">
      <c r="A2030" t="s">
        <v>230</v>
      </c>
      <c r="B2030" t="s">
        <v>467</v>
      </c>
      <c r="C2030" t="s">
        <v>466</v>
      </c>
      <c r="D2030">
        <v>8.5158700000000004E-2</v>
      </c>
      <c r="E2030" t="s">
        <v>443</v>
      </c>
      <c r="F2030" t="s">
        <v>468</v>
      </c>
      <c r="G2030" t="s">
        <v>469</v>
      </c>
    </row>
    <row r="2031" spans="1:7">
      <c r="A2031" t="s">
        <v>230</v>
      </c>
      <c r="B2031" t="s">
        <v>447</v>
      </c>
      <c r="C2031" t="s">
        <v>446</v>
      </c>
      <c r="D2031">
        <v>6.7799999999999999E-2</v>
      </c>
      <c r="E2031" t="s">
        <v>443</v>
      </c>
      <c r="F2031" t="s">
        <v>448</v>
      </c>
      <c r="G2031" t="s">
        <v>449</v>
      </c>
    </row>
    <row r="2032" spans="1:7">
      <c r="A2032" t="s">
        <v>230</v>
      </c>
      <c r="B2032" t="s">
        <v>455</v>
      </c>
      <c r="C2032" t="s">
        <v>454</v>
      </c>
      <c r="D2032">
        <v>5.3954802000000003E-2</v>
      </c>
      <c r="E2032" t="s">
        <v>443</v>
      </c>
      <c r="F2032" t="s">
        <v>456</v>
      </c>
      <c r="G2032" t="s">
        <v>457</v>
      </c>
    </row>
    <row r="2033" spans="1:7">
      <c r="A2033" t="s">
        <v>230</v>
      </c>
      <c r="B2033" t="s">
        <v>451</v>
      </c>
      <c r="C2033" t="s">
        <v>450</v>
      </c>
      <c r="D2033">
        <v>5.2202499999999999E-2</v>
      </c>
      <c r="E2033" t="s">
        <v>443</v>
      </c>
      <c r="F2033" t="s">
        <v>452</v>
      </c>
      <c r="G2033" t="s">
        <v>453</v>
      </c>
    </row>
    <row r="2034" spans="1:7">
      <c r="A2034" t="s">
        <v>230</v>
      </c>
      <c r="B2034" t="s">
        <v>471</v>
      </c>
      <c r="C2034" t="s">
        <v>470</v>
      </c>
      <c r="D2034">
        <v>3.3404900000000001E-2</v>
      </c>
      <c r="E2034" t="s">
        <v>443</v>
      </c>
      <c r="F2034" t="s">
        <v>472</v>
      </c>
      <c r="G2034" t="s">
        <v>473</v>
      </c>
    </row>
    <row r="2035" spans="1:7">
      <c r="A2035" t="s">
        <v>230</v>
      </c>
      <c r="B2035" t="s">
        <v>531</v>
      </c>
      <c r="C2035" t="s">
        <v>530</v>
      </c>
      <c r="D2035">
        <v>2.95173E-2</v>
      </c>
      <c r="E2035" t="s">
        <v>443</v>
      </c>
      <c r="F2035" t="s">
        <v>532</v>
      </c>
      <c r="G2035" t="s">
        <v>533</v>
      </c>
    </row>
    <row r="2036" spans="1:7">
      <c r="A2036" t="s">
        <v>230</v>
      </c>
      <c r="B2036" t="s">
        <v>517</v>
      </c>
      <c r="C2036" t="s">
        <v>516</v>
      </c>
      <c r="D2036">
        <v>2.4650099000000002E-2</v>
      </c>
      <c r="E2036" t="s">
        <v>443</v>
      </c>
      <c r="F2036" t="s">
        <v>518</v>
      </c>
      <c r="G2036" t="s">
        <v>519</v>
      </c>
    </row>
    <row r="2037" spans="1:7">
      <c r="A2037" t="s">
        <v>230</v>
      </c>
      <c r="B2037" t="s">
        <v>521</v>
      </c>
      <c r="C2037" t="s">
        <v>520</v>
      </c>
      <c r="D2037">
        <v>2.3751899999999999E-2</v>
      </c>
      <c r="E2037" t="s">
        <v>505</v>
      </c>
      <c r="F2037" t="s">
        <v>522</v>
      </c>
      <c r="G2037" t="s">
        <v>523</v>
      </c>
    </row>
    <row r="2038" spans="1:7">
      <c r="A2038" t="s">
        <v>231</v>
      </c>
      <c r="B2038" t="s">
        <v>1255</v>
      </c>
      <c r="C2038" t="s">
        <v>1254</v>
      </c>
      <c r="D2038">
        <v>6.2386397000000003E-2</v>
      </c>
      <c r="E2038" t="s">
        <v>443</v>
      </c>
      <c r="F2038" t="s">
        <v>1256</v>
      </c>
      <c r="G2038" t="s">
        <v>1257</v>
      </c>
    </row>
    <row r="2039" spans="1:7">
      <c r="A2039" t="s">
        <v>231</v>
      </c>
      <c r="B2039" t="s">
        <v>679</v>
      </c>
      <c r="C2039" t="s">
        <v>678</v>
      </c>
      <c r="D2039">
        <v>4.0918499999999997E-2</v>
      </c>
      <c r="E2039" t="s">
        <v>443</v>
      </c>
      <c r="F2039" t="s">
        <v>680</v>
      </c>
      <c r="G2039" t="s">
        <v>681</v>
      </c>
    </row>
    <row r="2040" spans="1:7">
      <c r="A2040" t="s">
        <v>231</v>
      </c>
      <c r="B2040" t="s">
        <v>451</v>
      </c>
      <c r="C2040" t="s">
        <v>450</v>
      </c>
      <c r="D2040">
        <v>3.7413299999999997E-2</v>
      </c>
      <c r="E2040" t="s">
        <v>443</v>
      </c>
      <c r="F2040" t="s">
        <v>452</v>
      </c>
      <c r="G2040" t="s">
        <v>453</v>
      </c>
    </row>
    <row r="2041" spans="1:7">
      <c r="A2041" t="s">
        <v>231</v>
      </c>
      <c r="B2041" t="s">
        <v>1183</v>
      </c>
      <c r="C2041" t="s">
        <v>1182</v>
      </c>
      <c r="D2041">
        <v>3.6193700000000002E-2</v>
      </c>
      <c r="E2041" t="s">
        <v>576</v>
      </c>
      <c r="F2041" t="s">
        <v>1184</v>
      </c>
      <c r="G2041" t="s">
        <v>1185</v>
      </c>
    </row>
    <row r="2042" spans="1:7">
      <c r="A2042" t="s">
        <v>231</v>
      </c>
      <c r="B2042" t="s">
        <v>471</v>
      </c>
      <c r="C2042" t="s">
        <v>470</v>
      </c>
      <c r="D2042">
        <v>3.5574500000000002E-2</v>
      </c>
      <c r="E2042" t="s">
        <v>443</v>
      </c>
      <c r="F2042" t="s">
        <v>472</v>
      </c>
      <c r="G2042" t="s">
        <v>473</v>
      </c>
    </row>
    <row r="2043" spans="1:7">
      <c r="A2043" t="s">
        <v>231</v>
      </c>
      <c r="B2043" t="s">
        <v>447</v>
      </c>
      <c r="C2043" t="s">
        <v>446</v>
      </c>
      <c r="D2043">
        <v>3.4514999999999997E-2</v>
      </c>
      <c r="E2043" t="s">
        <v>443</v>
      </c>
      <c r="F2043" t="s">
        <v>448</v>
      </c>
      <c r="G2043" t="s">
        <v>449</v>
      </c>
    </row>
    <row r="2044" spans="1:7">
      <c r="A2044" t="s">
        <v>231</v>
      </c>
      <c r="B2044" t="s">
        <v>509</v>
      </c>
      <c r="C2044" t="s">
        <v>508</v>
      </c>
      <c r="D2044">
        <v>3.3735500000000002E-2</v>
      </c>
      <c r="E2044" t="s">
        <v>443</v>
      </c>
      <c r="F2044" t="s">
        <v>510</v>
      </c>
      <c r="G2044" t="s">
        <v>511</v>
      </c>
    </row>
    <row r="2045" spans="1:7">
      <c r="A2045" t="s">
        <v>231</v>
      </c>
      <c r="B2045" t="s">
        <v>908</v>
      </c>
      <c r="C2045" t="s">
        <v>907</v>
      </c>
      <c r="D2045">
        <v>3.0310500000000001E-2</v>
      </c>
      <c r="E2045" t="s">
        <v>909</v>
      </c>
      <c r="F2045" t="s">
        <v>910</v>
      </c>
      <c r="G2045" t="s">
        <v>911</v>
      </c>
    </row>
    <row r="2046" spans="1:7">
      <c r="A2046" t="s">
        <v>231</v>
      </c>
      <c r="B2046" t="s">
        <v>806</v>
      </c>
      <c r="C2046" t="s">
        <v>805</v>
      </c>
      <c r="D2046">
        <v>3.0238299E-2</v>
      </c>
      <c r="E2046" t="s">
        <v>443</v>
      </c>
      <c r="F2046" t="s">
        <v>807</v>
      </c>
      <c r="G2046" t="s">
        <v>808</v>
      </c>
    </row>
    <row r="2047" spans="1:7">
      <c r="A2047" t="s">
        <v>231</v>
      </c>
      <c r="B2047" t="s">
        <v>2737</v>
      </c>
      <c r="C2047" t="s">
        <v>2736</v>
      </c>
      <c r="D2047">
        <v>3.0121700000000001E-2</v>
      </c>
      <c r="E2047" t="s">
        <v>489</v>
      </c>
      <c r="F2047" t="s">
        <v>490</v>
      </c>
      <c r="G2047" t="s">
        <v>490</v>
      </c>
    </row>
    <row r="2048" spans="1:7">
      <c r="A2048" t="s">
        <v>232</v>
      </c>
      <c r="B2048" t="s">
        <v>604</v>
      </c>
      <c r="C2048" t="s">
        <v>603</v>
      </c>
      <c r="D2048">
        <v>5.5886100000000001E-2</v>
      </c>
      <c r="E2048" t="s">
        <v>443</v>
      </c>
      <c r="F2048" t="s">
        <v>605</v>
      </c>
      <c r="G2048" t="s">
        <v>606</v>
      </c>
    </row>
    <row r="2049" spans="1:7">
      <c r="A2049" t="s">
        <v>232</v>
      </c>
      <c r="B2049" t="s">
        <v>2008</v>
      </c>
      <c r="C2049" t="s">
        <v>2007</v>
      </c>
      <c r="D2049">
        <v>4.7608699999999997E-2</v>
      </c>
      <c r="E2049" t="s">
        <v>443</v>
      </c>
      <c r="F2049" t="s">
        <v>2009</v>
      </c>
      <c r="G2049" t="s">
        <v>2010</v>
      </c>
    </row>
    <row r="2050" spans="1:7">
      <c r="A2050" t="s">
        <v>232</v>
      </c>
      <c r="B2050" t="s">
        <v>697</v>
      </c>
      <c r="C2050" t="s">
        <v>696</v>
      </c>
      <c r="D2050">
        <v>4.6517200000000002E-2</v>
      </c>
      <c r="E2050" t="s">
        <v>489</v>
      </c>
      <c r="F2050" t="s">
        <v>490</v>
      </c>
      <c r="G2050" t="s">
        <v>490</v>
      </c>
    </row>
    <row r="2051" spans="1:7">
      <c r="A2051" t="s">
        <v>232</v>
      </c>
      <c r="B2051" t="s">
        <v>802</v>
      </c>
      <c r="C2051" t="s">
        <v>801</v>
      </c>
      <c r="D2051">
        <v>4.5688402000000003E-2</v>
      </c>
      <c r="E2051" t="s">
        <v>505</v>
      </c>
      <c r="F2051" t="s">
        <v>803</v>
      </c>
      <c r="G2051" t="s">
        <v>804</v>
      </c>
    </row>
    <row r="2052" spans="1:7">
      <c r="A2052" t="s">
        <v>232</v>
      </c>
      <c r="B2052" t="s">
        <v>1451</v>
      </c>
      <c r="C2052" t="s">
        <v>1450</v>
      </c>
      <c r="D2052">
        <v>4.4235400000000001E-2</v>
      </c>
      <c r="E2052" t="s">
        <v>505</v>
      </c>
      <c r="F2052" t="s">
        <v>1452</v>
      </c>
      <c r="G2052" t="s">
        <v>1453</v>
      </c>
    </row>
    <row r="2053" spans="1:7">
      <c r="A2053" t="s">
        <v>232</v>
      </c>
      <c r="B2053" t="s">
        <v>2199</v>
      </c>
      <c r="C2053" t="s">
        <v>2198</v>
      </c>
      <c r="D2053">
        <v>4.3196604E-2</v>
      </c>
      <c r="E2053" t="s">
        <v>489</v>
      </c>
      <c r="F2053" t="s">
        <v>490</v>
      </c>
      <c r="G2053" t="s">
        <v>490</v>
      </c>
    </row>
    <row r="2054" spans="1:7">
      <c r="A2054" t="s">
        <v>232</v>
      </c>
      <c r="B2054" t="s">
        <v>531</v>
      </c>
      <c r="C2054" t="s">
        <v>530</v>
      </c>
      <c r="D2054">
        <v>4.1270099999999997E-2</v>
      </c>
      <c r="E2054" t="s">
        <v>443</v>
      </c>
      <c r="F2054" t="s">
        <v>532</v>
      </c>
      <c r="G2054" t="s">
        <v>533</v>
      </c>
    </row>
    <row r="2055" spans="1:7">
      <c r="A2055" t="s">
        <v>232</v>
      </c>
      <c r="B2055" t="s">
        <v>1130</v>
      </c>
      <c r="C2055" t="s">
        <v>1129</v>
      </c>
      <c r="D2055">
        <v>3.9139199999999999E-2</v>
      </c>
      <c r="E2055" t="s">
        <v>443</v>
      </c>
      <c r="F2055" t="s">
        <v>1131</v>
      </c>
      <c r="G2055" t="s">
        <v>1132</v>
      </c>
    </row>
    <row r="2056" spans="1:7">
      <c r="A2056" t="s">
        <v>232</v>
      </c>
      <c r="B2056" t="s">
        <v>1629</v>
      </c>
      <c r="C2056" t="s">
        <v>1628</v>
      </c>
      <c r="D2056">
        <v>3.5997401999999998E-2</v>
      </c>
      <c r="E2056" t="s">
        <v>792</v>
      </c>
      <c r="F2056" t="s">
        <v>1630</v>
      </c>
      <c r="G2056" t="s">
        <v>1631</v>
      </c>
    </row>
    <row r="2057" spans="1:7">
      <c r="A2057" t="s">
        <v>232</v>
      </c>
      <c r="B2057" t="s">
        <v>705</v>
      </c>
      <c r="C2057" t="s">
        <v>704</v>
      </c>
      <c r="D2057">
        <v>3.5449300000000003E-2</v>
      </c>
      <c r="E2057" t="s">
        <v>443</v>
      </c>
      <c r="F2057" t="s">
        <v>706</v>
      </c>
      <c r="G2057" t="s">
        <v>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0"/>
  <sheetViews>
    <sheetView workbookViewId="0"/>
  </sheetViews>
  <sheetFormatPr defaultRowHeight="15"/>
  <sheetData>
    <row r="1" spans="1:2">
      <c r="A1" s="1" t="s">
        <v>3168</v>
      </c>
      <c r="B1" s="1" t="s">
        <v>235</v>
      </c>
    </row>
    <row r="2" spans="1:2">
      <c r="A2" t="s">
        <v>5</v>
      </c>
      <c r="B2" t="s">
        <v>3181</v>
      </c>
    </row>
    <row r="3" spans="1:2">
      <c r="A3" t="s">
        <v>9</v>
      </c>
      <c r="B3" t="s">
        <v>3182</v>
      </c>
    </row>
    <row r="4" spans="1:2">
      <c r="A4" t="s">
        <v>13</v>
      </c>
      <c r="B4" t="s">
        <v>3183</v>
      </c>
    </row>
    <row r="5" spans="1:2">
      <c r="A5" t="s">
        <v>45</v>
      </c>
      <c r="B5" t="s">
        <v>3184</v>
      </c>
    </row>
    <row r="6" spans="1:2">
      <c r="A6" t="s">
        <v>66</v>
      </c>
      <c r="B6" t="s">
        <v>3185</v>
      </c>
    </row>
    <row r="7" spans="1:2">
      <c r="A7" t="s">
        <v>132</v>
      </c>
      <c r="B7" t="s">
        <v>3186</v>
      </c>
    </row>
    <row r="8" spans="1:2">
      <c r="A8" t="s">
        <v>139</v>
      </c>
      <c r="B8" t="s">
        <v>3187</v>
      </c>
    </row>
    <row r="9" spans="1:2">
      <c r="A9" t="s">
        <v>142</v>
      </c>
      <c r="B9" t="s">
        <v>3188</v>
      </c>
    </row>
    <row r="10" spans="1:2">
      <c r="A10" t="s">
        <v>147</v>
      </c>
      <c r="B10" t="s">
        <v>3189</v>
      </c>
    </row>
    <row r="11" spans="1:2">
      <c r="A11" t="s">
        <v>152</v>
      </c>
      <c r="B11" t="s">
        <v>3190</v>
      </c>
    </row>
    <row r="12" spans="1:2">
      <c r="A12" t="s">
        <v>154</v>
      </c>
      <c r="B12" t="s">
        <v>3191</v>
      </c>
    </row>
    <row r="13" spans="1:2">
      <c r="A13" t="s">
        <v>155</v>
      </c>
      <c r="B13" t="s">
        <v>3192</v>
      </c>
    </row>
    <row r="14" spans="1:2">
      <c r="A14" t="s">
        <v>175</v>
      </c>
      <c r="B14" t="s">
        <v>3193</v>
      </c>
    </row>
    <row r="15" spans="1:2">
      <c r="A15" t="s">
        <v>176</v>
      </c>
      <c r="B15" t="s">
        <v>3194</v>
      </c>
    </row>
    <row r="16" spans="1:2">
      <c r="A16" t="s">
        <v>186</v>
      </c>
      <c r="B16" t="s">
        <v>3195</v>
      </c>
    </row>
    <row r="17" spans="1:2">
      <c r="A17" t="s">
        <v>199</v>
      </c>
      <c r="B17" t="s">
        <v>3196</v>
      </c>
    </row>
    <row r="18" spans="1:2">
      <c r="A18" t="s">
        <v>209</v>
      </c>
      <c r="B18" t="s">
        <v>3197</v>
      </c>
    </row>
    <row r="19" spans="1:2">
      <c r="A19" t="s">
        <v>219</v>
      </c>
      <c r="B19" t="s">
        <v>3198</v>
      </c>
    </row>
    <row r="20" spans="1:2">
      <c r="A20" t="s">
        <v>221</v>
      </c>
      <c r="B20" t="s">
        <v>3199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Matrix</vt:lpstr>
      <vt:lpstr>ETF Summary</vt:lpstr>
      <vt:lpstr>Stock Summary</vt:lpstr>
      <vt:lpstr>Raw Holdings</vt:lpstr>
      <vt:lpstr>Failed ETFs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Ashish Sinha</cp:lastModifiedBy>
  <dcterms:created xsi:type="dcterms:W3CDTF">2026-06-20T18:17:42Z</dcterms:created>
  <dcterms:modified xsi:type="dcterms:W3CDTF">2026-06-20T20:03:17Z</dcterms:modified>
</cp:coreProperties>
</file>