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ools\ETF_Portfolio_Mapping\"/>
    </mc:Choice>
  </mc:AlternateContent>
  <xr:revisionPtr revIDLastSave="0" documentId="13_ncr:9_{DE6A51FF-77BF-4C41-BBE5-99BC7341CBCB}" xr6:coauthVersionLast="47" xr6:coauthVersionMax="47" xr10:uidLastSave="{00000000-0000-0000-0000-000000000000}"/>
  <bookViews>
    <workbookView xWindow="-120" yWindow="-120" windowWidth="29040" windowHeight="15720" xr2:uid="{DC825B67-FE7A-4788-ACEA-ED5FF7A4119A}"/>
  </bookViews>
  <sheets>
    <sheet name="ETF_Portfolio-SEMICONDUCTOR_202" sheetId="1" r:id="rId1"/>
  </sheets>
  <definedNames>
    <definedName name="_xlnm._FilterDatabase" localSheetId="0" hidden="1">'ETF_Portfolio-SEMICONDUCTOR_202'!$A$2:$R$31</definedName>
  </definedNames>
  <calcPr calcId="0"/>
</workbook>
</file>

<file path=xl/calcChain.xml><?xml version="1.0" encoding="utf-8"?>
<calcChain xmlns="http://schemas.openxmlformats.org/spreadsheetml/2006/main">
  <c r="I31" i="1" l="1"/>
  <c r="J31" i="1"/>
  <c r="K31" i="1"/>
  <c r="L31" i="1"/>
  <c r="M31" i="1"/>
  <c r="N31" i="1"/>
  <c r="O31" i="1"/>
  <c r="P31" i="1"/>
  <c r="Q31" i="1"/>
  <c r="R31" i="1"/>
  <c r="H31" i="1"/>
  <c r="G13" i="1"/>
  <c r="G22" i="1"/>
  <c r="G4" i="1"/>
  <c r="G5" i="1"/>
  <c r="G6" i="1"/>
  <c r="G14" i="1"/>
  <c r="G15" i="1"/>
  <c r="G27" i="1"/>
  <c r="G28" i="1"/>
  <c r="G29" i="1"/>
  <c r="G30" i="1"/>
  <c r="G10" i="1"/>
  <c r="G23" i="1"/>
  <c r="G16" i="1"/>
  <c r="G20" i="1"/>
  <c r="G24" i="1"/>
  <c r="G7" i="1"/>
  <c r="G8" i="1"/>
  <c r="G17" i="1"/>
  <c r="G9" i="1"/>
  <c r="G18" i="1"/>
  <c r="G25" i="1"/>
  <c r="G26" i="1"/>
  <c r="G19" i="1"/>
  <c r="G21" i="1"/>
  <c r="G11" i="1"/>
  <c r="G12" i="1"/>
  <c r="G3" i="1"/>
</calcChain>
</file>

<file path=xl/sharedStrings.xml><?xml version="1.0" encoding="utf-8"?>
<sst xmlns="http://schemas.openxmlformats.org/spreadsheetml/2006/main" count="197" uniqueCount="158">
  <si>
    <t>$95.1700</t>
  </si>
  <si>
    <t>$100.6100</t>
  </si>
  <si>
    <t>$270.0000</t>
  </si>
  <si>
    <t>$167.8300</t>
  </si>
  <si>
    <t>$16.0700</t>
  </si>
  <si>
    <t>$114.7800</t>
  </si>
  <si>
    <t>$619.4700</t>
  </si>
  <si>
    <t>$62.6400</t>
  </si>
  <si>
    <t>$105.2800</t>
  </si>
  <si>
    <t>$595.9300</t>
  </si>
  <si>
    <t>$605.6300</t>
  </si>
  <si>
    <t>Company Name</t>
  </si>
  <si>
    <t>Stock Ticker</t>
  </si>
  <si>
    <t>Exchange</t>
  </si>
  <si>
    <t>Market Cap</t>
  </si>
  <si>
    <t>Price</t>
  </si>
  <si>
    <t>CHPS</t>
  </si>
  <si>
    <t>CHPX</t>
  </si>
  <si>
    <t>FTXL</t>
  </si>
  <si>
    <t>PSI</t>
  </si>
  <si>
    <t>SEMY</t>
  </si>
  <si>
    <t>SHOC</t>
  </si>
  <si>
    <t>SMH</t>
  </si>
  <si>
    <t>SMHX</t>
  </si>
  <si>
    <t>SOXQ</t>
  </si>
  <si>
    <t>SOXX</t>
  </si>
  <si>
    <t>XSD</t>
  </si>
  <si>
    <t>Advanced Micro Devices Inc</t>
  </si>
  <si>
    <t>AMD</t>
  </si>
  <si>
    <t>United States (NMS)</t>
  </si>
  <si>
    <t>$834.17B</t>
  </si>
  <si>
    <t>$511.57</t>
  </si>
  <si>
    <t>Broadcom Inc</t>
  </si>
  <si>
    <t>AVGO</t>
  </si>
  <si>
    <t>$1.82T</t>
  </si>
  <si>
    <t>$382.07</t>
  </si>
  <si>
    <t>Micron Technology Inc</t>
  </si>
  <si>
    <t>MU</t>
  </si>
  <si>
    <t>$1.11T</t>
  </si>
  <si>
    <t>$981.61</t>
  </si>
  <si>
    <t>Intel Corp</t>
  </si>
  <si>
    <t>INTC</t>
  </si>
  <si>
    <t>$626.09B</t>
  </si>
  <si>
    <t>$124.57</t>
  </si>
  <si>
    <t>NVIDIA Corp</t>
  </si>
  <si>
    <t>NVDA</t>
  </si>
  <si>
    <t>$4.97T</t>
  </si>
  <si>
    <t>$205.19</t>
  </si>
  <si>
    <t>Texas Instruments Inc</t>
  </si>
  <si>
    <t>TXN</t>
  </si>
  <si>
    <t>$274.05B</t>
  </si>
  <si>
    <t>$301.12</t>
  </si>
  <si>
    <t>Qualcomm Inc</t>
  </si>
  <si>
    <t>QCOM</t>
  </si>
  <si>
    <t>$223.15B</t>
  </si>
  <si>
    <t>$211.72</t>
  </si>
  <si>
    <t>Marvell Technology Inc</t>
  </si>
  <si>
    <t>MRVL</t>
  </si>
  <si>
    <t>$244.68B</t>
  </si>
  <si>
    <t>$279.70</t>
  </si>
  <si>
    <t>Lam Research Corp</t>
  </si>
  <si>
    <t>LRCX</t>
  </si>
  <si>
    <t>$458.72B</t>
  </si>
  <si>
    <t>$366.81</t>
  </si>
  <si>
    <t>KLA Corp</t>
  </si>
  <si>
    <t>KLAC</t>
  </si>
  <si>
    <t>$332.50B</t>
  </si>
  <si>
    <t>$254.54</t>
  </si>
  <si>
    <t>Applied Materials Inc</t>
  </si>
  <si>
    <t>AMAT</t>
  </si>
  <si>
    <t>$450.37B</t>
  </si>
  <si>
    <t>$567.25</t>
  </si>
  <si>
    <t>ASML Holding NV ADR</t>
  </si>
  <si>
    <t>ASML</t>
  </si>
  <si>
    <t>Netherlands (NMS)</t>
  </si>
  <si>
    <t>$718.25B</t>
  </si>
  <si>
    <t>$1863.55</t>
  </si>
  <si>
    <t>Taiwan Semiconductor Manufacturing Co Ltd ADR</t>
  </si>
  <si>
    <t>TSM</t>
  </si>
  <si>
    <t>Taiwan (NYQ)</t>
  </si>
  <si>
    <t>$2.20T</t>
  </si>
  <si>
    <t>$423.93</t>
  </si>
  <si>
    <t>SK Hynix Inc</t>
  </si>
  <si>
    <t>000660.KS</t>
  </si>
  <si>
    <t>South Korea (KSC)</t>
  </si>
  <si>
    <t>₩1526.19T</t>
  </si>
  <si>
    <t>₩2150000.00</t>
  </si>
  <si>
    <t>Astera Labs Inc</t>
  </si>
  <si>
    <t>ALAB</t>
  </si>
  <si>
    <t>$62.93B</t>
  </si>
  <si>
    <t>$367.15</t>
  </si>
  <si>
    <t>ARM Holdings PLC ADR</t>
  </si>
  <si>
    <t>ARM</t>
  </si>
  <si>
    <t>United Kingdom (NMS)</t>
  </si>
  <si>
    <t>$406.74B</t>
  </si>
  <si>
    <t>$380.81</t>
  </si>
  <si>
    <t>ON Semiconductor Corp</t>
  </si>
  <si>
    <t>ON</t>
  </si>
  <si>
    <t>$45.41B</t>
  </si>
  <si>
    <t>$116.79</t>
  </si>
  <si>
    <t>NXP Semiconductors NV</t>
  </si>
  <si>
    <t>NXPI</t>
  </si>
  <si>
    <t>$76.97B</t>
  </si>
  <si>
    <t>$304.86</t>
  </si>
  <si>
    <t>MediaTek Inc</t>
  </si>
  <si>
    <t>2454.TW</t>
  </si>
  <si>
    <t>Taiwan (TAI)</t>
  </si>
  <si>
    <t>NT$6.67T</t>
  </si>
  <si>
    <t>NT$4180.00</t>
  </si>
  <si>
    <t>MaxLinear Inc</t>
  </si>
  <si>
    <t>MXL</t>
  </si>
  <si>
    <t>$7.56B</t>
  </si>
  <si>
    <t>$84.46</t>
  </si>
  <si>
    <t>Lattice Semiconductor Corp</t>
  </si>
  <si>
    <t>LSCC</t>
  </si>
  <si>
    <t>$19.80B</t>
  </si>
  <si>
    <t>$144.53</t>
  </si>
  <si>
    <t>Credo Technology Group Holding Ltd</t>
  </si>
  <si>
    <t>CRDO</t>
  </si>
  <si>
    <t>Cayman Islands (NMS)</t>
  </si>
  <si>
    <t>$46.26B</t>
  </si>
  <si>
    <t>$250.81</t>
  </si>
  <si>
    <t>Navitas Semiconductor Corp Class A</t>
  </si>
  <si>
    <t>NVTS</t>
  </si>
  <si>
    <t>United States (NGM)</t>
  </si>
  <si>
    <t>$5.62B</t>
  </si>
  <si>
    <t>$23.39</t>
  </si>
  <si>
    <t>Monolithic Power Systems Inc</t>
  </si>
  <si>
    <t>MPWR</t>
  </si>
  <si>
    <t>$77.49B</t>
  </si>
  <si>
    <t>$1577.32</t>
  </si>
  <si>
    <t>SiTime Corp Ordinary Shares</t>
  </si>
  <si>
    <t>SITM</t>
  </si>
  <si>
    <t>$19.27B</t>
  </si>
  <si>
    <t>$729.89</t>
  </si>
  <si>
    <t>Rambus Inc</t>
  </si>
  <si>
    <t>RMBS</t>
  </si>
  <si>
    <t>$15.85B</t>
  </si>
  <si>
    <t>$146.56</t>
  </si>
  <si>
    <t>Taiwan Semiconductor Manufacturing Co Ltd</t>
  </si>
  <si>
    <t>2330.TW</t>
  </si>
  <si>
    <t>NT$59.90T</t>
  </si>
  <si>
    <t>NT$2310.00</t>
  </si>
  <si>
    <t>Tower Semiconductor Ltd</t>
  </si>
  <si>
    <t>TSEM.TA</t>
  </si>
  <si>
    <t>Israel (TLV)</t>
  </si>
  <si>
    <t>ILA 86.24B</t>
  </si>
  <si>
    <t>ILA 76440.00</t>
  </si>
  <si>
    <t>Count</t>
  </si>
  <si>
    <t>Type</t>
  </si>
  <si>
    <t>Memory</t>
  </si>
  <si>
    <t>WFE</t>
  </si>
  <si>
    <t>Compute</t>
  </si>
  <si>
    <t>Infra</t>
  </si>
  <si>
    <t>Foundry</t>
  </si>
  <si>
    <t>IP Architecture</t>
  </si>
  <si>
    <t>Power / Analog</t>
  </si>
  <si>
    <t>EDGE 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</si>
</sst>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7999816888943144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4">
    <xf numFmtId="0" fontId="0" fillId="0" borderId="0" xfId="0"/>
    <xf numFmtId="0" fontId="0" fillId="0" borderId="0" xfId="0" applyAlignment="1">
      <alignment horizontal="center" vertical="center"/>
    </xf>
    <xf numFmtId="0" fontId="0" fillId="33" borderId="10" xfId="0" applyFill="1" applyBorder="1"/>
    <xf numFmtId="0" fontId="0" fillId="33" borderId="10" xfId="0" applyFill="1" applyBorder="1" applyAlignment="1">
      <alignment horizontal="center" vertical="center"/>
    </xf>
    <xf numFmtId="0" fontId="16" fillId="33" borderId="10" xfId="0" applyFont="1" applyFill="1" applyBorder="1" applyAlignment="1">
      <alignment horizontal="center" vertical="center"/>
    </xf>
    <xf numFmtId="0" fontId="0" fillId="33" borderId="11" xfId="0" applyFill="1" applyBorder="1" applyAlignment="1">
      <alignment horizontal="center" vertical="center"/>
    </xf>
    <xf numFmtId="10" fontId="0" fillId="0" borderId="0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0" fontId="0" fillId="0" borderId="13" xfId="0" applyNumberFormat="1" applyBorder="1" applyAlignment="1">
      <alignment horizontal="center" vertical="center"/>
    </xf>
    <xf numFmtId="10" fontId="0" fillId="0" borderId="14" xfId="0" applyNumberForma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0" fontId="0" fillId="0" borderId="15" xfId="0" applyNumberFormat="1" applyBorder="1" applyAlignment="1">
      <alignment horizontal="center" vertical="center"/>
    </xf>
    <xf numFmtId="10" fontId="0" fillId="0" borderId="16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10" fontId="0" fillId="0" borderId="17" xfId="0" applyNumberForma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16" fillId="33" borderId="10" xfId="0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0" fillId="33" borderId="11" xfId="0" applyFill="1" applyBorder="1"/>
    <xf numFmtId="10" fontId="0" fillId="0" borderId="12" xfId="0" applyNumberFormat="1" applyBorder="1" applyAlignment="1">
      <alignment horizontal="center" vertical="center"/>
    </xf>
    <xf numFmtId="0" fontId="0" fillId="33" borderId="18" xfId="0" applyFill="1" applyBorder="1" applyAlignment="1">
      <alignment horizontal="center" vertical="center"/>
    </xf>
    <xf numFmtId="0" fontId="0" fillId="33" borderId="19" xfId="0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33" borderId="20" xfId="0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738D0-9D6F-437E-BF67-7D8FAFC35761}">
  <dimension ref="A1:R31"/>
  <sheetViews>
    <sheetView tabSelected="1" workbookViewId="0">
      <selection activeCell="H2" sqref="H2:R2"/>
    </sheetView>
  </sheetViews>
  <sheetFormatPr defaultRowHeight="15" x14ac:dyDescent="0.25"/>
  <cols>
    <col min="1" max="1" width="45.42578125" bestFit="1" customWidth="1"/>
    <col min="2" max="2" width="23.7109375" style="1" bestFit="1" customWidth="1"/>
    <col min="3" max="3" width="14.28515625" style="1" customWidth="1"/>
    <col min="5" max="5" width="9.140625" style="1"/>
    <col min="6" max="6" width="18.7109375" style="1" customWidth="1"/>
    <col min="7" max="7" width="6.28515625" bestFit="1" customWidth="1"/>
    <col min="8" max="8" width="8.5703125" bestFit="1" customWidth="1"/>
    <col min="9" max="11" width="9.5703125" bestFit="1" customWidth="1"/>
    <col min="12" max="12" width="8.5703125" bestFit="1" customWidth="1"/>
    <col min="13" max="14" width="9.5703125" bestFit="1" customWidth="1"/>
    <col min="15" max="15" width="8.5703125" bestFit="1" customWidth="1"/>
    <col min="16" max="18" width="9.5703125" bestFit="1" customWidth="1"/>
  </cols>
  <sheetData>
    <row r="1" spans="1:18" x14ac:dyDescent="0.2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  <c r="N1" t="s">
        <v>6</v>
      </c>
      <c r="O1" t="s">
        <v>7</v>
      </c>
      <c r="P1" t="s">
        <v>8</v>
      </c>
      <c r="Q1" t="s">
        <v>9</v>
      </c>
      <c r="R1" t="s">
        <v>10</v>
      </c>
    </row>
    <row r="2" spans="1:18" s="17" customFormat="1" ht="30" x14ac:dyDescent="0.25">
      <c r="A2" s="16" t="s">
        <v>11</v>
      </c>
      <c r="B2" s="16" t="s">
        <v>149</v>
      </c>
      <c r="C2" s="16" t="s">
        <v>12</v>
      </c>
      <c r="D2" s="16" t="s">
        <v>13</v>
      </c>
      <c r="E2" s="16" t="s">
        <v>14</v>
      </c>
      <c r="F2" s="16" t="s">
        <v>15</v>
      </c>
      <c r="G2" s="16" t="s">
        <v>148</v>
      </c>
      <c r="H2" s="16" t="s">
        <v>16</v>
      </c>
      <c r="I2" s="16" t="s">
        <v>17</v>
      </c>
      <c r="J2" s="16" t="s">
        <v>18</v>
      </c>
      <c r="K2" s="16" t="s">
        <v>19</v>
      </c>
      <c r="L2" s="16" t="s">
        <v>20</v>
      </c>
      <c r="M2" s="16" t="s">
        <v>21</v>
      </c>
      <c r="N2" s="16" t="s">
        <v>22</v>
      </c>
      <c r="O2" s="16" t="s">
        <v>23</v>
      </c>
      <c r="P2" s="16" t="s">
        <v>24</v>
      </c>
      <c r="Q2" s="16" t="s">
        <v>25</v>
      </c>
      <c r="R2" s="16" t="s">
        <v>26</v>
      </c>
    </row>
    <row r="3" spans="1:18" x14ac:dyDescent="0.25">
      <c r="A3" s="2" t="s">
        <v>27</v>
      </c>
      <c r="B3" s="3" t="s">
        <v>152</v>
      </c>
      <c r="C3" s="4" t="s">
        <v>28</v>
      </c>
      <c r="D3" s="2" t="s">
        <v>29</v>
      </c>
      <c r="E3" s="3" t="s">
        <v>30</v>
      </c>
      <c r="F3" s="3" t="s">
        <v>31</v>
      </c>
      <c r="G3" s="3">
        <f>COUNTA(H3:R3)</f>
        <v>10</v>
      </c>
      <c r="H3" s="19">
        <v>6.4500000000000002E-2</v>
      </c>
      <c r="I3" s="19">
        <v>5.2200000000000003E-2</v>
      </c>
      <c r="J3" s="19">
        <v>6.1400000000000003E-2</v>
      </c>
      <c r="K3" s="19">
        <v>7.8600000000000003E-2</v>
      </c>
      <c r="L3" s="22"/>
      <c r="M3" s="19">
        <v>8.0399999999999999E-2</v>
      </c>
      <c r="N3" s="19">
        <v>7.6100000000000001E-2</v>
      </c>
      <c r="O3" s="19">
        <v>7.7499999999999999E-2</v>
      </c>
      <c r="P3" s="19">
        <v>6.4899999999999999E-2</v>
      </c>
      <c r="Q3" s="19">
        <v>9.4899999999999998E-2</v>
      </c>
      <c r="R3" s="19">
        <v>3.7400000000000003E-2</v>
      </c>
    </row>
    <row r="4" spans="1:18" x14ac:dyDescent="0.25">
      <c r="A4" s="2" t="s">
        <v>40</v>
      </c>
      <c r="B4" s="3" t="s">
        <v>152</v>
      </c>
      <c r="C4" s="4" t="s">
        <v>41</v>
      </c>
      <c r="D4" s="2" t="s">
        <v>29</v>
      </c>
      <c r="E4" s="3" t="s">
        <v>42</v>
      </c>
      <c r="F4" s="3" t="s">
        <v>43</v>
      </c>
      <c r="G4" s="5">
        <f>COUNTA(H4:R4)</f>
        <v>8</v>
      </c>
      <c r="H4" s="8">
        <v>5.4899999999999997E-2</v>
      </c>
      <c r="I4" s="9">
        <v>7.8100000000000003E-2</v>
      </c>
      <c r="J4" s="9">
        <v>0.11990000000000001</v>
      </c>
      <c r="K4" s="10"/>
      <c r="L4" s="10"/>
      <c r="M4" s="9">
        <v>7.85E-2</v>
      </c>
      <c r="N4" s="9">
        <v>7.22E-2</v>
      </c>
      <c r="O4" s="10"/>
      <c r="P4" s="9">
        <v>6.3200000000000006E-2</v>
      </c>
      <c r="Q4" s="9">
        <v>6.2E-2</v>
      </c>
      <c r="R4" s="11">
        <v>3.56E-2</v>
      </c>
    </row>
    <row r="5" spans="1:18" x14ac:dyDescent="0.25">
      <c r="A5" s="2" t="s">
        <v>44</v>
      </c>
      <c r="B5" s="3" t="s">
        <v>152</v>
      </c>
      <c r="C5" s="4" t="s">
        <v>45</v>
      </c>
      <c r="D5" s="2" t="s">
        <v>29</v>
      </c>
      <c r="E5" s="3" t="s">
        <v>46</v>
      </c>
      <c r="F5" s="3" t="s">
        <v>47</v>
      </c>
      <c r="G5" s="5">
        <f>COUNTA(H5:R5)</f>
        <v>8</v>
      </c>
      <c r="H5" s="15"/>
      <c r="I5" s="6">
        <v>6.0499999999999998E-2</v>
      </c>
      <c r="J5" s="6">
        <v>5.6800000000000003E-2</v>
      </c>
      <c r="K5" s="6">
        <v>3.56E-2</v>
      </c>
      <c r="L5" s="7"/>
      <c r="M5" s="6">
        <v>0.17549999999999999</v>
      </c>
      <c r="N5" s="6">
        <v>0.15229999999999999</v>
      </c>
      <c r="O5" s="6">
        <v>0.1396</v>
      </c>
      <c r="P5" s="6">
        <v>8.9899999999999994E-2</v>
      </c>
      <c r="Q5" s="6">
        <v>5.8799999999999998E-2</v>
      </c>
      <c r="R5" s="13"/>
    </row>
    <row r="6" spans="1:18" x14ac:dyDescent="0.25">
      <c r="A6" s="2" t="s">
        <v>48</v>
      </c>
      <c r="B6" s="3" t="s">
        <v>152</v>
      </c>
      <c r="C6" s="4" t="s">
        <v>49</v>
      </c>
      <c r="D6" s="2" t="s">
        <v>29</v>
      </c>
      <c r="E6" s="3" t="s">
        <v>50</v>
      </c>
      <c r="F6" s="3" t="s">
        <v>51</v>
      </c>
      <c r="G6" s="5">
        <f>COUNTA(H6:R6)</f>
        <v>7</v>
      </c>
      <c r="H6" s="12">
        <v>4.2099999999999999E-2</v>
      </c>
      <c r="I6" s="7"/>
      <c r="J6" s="6">
        <v>3.44E-2</v>
      </c>
      <c r="K6" s="6">
        <v>4.6699999999999998E-2</v>
      </c>
      <c r="L6" s="7"/>
      <c r="M6" s="6">
        <v>4.2700000000000002E-2</v>
      </c>
      <c r="N6" s="6">
        <v>4.65E-2</v>
      </c>
      <c r="O6" s="7"/>
      <c r="P6" s="6">
        <v>3.6200000000000003E-2</v>
      </c>
      <c r="Q6" s="6">
        <v>3.56E-2</v>
      </c>
      <c r="R6" s="13"/>
    </row>
    <row r="7" spans="1:18" x14ac:dyDescent="0.25">
      <c r="A7" s="2" t="s">
        <v>100</v>
      </c>
      <c r="B7" s="3" t="s">
        <v>157</v>
      </c>
      <c r="C7" s="4" t="s">
        <v>101</v>
      </c>
      <c r="D7" s="2" t="s">
        <v>74</v>
      </c>
      <c r="E7" s="3" t="s">
        <v>102</v>
      </c>
      <c r="F7" s="3" t="s">
        <v>103</v>
      </c>
      <c r="G7" s="5">
        <f>COUNTA(H7:R7)</f>
        <v>2</v>
      </c>
      <c r="H7" s="15"/>
      <c r="I7" s="7"/>
      <c r="J7" s="6">
        <v>3.3700000000000001E-2</v>
      </c>
      <c r="K7" s="7"/>
      <c r="L7" s="7"/>
      <c r="M7" s="7"/>
      <c r="N7" s="7"/>
      <c r="O7" s="7"/>
      <c r="P7" s="7"/>
      <c r="Q7" s="6">
        <v>3.49E-2</v>
      </c>
      <c r="R7" s="13"/>
    </row>
    <row r="8" spans="1:18" x14ac:dyDescent="0.25">
      <c r="A8" s="2" t="s">
        <v>104</v>
      </c>
      <c r="B8" s="3" t="s">
        <v>157</v>
      </c>
      <c r="C8" s="4" t="s">
        <v>105</v>
      </c>
      <c r="D8" s="2" t="s">
        <v>106</v>
      </c>
      <c r="E8" s="3" t="s">
        <v>107</v>
      </c>
      <c r="F8" s="3" t="s">
        <v>108</v>
      </c>
      <c r="G8" s="5">
        <f>COUNTA(H8:R8)</f>
        <v>2</v>
      </c>
      <c r="H8" s="12">
        <v>3.6799999999999999E-2</v>
      </c>
      <c r="I8" s="6">
        <v>4.1399999999999999E-2</v>
      </c>
      <c r="J8" s="7"/>
      <c r="K8" s="7"/>
      <c r="L8" s="7"/>
      <c r="M8" s="7"/>
      <c r="N8" s="7"/>
      <c r="O8" s="7"/>
      <c r="P8" s="7"/>
      <c r="Q8" s="7"/>
      <c r="R8" s="13"/>
    </row>
    <row r="9" spans="1:18" x14ac:dyDescent="0.25">
      <c r="A9" s="2" t="s">
        <v>113</v>
      </c>
      <c r="B9" s="3" t="s">
        <v>157</v>
      </c>
      <c r="C9" s="4" t="s">
        <v>114</v>
      </c>
      <c r="D9" s="2" t="s">
        <v>29</v>
      </c>
      <c r="E9" s="3" t="s">
        <v>115</v>
      </c>
      <c r="F9" s="3" t="s">
        <v>116</v>
      </c>
      <c r="G9" s="5">
        <f>COUNTA(H9:R9)</f>
        <v>1</v>
      </c>
      <c r="H9" s="15"/>
      <c r="I9" s="7"/>
      <c r="J9" s="7"/>
      <c r="K9" s="7"/>
      <c r="L9" s="7"/>
      <c r="M9" s="7"/>
      <c r="N9" s="7"/>
      <c r="O9" s="6">
        <v>3.9199999999999999E-2</v>
      </c>
      <c r="P9" s="7"/>
      <c r="Q9" s="7"/>
      <c r="R9" s="13"/>
    </row>
    <row r="10" spans="1:18" x14ac:dyDescent="0.25">
      <c r="A10" s="2" t="s">
        <v>77</v>
      </c>
      <c r="B10" s="3" t="s">
        <v>154</v>
      </c>
      <c r="C10" s="4" t="s">
        <v>78</v>
      </c>
      <c r="D10" s="2" t="s">
        <v>79</v>
      </c>
      <c r="E10" s="3" t="s">
        <v>80</v>
      </c>
      <c r="F10" s="3" t="s">
        <v>81</v>
      </c>
      <c r="G10" s="5">
        <f>COUNTA(H10:R10)</f>
        <v>2</v>
      </c>
      <c r="H10" s="15"/>
      <c r="I10" s="6">
        <v>7.8399999999999997E-2</v>
      </c>
      <c r="J10" s="7"/>
      <c r="K10" s="7"/>
      <c r="L10" s="7"/>
      <c r="M10" s="7"/>
      <c r="N10" s="6">
        <v>9.3799999999999994E-2</v>
      </c>
      <c r="O10" s="7"/>
      <c r="P10" s="7"/>
      <c r="Q10" s="7"/>
      <c r="R10" s="13"/>
    </row>
    <row r="11" spans="1:18" x14ac:dyDescent="0.25">
      <c r="A11" s="2" t="s">
        <v>139</v>
      </c>
      <c r="B11" s="3" t="s">
        <v>154</v>
      </c>
      <c r="C11" s="4" t="s">
        <v>140</v>
      </c>
      <c r="D11" s="2" t="s">
        <v>106</v>
      </c>
      <c r="E11" s="3" t="s">
        <v>141</v>
      </c>
      <c r="F11" s="3" t="s">
        <v>142</v>
      </c>
      <c r="G11" s="5">
        <f>COUNTA(H11:R11)</f>
        <v>1</v>
      </c>
      <c r="H11" s="12">
        <v>3.6200000000000003E-2</v>
      </c>
      <c r="I11" s="7"/>
      <c r="J11" s="7"/>
      <c r="K11" s="7"/>
      <c r="L11" s="7"/>
      <c r="M11" s="7"/>
      <c r="N11" s="7"/>
      <c r="O11" s="7"/>
      <c r="P11" s="7"/>
      <c r="Q11" s="7"/>
      <c r="R11" s="13"/>
    </row>
    <row r="12" spans="1:18" x14ac:dyDescent="0.25">
      <c r="A12" s="2" t="s">
        <v>143</v>
      </c>
      <c r="B12" s="3" t="s">
        <v>154</v>
      </c>
      <c r="C12" s="4" t="s">
        <v>144</v>
      </c>
      <c r="D12" s="2" t="s">
        <v>145</v>
      </c>
      <c r="E12" s="3" t="s">
        <v>146</v>
      </c>
      <c r="F12" s="3" t="s">
        <v>147</v>
      </c>
      <c r="G12" s="5">
        <f>COUNTA(H12:R12)</f>
        <v>1</v>
      </c>
      <c r="H12" s="15"/>
      <c r="I12" s="7"/>
      <c r="J12" s="7"/>
      <c r="K12" s="6">
        <v>3.5999999999999997E-2</v>
      </c>
      <c r="L12" s="7"/>
      <c r="M12" s="7"/>
      <c r="N12" s="7"/>
      <c r="O12" s="7"/>
      <c r="P12" s="7"/>
      <c r="Q12" s="7"/>
      <c r="R12" s="13"/>
    </row>
    <row r="13" spans="1:18" x14ac:dyDescent="0.25">
      <c r="A13" s="2" t="s">
        <v>32</v>
      </c>
      <c r="B13" s="3" t="s">
        <v>153</v>
      </c>
      <c r="C13" s="4" t="s">
        <v>33</v>
      </c>
      <c r="D13" s="2" t="s">
        <v>29</v>
      </c>
      <c r="E13" s="3" t="s">
        <v>34</v>
      </c>
      <c r="F13" s="3" t="s">
        <v>35</v>
      </c>
      <c r="G13" s="5">
        <f>COUNTA(H13:R13)</f>
        <v>9</v>
      </c>
      <c r="H13" s="12">
        <v>3.7199999999999997E-2</v>
      </c>
      <c r="I13" s="6">
        <v>6.8000000000000005E-2</v>
      </c>
      <c r="J13" s="6">
        <v>6.6699999999999995E-2</v>
      </c>
      <c r="K13" s="6">
        <v>4.4699999999999997E-2</v>
      </c>
      <c r="L13" s="7"/>
      <c r="M13" s="6">
        <v>0.1305</v>
      </c>
      <c r="N13" s="6">
        <v>7.1999999999999995E-2</v>
      </c>
      <c r="O13" s="6">
        <v>0.1207</v>
      </c>
      <c r="P13" s="6">
        <v>8.7900000000000006E-2</v>
      </c>
      <c r="Q13" s="6">
        <v>6.9000000000000006E-2</v>
      </c>
      <c r="R13" s="13"/>
    </row>
    <row r="14" spans="1:18" x14ac:dyDescent="0.25">
      <c r="A14" s="2" t="s">
        <v>52</v>
      </c>
      <c r="B14" s="3" t="s">
        <v>153</v>
      </c>
      <c r="C14" s="4" t="s">
        <v>53</v>
      </c>
      <c r="D14" s="2" t="s">
        <v>29</v>
      </c>
      <c r="E14" s="3" t="s">
        <v>54</v>
      </c>
      <c r="F14" s="3" t="s">
        <v>55</v>
      </c>
      <c r="G14" s="5">
        <f>COUNTA(H14:R14)</f>
        <v>6</v>
      </c>
      <c r="H14" s="12">
        <v>4.9700000000000001E-2</v>
      </c>
      <c r="I14" s="7"/>
      <c r="J14" s="6">
        <v>8.4099999999999994E-2</v>
      </c>
      <c r="K14" s="7"/>
      <c r="L14" s="7"/>
      <c r="M14" s="7"/>
      <c r="N14" s="6">
        <v>5.0999999999999997E-2</v>
      </c>
      <c r="O14" s="6">
        <v>5.7599999999999998E-2</v>
      </c>
      <c r="P14" s="6">
        <v>4.4400000000000002E-2</v>
      </c>
      <c r="Q14" s="6">
        <v>4.3499999999999997E-2</v>
      </c>
      <c r="R14" s="13"/>
    </row>
    <row r="15" spans="1:18" x14ac:dyDescent="0.25">
      <c r="A15" s="2" t="s">
        <v>56</v>
      </c>
      <c r="B15" s="3" t="s">
        <v>153</v>
      </c>
      <c r="C15" s="4" t="s">
        <v>57</v>
      </c>
      <c r="D15" s="2" t="s">
        <v>29</v>
      </c>
      <c r="E15" s="3" t="s">
        <v>58</v>
      </c>
      <c r="F15" s="3" t="s">
        <v>59</v>
      </c>
      <c r="G15" s="5">
        <f>COUNTA(H15:R15)</f>
        <v>5</v>
      </c>
      <c r="H15" s="15"/>
      <c r="I15" s="7"/>
      <c r="J15" s="6">
        <v>5.9799999999999999E-2</v>
      </c>
      <c r="K15" s="7"/>
      <c r="L15" s="7"/>
      <c r="M15" s="7"/>
      <c r="N15" s="7"/>
      <c r="O15" s="6">
        <v>6.2700000000000006E-2</v>
      </c>
      <c r="P15" s="6">
        <v>6.3100000000000003E-2</v>
      </c>
      <c r="Q15" s="6">
        <v>6.1899999999999997E-2</v>
      </c>
      <c r="R15" s="14">
        <v>3.3700000000000001E-2</v>
      </c>
    </row>
    <row r="16" spans="1:18" x14ac:dyDescent="0.25">
      <c r="A16" s="2" t="s">
        <v>87</v>
      </c>
      <c r="B16" s="3" t="s">
        <v>153</v>
      </c>
      <c r="C16" s="4" t="s">
        <v>88</v>
      </c>
      <c r="D16" s="2" t="s">
        <v>29</v>
      </c>
      <c r="E16" s="3" t="s">
        <v>89</v>
      </c>
      <c r="F16" s="3" t="s">
        <v>90</v>
      </c>
      <c r="G16" s="5">
        <f>COUNTA(H16:R16)</f>
        <v>2</v>
      </c>
      <c r="H16" s="15"/>
      <c r="I16" s="7"/>
      <c r="J16" s="7"/>
      <c r="K16" s="7"/>
      <c r="L16" s="7"/>
      <c r="M16" s="7"/>
      <c r="N16" s="7"/>
      <c r="O16" s="6">
        <v>7.6100000000000001E-2</v>
      </c>
      <c r="P16" s="7"/>
      <c r="Q16" s="7"/>
      <c r="R16" s="14">
        <v>4.0899999999999999E-2</v>
      </c>
    </row>
    <row r="17" spans="1:18" x14ac:dyDescent="0.25">
      <c r="A17" s="2" t="s">
        <v>109</v>
      </c>
      <c r="B17" s="3" t="s">
        <v>153</v>
      </c>
      <c r="C17" s="4" t="s">
        <v>110</v>
      </c>
      <c r="D17" s="2" t="s">
        <v>29</v>
      </c>
      <c r="E17" s="3" t="s">
        <v>111</v>
      </c>
      <c r="F17" s="3" t="s">
        <v>112</v>
      </c>
      <c r="G17" s="5">
        <f>COUNTA(H17:R17)</f>
        <v>2</v>
      </c>
      <c r="H17" s="15"/>
      <c r="I17" s="7"/>
      <c r="J17" s="7"/>
      <c r="K17" s="6">
        <v>9.0399999999999994E-2</v>
      </c>
      <c r="L17" s="7"/>
      <c r="M17" s="7"/>
      <c r="N17" s="7"/>
      <c r="O17" s="7"/>
      <c r="P17" s="7"/>
      <c r="Q17" s="7"/>
      <c r="R17" s="14">
        <v>6.2399999999999997E-2</v>
      </c>
    </row>
    <row r="18" spans="1:18" x14ac:dyDescent="0.25">
      <c r="A18" s="2" t="s">
        <v>117</v>
      </c>
      <c r="B18" s="3" t="s">
        <v>153</v>
      </c>
      <c r="C18" s="4" t="s">
        <v>118</v>
      </c>
      <c r="D18" s="2" t="s">
        <v>119</v>
      </c>
      <c r="E18" s="3" t="s">
        <v>120</v>
      </c>
      <c r="F18" s="3" t="s">
        <v>121</v>
      </c>
      <c r="G18" s="5">
        <f>COUNTA(H18:R18)</f>
        <v>1</v>
      </c>
      <c r="H18" s="15"/>
      <c r="I18" s="7"/>
      <c r="J18" s="7"/>
      <c r="K18" s="7"/>
      <c r="L18" s="7"/>
      <c r="M18" s="7"/>
      <c r="N18" s="7"/>
      <c r="O18" s="7"/>
      <c r="P18" s="7"/>
      <c r="Q18" s="7"/>
      <c r="R18" s="14">
        <v>3.0300000000000001E-2</v>
      </c>
    </row>
    <row r="19" spans="1:18" x14ac:dyDescent="0.25">
      <c r="A19" s="2" t="s">
        <v>131</v>
      </c>
      <c r="B19" s="3" t="s">
        <v>153</v>
      </c>
      <c r="C19" s="4" t="s">
        <v>132</v>
      </c>
      <c r="D19" s="2" t="s">
        <v>124</v>
      </c>
      <c r="E19" s="3" t="s">
        <v>133</v>
      </c>
      <c r="F19" s="3" t="s">
        <v>134</v>
      </c>
      <c r="G19" s="5">
        <f>COUNTA(H19:R19)</f>
        <v>1</v>
      </c>
      <c r="H19" s="15"/>
      <c r="I19" s="7"/>
      <c r="J19" s="7"/>
      <c r="K19" s="7"/>
      <c r="L19" s="7"/>
      <c r="M19" s="7"/>
      <c r="N19" s="7"/>
      <c r="O19" s="7"/>
      <c r="P19" s="7"/>
      <c r="Q19" s="7"/>
      <c r="R19" s="14">
        <v>3.0099999999999998E-2</v>
      </c>
    </row>
    <row r="20" spans="1:18" x14ac:dyDescent="0.25">
      <c r="A20" s="2" t="s">
        <v>91</v>
      </c>
      <c r="B20" s="3" t="s">
        <v>155</v>
      </c>
      <c r="C20" s="4" t="s">
        <v>92</v>
      </c>
      <c r="D20" s="2" t="s">
        <v>93</v>
      </c>
      <c r="E20" s="3" t="s">
        <v>94</v>
      </c>
      <c r="F20" s="3" t="s">
        <v>95</v>
      </c>
      <c r="G20" s="5">
        <f>COUNTA(H20:R20)</f>
        <v>2</v>
      </c>
      <c r="H20" s="15"/>
      <c r="I20" s="6">
        <v>6.08E-2</v>
      </c>
      <c r="J20" s="7"/>
      <c r="K20" s="7"/>
      <c r="L20" s="7"/>
      <c r="M20" s="7"/>
      <c r="N20" s="7"/>
      <c r="O20" s="6">
        <v>8.14E-2</v>
      </c>
      <c r="P20" s="7"/>
      <c r="Q20" s="7"/>
      <c r="R20" s="13"/>
    </row>
    <row r="21" spans="1:18" x14ac:dyDescent="0.25">
      <c r="A21" s="2" t="s">
        <v>135</v>
      </c>
      <c r="B21" s="3" t="s">
        <v>155</v>
      </c>
      <c r="C21" s="4" t="s">
        <v>136</v>
      </c>
      <c r="D21" s="2" t="s">
        <v>29</v>
      </c>
      <c r="E21" s="3" t="s">
        <v>137</v>
      </c>
      <c r="F21" s="3" t="s">
        <v>138</v>
      </c>
      <c r="G21" s="5">
        <f>COUNTA(H21:R21)</f>
        <v>1</v>
      </c>
      <c r="H21" s="15"/>
      <c r="I21" s="7"/>
      <c r="J21" s="7"/>
      <c r="K21" s="7"/>
      <c r="L21" s="7"/>
      <c r="M21" s="7"/>
      <c r="N21" s="7"/>
      <c r="O21" s="6">
        <v>4.0899999999999999E-2</v>
      </c>
      <c r="P21" s="7"/>
      <c r="Q21" s="7"/>
      <c r="R21" s="13"/>
    </row>
    <row r="22" spans="1:18" x14ac:dyDescent="0.25">
      <c r="A22" s="2" t="s">
        <v>36</v>
      </c>
      <c r="B22" s="3" t="s">
        <v>150</v>
      </c>
      <c r="C22" s="4" t="s">
        <v>37</v>
      </c>
      <c r="D22" s="2" t="s">
        <v>29</v>
      </c>
      <c r="E22" s="3" t="s">
        <v>38</v>
      </c>
      <c r="F22" s="3" t="s">
        <v>39</v>
      </c>
      <c r="G22" s="5">
        <f>COUNTA(H22:R22)</f>
        <v>9</v>
      </c>
      <c r="H22" s="12">
        <v>6.8199999999999997E-2</v>
      </c>
      <c r="I22" s="6">
        <v>9.9199999999999997E-2</v>
      </c>
      <c r="J22" s="6">
        <v>0.1123</v>
      </c>
      <c r="K22" s="6">
        <v>7.5600000000000001E-2</v>
      </c>
      <c r="L22" s="7"/>
      <c r="M22" s="6">
        <v>7.1900000000000006E-2</v>
      </c>
      <c r="N22" s="6">
        <v>7.7799999999999994E-2</v>
      </c>
      <c r="O22" s="7"/>
      <c r="P22" s="6">
        <v>0.11840000000000001</v>
      </c>
      <c r="Q22" s="6">
        <v>0.1162</v>
      </c>
      <c r="R22" s="14">
        <v>3.4500000000000003E-2</v>
      </c>
    </row>
    <row r="23" spans="1:18" x14ac:dyDescent="0.25">
      <c r="A23" s="2" t="s">
        <v>82</v>
      </c>
      <c r="B23" s="3" t="s">
        <v>150</v>
      </c>
      <c r="C23" s="4" t="s">
        <v>83</v>
      </c>
      <c r="D23" s="2" t="s">
        <v>84</v>
      </c>
      <c r="E23" s="3" t="s">
        <v>85</v>
      </c>
      <c r="F23" s="3" t="s">
        <v>86</v>
      </c>
      <c r="G23" s="5">
        <f>COUNTA(H23:R23)</f>
        <v>2</v>
      </c>
      <c r="H23" s="12">
        <v>6.8000000000000005E-2</v>
      </c>
      <c r="I23" s="6">
        <v>9.2999999999999999E-2</v>
      </c>
      <c r="J23" s="7"/>
      <c r="K23" s="7"/>
      <c r="L23" s="7"/>
      <c r="M23" s="7"/>
      <c r="N23" s="7"/>
      <c r="O23" s="7"/>
      <c r="P23" s="7"/>
      <c r="Q23" s="7"/>
      <c r="R23" s="13"/>
    </row>
    <row r="24" spans="1:18" x14ac:dyDescent="0.25">
      <c r="A24" s="2" t="s">
        <v>96</v>
      </c>
      <c r="B24" s="3" t="s">
        <v>156</v>
      </c>
      <c r="C24" s="4" t="s">
        <v>97</v>
      </c>
      <c r="D24" s="2" t="s">
        <v>29</v>
      </c>
      <c r="E24" s="3" t="s">
        <v>98</v>
      </c>
      <c r="F24" s="3" t="s">
        <v>99</v>
      </c>
      <c r="G24" s="5">
        <f>COUNTA(H24:R24)</f>
        <v>2</v>
      </c>
      <c r="H24" s="15"/>
      <c r="I24" s="7"/>
      <c r="J24" s="6">
        <v>4.3200000000000002E-2</v>
      </c>
      <c r="K24" s="7"/>
      <c r="L24" s="7"/>
      <c r="M24" s="7"/>
      <c r="N24" s="7"/>
      <c r="O24" s="7"/>
      <c r="P24" s="7"/>
      <c r="Q24" s="7"/>
      <c r="R24" s="14">
        <v>3.0200000000000001E-2</v>
      </c>
    </row>
    <row r="25" spans="1:18" x14ac:dyDescent="0.25">
      <c r="A25" s="2" t="s">
        <v>122</v>
      </c>
      <c r="B25" s="3" t="s">
        <v>156</v>
      </c>
      <c r="C25" s="4" t="s">
        <v>123</v>
      </c>
      <c r="D25" s="2" t="s">
        <v>124</v>
      </c>
      <c r="E25" s="3" t="s">
        <v>125</v>
      </c>
      <c r="F25" s="3" t="s">
        <v>126</v>
      </c>
      <c r="G25" s="5">
        <f>COUNTA(H25:R25)</f>
        <v>1</v>
      </c>
      <c r="H25" s="15"/>
      <c r="I25" s="7"/>
      <c r="J25" s="7"/>
      <c r="K25" s="7"/>
      <c r="L25" s="7"/>
      <c r="M25" s="7"/>
      <c r="N25" s="7"/>
      <c r="O25" s="7"/>
      <c r="P25" s="7"/>
      <c r="Q25" s="7"/>
      <c r="R25" s="14">
        <v>3.6200000000000003E-2</v>
      </c>
    </row>
    <row r="26" spans="1:18" x14ac:dyDescent="0.25">
      <c r="A26" s="2" t="s">
        <v>127</v>
      </c>
      <c r="B26" s="3" t="s">
        <v>156</v>
      </c>
      <c r="C26" s="4" t="s">
        <v>128</v>
      </c>
      <c r="D26" s="2" t="s">
        <v>29</v>
      </c>
      <c r="E26" s="3" t="s">
        <v>129</v>
      </c>
      <c r="F26" s="3" t="s">
        <v>130</v>
      </c>
      <c r="G26" s="5">
        <f>COUNTA(H26:R26)</f>
        <v>1</v>
      </c>
      <c r="H26" s="15"/>
      <c r="I26" s="7"/>
      <c r="J26" s="7"/>
      <c r="K26" s="7"/>
      <c r="L26" s="7"/>
      <c r="M26" s="7"/>
      <c r="N26" s="7"/>
      <c r="O26" s="6">
        <v>4.0500000000000001E-2</v>
      </c>
      <c r="P26" s="7"/>
      <c r="Q26" s="7"/>
      <c r="R26" s="13"/>
    </row>
    <row r="27" spans="1:18" x14ac:dyDescent="0.25">
      <c r="A27" s="2" t="s">
        <v>60</v>
      </c>
      <c r="B27" s="3" t="s">
        <v>151</v>
      </c>
      <c r="C27" s="4" t="s">
        <v>61</v>
      </c>
      <c r="D27" s="2" t="s">
        <v>29</v>
      </c>
      <c r="E27" s="3" t="s">
        <v>62</v>
      </c>
      <c r="F27" s="3" t="s">
        <v>63</v>
      </c>
      <c r="G27" s="5">
        <f>COUNTA(H27:R27)</f>
        <v>5</v>
      </c>
      <c r="H27" s="12">
        <v>3.6400000000000002E-2</v>
      </c>
      <c r="I27" s="7"/>
      <c r="J27" s="7"/>
      <c r="K27" s="6">
        <v>4.24E-2</v>
      </c>
      <c r="L27" s="7"/>
      <c r="M27" s="6">
        <v>4.1300000000000003E-2</v>
      </c>
      <c r="N27" s="6">
        <v>4.3900000000000002E-2</v>
      </c>
      <c r="O27" s="7"/>
      <c r="P27" s="6">
        <v>3.4200000000000001E-2</v>
      </c>
      <c r="Q27" s="7"/>
      <c r="R27" s="13"/>
    </row>
    <row r="28" spans="1:18" x14ac:dyDescent="0.25">
      <c r="A28" s="2" t="s">
        <v>64</v>
      </c>
      <c r="B28" s="3" t="s">
        <v>151</v>
      </c>
      <c r="C28" s="4" t="s">
        <v>65</v>
      </c>
      <c r="D28" s="2" t="s">
        <v>29</v>
      </c>
      <c r="E28" s="3" t="s">
        <v>66</v>
      </c>
      <c r="F28" s="3" t="s">
        <v>67</v>
      </c>
      <c r="G28" s="5">
        <f>COUNTA(H28:R28)</f>
        <v>4</v>
      </c>
      <c r="H28" s="15"/>
      <c r="I28" s="7"/>
      <c r="J28" s="7"/>
      <c r="K28" s="6">
        <v>4.1700000000000001E-2</v>
      </c>
      <c r="L28" s="7"/>
      <c r="M28" s="6">
        <v>4.0399999999999998E-2</v>
      </c>
      <c r="N28" s="6">
        <v>3.9600000000000003E-2</v>
      </c>
      <c r="O28" s="7"/>
      <c r="P28" s="6">
        <v>3.1600000000000003E-2</v>
      </c>
      <c r="Q28" s="7"/>
      <c r="R28" s="13"/>
    </row>
    <row r="29" spans="1:18" x14ac:dyDescent="0.25">
      <c r="A29" s="2" t="s">
        <v>68</v>
      </c>
      <c r="B29" s="3" t="s">
        <v>151</v>
      </c>
      <c r="C29" s="4" t="s">
        <v>69</v>
      </c>
      <c r="D29" s="2" t="s">
        <v>29</v>
      </c>
      <c r="E29" s="3" t="s">
        <v>70</v>
      </c>
      <c r="F29" s="3" t="s">
        <v>71</v>
      </c>
      <c r="G29" s="5">
        <f>COUNTA(H29:R29)</f>
        <v>3</v>
      </c>
      <c r="H29" s="15"/>
      <c r="I29" s="7"/>
      <c r="J29" s="7"/>
      <c r="K29" s="6">
        <v>3.8800000000000001E-2</v>
      </c>
      <c r="L29" s="7"/>
      <c r="M29" s="6">
        <v>3.7999999999999999E-2</v>
      </c>
      <c r="N29" s="7"/>
      <c r="O29" s="7"/>
      <c r="P29" s="7"/>
      <c r="Q29" s="6">
        <v>4.4499999999999998E-2</v>
      </c>
      <c r="R29" s="13"/>
    </row>
    <row r="30" spans="1:18" x14ac:dyDescent="0.25">
      <c r="A30" s="2" t="s">
        <v>72</v>
      </c>
      <c r="B30" s="3" t="s">
        <v>151</v>
      </c>
      <c r="C30" s="4" t="s">
        <v>73</v>
      </c>
      <c r="D30" s="2" t="s">
        <v>74</v>
      </c>
      <c r="E30" s="3" t="s">
        <v>75</v>
      </c>
      <c r="F30" s="3" t="s">
        <v>76</v>
      </c>
      <c r="G30" s="5">
        <f>COUNTA(H30:R30)</f>
        <v>2</v>
      </c>
      <c r="H30" s="15"/>
      <c r="I30" s="6">
        <v>8.2400000000000001E-2</v>
      </c>
      <c r="J30" s="7"/>
      <c r="K30" s="7"/>
      <c r="L30" s="7"/>
      <c r="M30" s="6">
        <v>6.4399999999999999E-2</v>
      </c>
      <c r="N30" s="7"/>
      <c r="O30" s="7"/>
      <c r="P30" s="7"/>
      <c r="Q30" s="7"/>
      <c r="R30" s="13"/>
    </row>
    <row r="31" spans="1:18" x14ac:dyDescent="0.25">
      <c r="A31" s="2"/>
      <c r="B31" s="3"/>
      <c r="C31" s="3"/>
      <c r="D31" s="2"/>
      <c r="E31" s="3"/>
      <c r="F31" s="3"/>
      <c r="G31" s="18"/>
      <c r="H31" s="20">
        <f>COUNTA(H32:H59)</f>
        <v>0</v>
      </c>
      <c r="I31" s="21">
        <f>COUNTA(I32:I59)</f>
        <v>0</v>
      </c>
      <c r="J31" s="21">
        <f>COUNTA(J32:J59)</f>
        <v>0</v>
      </c>
      <c r="K31" s="21">
        <f>COUNTA(K32:K59)</f>
        <v>0</v>
      </c>
      <c r="L31" s="21">
        <f>COUNTA(L32:L59)</f>
        <v>0</v>
      </c>
      <c r="M31" s="21">
        <f>COUNTA(M32:M59)</f>
        <v>0</v>
      </c>
      <c r="N31" s="21">
        <f>COUNTA(N32:N59)</f>
        <v>0</v>
      </c>
      <c r="O31" s="21">
        <f>COUNTA(O32:O59)</f>
        <v>0</v>
      </c>
      <c r="P31" s="21">
        <f>COUNTA(P32:P59)</f>
        <v>0</v>
      </c>
      <c r="Q31" s="21">
        <f>COUNTA(Q32:Q59)</f>
        <v>0</v>
      </c>
      <c r="R31" s="23">
        <f>COUNTA(R32:R59)</f>
        <v>0</v>
      </c>
    </row>
  </sheetData>
  <autoFilter ref="A2:R31" xr:uid="{43B738D0-9D6F-437E-BF67-7D8FAFC35761}">
    <sortState xmlns:xlrd2="http://schemas.microsoft.com/office/spreadsheetml/2017/richdata2" ref="A3:R31">
      <sortCondition ref="B3:B3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ETF_Portfolio-SEMICONDUCTOR_202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Ashish Sinha</cp:lastModifiedBy>
  <dcterms:created xsi:type="dcterms:W3CDTF">2026-06-13T16:42:23Z</dcterms:created>
  <dcterms:modified xsi:type="dcterms:W3CDTF">2026-06-13T19:25:00Z</dcterms:modified>
</cp:coreProperties>
</file>