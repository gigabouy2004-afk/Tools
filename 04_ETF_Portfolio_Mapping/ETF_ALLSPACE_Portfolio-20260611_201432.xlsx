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8_{67926D97-B87E-435A-A4CE-689AA291567C}" xr6:coauthVersionLast="47" xr6:coauthVersionMax="47" xr10:uidLastSave="{00000000-0000-0000-0000-000000000000}"/>
  <bookViews>
    <workbookView xWindow="-120" yWindow="-120" windowWidth="29040" windowHeight="15720" xr2:uid="{878A1975-B6F4-450B-98B0-590922E1573D}"/>
  </bookViews>
  <sheets>
    <sheet name="ETF_Portfolio-20260611_201432" sheetId="1" r:id="rId1"/>
  </sheets>
  <calcPr calcId="0"/>
</workbook>
</file>

<file path=xl/calcChain.xml><?xml version="1.0" encoding="utf-8"?>
<calcChain xmlns="http://schemas.openxmlformats.org/spreadsheetml/2006/main">
  <c r="H2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" i="1"/>
  <c r="O2" i="1"/>
  <c r="N2" i="1"/>
  <c r="M2" i="1"/>
  <c r="L2" i="1"/>
  <c r="K2" i="1"/>
  <c r="J2" i="1"/>
  <c r="I2" i="1"/>
  <c r="G2" i="1"/>
</calcChain>
</file>

<file path=xl/sharedStrings.xml><?xml version="1.0" encoding="utf-8"?>
<sst xmlns="http://schemas.openxmlformats.org/spreadsheetml/2006/main" count="218" uniqueCount="186">
  <si>
    <t>$32.7000</t>
  </si>
  <si>
    <t>$26.8600</t>
  </si>
  <si>
    <t>$32.5600</t>
  </si>
  <si>
    <t>Error</t>
  </si>
  <si>
    <t>$55.7800</t>
  </si>
  <si>
    <t>$115.8700</t>
  </si>
  <si>
    <t>$52.3600</t>
  </si>
  <si>
    <t>$31.4400</t>
  </si>
  <si>
    <t>$27.2600</t>
  </si>
  <si>
    <t>Company Name</t>
  </si>
  <si>
    <t>Stock Ticker</t>
  </si>
  <si>
    <t>Exchange</t>
  </si>
  <si>
    <t>Market Cap</t>
  </si>
  <si>
    <t>Price</t>
  </si>
  <si>
    <t>ARKX</t>
  </si>
  <si>
    <t>DIPR</t>
  </si>
  <si>
    <t>MARS</t>
  </si>
  <si>
    <t>NASA</t>
  </si>
  <si>
    <t>ORBX</t>
  </si>
  <si>
    <t>ROKT</t>
  </si>
  <si>
    <t>UFO</t>
  </si>
  <si>
    <t>WAR</t>
  </si>
  <si>
    <t>WARP</t>
  </si>
  <si>
    <t>Rocket Lab Corp</t>
  </si>
  <si>
    <t>RKLB</t>
  </si>
  <si>
    <t>United States (NMS)</t>
  </si>
  <si>
    <t>$68.27B</t>
  </si>
  <si>
    <t>$109.26</t>
  </si>
  <si>
    <t>Intuitive Machines Inc Ordinary Shares - Class A</t>
  </si>
  <si>
    <t>LUNR</t>
  </si>
  <si>
    <t>United States (NGM)</t>
  </si>
  <si>
    <t>$4.73B</t>
  </si>
  <si>
    <t>$29.49</t>
  </si>
  <si>
    <t>Planet Labs PBC Class A</t>
  </si>
  <si>
    <t>PL</t>
  </si>
  <si>
    <t>United States (NYQ)</t>
  </si>
  <si>
    <t>$11.66B</t>
  </si>
  <si>
    <t>$32.70</t>
  </si>
  <si>
    <t>Iridium Communications Inc</t>
  </si>
  <si>
    <t>IRDM</t>
  </si>
  <si>
    <t>$5.04B</t>
  </si>
  <si>
    <t>$47.62</t>
  </si>
  <si>
    <t>AST SpaceMobile Inc Ordinary Shares - Class A</t>
  </si>
  <si>
    <t>ASTS</t>
  </si>
  <si>
    <t>$35.69B</t>
  </si>
  <si>
    <t>$91.98</t>
  </si>
  <si>
    <t>Viasat Inc</t>
  </si>
  <si>
    <t>VSAT</t>
  </si>
  <si>
    <t>$8.91B</t>
  </si>
  <si>
    <t>$65.21</t>
  </si>
  <si>
    <t>Redwire Corp</t>
  </si>
  <si>
    <t>RDW</t>
  </si>
  <si>
    <t>$3.16B</t>
  </si>
  <si>
    <t>$15.87</t>
  </si>
  <si>
    <t>EchoStar Corp Class A</t>
  </si>
  <si>
    <t>SATS</t>
  </si>
  <si>
    <t>$34.83B</t>
  </si>
  <si>
    <t>$120.17</t>
  </si>
  <si>
    <t>MDA Space Ltd</t>
  </si>
  <si>
    <t>MDA.TO</t>
  </si>
  <si>
    <t>Canada (TOR)</t>
  </si>
  <si>
    <t>C$7.71B</t>
  </si>
  <si>
    <t>C$55.60</t>
  </si>
  <si>
    <t>Globalstar Inc</t>
  </si>
  <si>
    <t>GSAT</t>
  </si>
  <si>
    <t>$10.43B</t>
  </si>
  <si>
    <t>$80.97</t>
  </si>
  <si>
    <t>Firefly Aerospace Inc</t>
  </si>
  <si>
    <t>FLY</t>
  </si>
  <si>
    <t>$6.15B</t>
  </si>
  <si>
    <t>$37.44</t>
  </si>
  <si>
    <t>AeroVironment Inc</t>
  </si>
  <si>
    <t>AVAV</t>
  </si>
  <si>
    <t>$8.97B</t>
  </si>
  <si>
    <t>$177.25</t>
  </si>
  <si>
    <t>Advanced Micro Devices Inc</t>
  </si>
  <si>
    <t>AMD</t>
  </si>
  <si>
    <t>$769.53B</t>
  </si>
  <si>
    <t>$472.06</t>
  </si>
  <si>
    <t>SES SA DR</t>
  </si>
  <si>
    <t>SESGL</t>
  </si>
  <si>
    <t>Unknown</t>
  </si>
  <si>
    <t>N/A</t>
  </si>
  <si>
    <t>Amazon.com Inc</t>
  </si>
  <si>
    <t>AMZN</t>
  </si>
  <si>
    <t>$2.55T</t>
  </si>
  <si>
    <t>$237.22</t>
  </si>
  <si>
    <t>Astera Labs Inc</t>
  </si>
  <si>
    <t>ALAB</t>
  </si>
  <si>
    <t>$60.27B</t>
  </si>
  <si>
    <t>$351.62</t>
  </si>
  <si>
    <t>Archer Aviation Inc Class A</t>
  </si>
  <si>
    <t>ACHR</t>
  </si>
  <si>
    <t>$3.84B</t>
  </si>
  <si>
    <t>$5.03</t>
  </si>
  <si>
    <t>Amprius Technologies Inc</t>
  </si>
  <si>
    <t>AMPX</t>
  </si>
  <si>
    <t>$2.34B</t>
  </si>
  <si>
    <t>$16.55</t>
  </si>
  <si>
    <t>Droneshield Ltd</t>
  </si>
  <si>
    <t>DRO.AX</t>
  </si>
  <si>
    <t>Australia (ASX)</t>
  </si>
  <si>
    <t>A$2.58B</t>
  </si>
  <si>
    <t>A$2.79</t>
  </si>
  <si>
    <t>ESCO Technologies Inc</t>
  </si>
  <si>
    <t>ESE</t>
  </si>
  <si>
    <t>$8.06B</t>
  </si>
  <si>
    <t>$311.19</t>
  </si>
  <si>
    <t>Deere &amp; Co</t>
  </si>
  <si>
    <t>DE</t>
  </si>
  <si>
    <t>$152.75B</t>
  </si>
  <si>
    <t>$565.88</t>
  </si>
  <si>
    <t>Ducommun Inc</t>
  </si>
  <si>
    <t>DCO</t>
  </si>
  <si>
    <t>$2.43B</t>
  </si>
  <si>
    <t>$161.02</t>
  </si>
  <si>
    <t>Astroscale Holdings Inc</t>
  </si>
  <si>
    <t>186A.T</t>
  </si>
  <si>
    <t>Japan (JPX)</t>
  </si>
  <si>
    <t>¥250.49B</t>
  </si>
  <si>
    <t>¥1810.00</t>
  </si>
  <si>
    <t>Mercury Systems Inc</t>
  </si>
  <si>
    <t>MRCY</t>
  </si>
  <si>
    <t>$6.86B</t>
  </si>
  <si>
    <t>$114.26</t>
  </si>
  <si>
    <t>Marvell Technology Inc</t>
  </si>
  <si>
    <t>MRVL</t>
  </si>
  <si>
    <t>$231.03B</t>
  </si>
  <si>
    <t>$264.10</t>
  </si>
  <si>
    <t>Lockheed Martin Corp</t>
  </si>
  <si>
    <t>LMT</t>
  </si>
  <si>
    <t>$125.34B</t>
  </si>
  <si>
    <t>$543.62</t>
  </si>
  <si>
    <t>L3Harris Technologies Inc</t>
  </si>
  <si>
    <t>LHX</t>
  </si>
  <si>
    <t>$57.69B</t>
  </si>
  <si>
    <t>$309.69</t>
  </si>
  <si>
    <t>Kratos Defense &amp; Security Solutions Inc</t>
  </si>
  <si>
    <t>KTOS</t>
  </si>
  <si>
    <t>$55.61</t>
  </si>
  <si>
    <t>NVIDIA Corp</t>
  </si>
  <si>
    <t>NVDA</t>
  </si>
  <si>
    <t>$4.90T</t>
  </si>
  <si>
    <t>$202.38</t>
  </si>
  <si>
    <t>Micron Technology Inc</t>
  </si>
  <si>
    <t>MU</t>
  </si>
  <si>
    <t>$1.03T</t>
  </si>
  <si>
    <t>$913.49</t>
  </si>
  <si>
    <t>Mildef Group AB Ordinary Shares</t>
  </si>
  <si>
    <t>MILDEF.ST</t>
  </si>
  <si>
    <t>Sweden (STO)</t>
  </si>
  <si>
    <t>SEK 9.36B</t>
  </si>
  <si>
    <t>SEK 198.75</t>
  </si>
  <si>
    <t>OHB SE</t>
  </si>
  <si>
    <t>OHB.DE</t>
  </si>
  <si>
    <t>Germany (GER)</t>
  </si>
  <si>
    <t>€7.64B</t>
  </si>
  <si>
    <t>Palantir Technologies Inc Ordinary Shares - Class A</t>
  </si>
  <si>
    <t>PLTR</t>
  </si>
  <si>
    <t>$310.64B</t>
  </si>
  <si>
    <t>$129.58</t>
  </si>
  <si>
    <t>Moog Inc Class A</t>
  </si>
  <si>
    <t>MOG-A</t>
  </si>
  <si>
    <t>$12.50B</t>
  </si>
  <si>
    <t>$394.67</t>
  </si>
  <si>
    <t>SKY Perfect JSAT Corp</t>
  </si>
  <si>
    <t>9412.T</t>
  </si>
  <si>
    <t>¥918.34B</t>
  </si>
  <si>
    <t>¥3240.00</t>
  </si>
  <si>
    <t>Sirius XM Holdings Inc</t>
  </si>
  <si>
    <t>SIRI</t>
  </si>
  <si>
    <t>$9.05B</t>
  </si>
  <si>
    <t>$26.88</t>
  </si>
  <si>
    <t>TTM Technologies Inc</t>
  </si>
  <si>
    <t>TTMI</t>
  </si>
  <si>
    <t>$18.60B</t>
  </si>
  <si>
    <t>$179.09</t>
  </si>
  <si>
    <t>Teradyne Inc</t>
  </si>
  <si>
    <t>TER</t>
  </si>
  <si>
    <t>$57.34B</t>
  </si>
  <si>
    <t>$366.26</t>
  </si>
  <si>
    <t>Voyager Technologies Inc Class A</t>
  </si>
  <si>
    <t>VOYG</t>
  </si>
  <si>
    <t>$2.70B</t>
  </si>
  <si>
    <t>$45.63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</si>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</sst>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.00;[Red]\-[$€-2]\ #,##0.00"/>
  </numFmts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150FF-A7AA-49CC-8C57-29F52C9603F7}">
  <dimension ref="A1:O42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G4" sqref="G4"/>
    </sheetView>
  </sheetViews>
  <sheetFormatPr defaultRowHeight="15" x14ac:dyDescent="0.25"/>
  <cols>
    <col min="1" max="1" width="46.42578125" bestFit="1" customWidth="1"/>
    <col min="2" max="2" width="11.42578125" bestFit="1" customWidth="1"/>
    <col min="4" max="4" width="15" customWidth="1"/>
    <col min="5" max="6" width="12.7109375" customWidth="1"/>
  </cols>
  <sheetData>
    <row r="1" spans="1:15" x14ac:dyDescent="0.2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</row>
    <row r="2" spans="1:15" x14ac:dyDescent="0.25">
      <c r="G2">
        <f>COUNTA(G4:G42)</f>
        <v>10</v>
      </c>
      <c r="H2">
        <f>COUNTA(H4:H42)</f>
        <v>10</v>
      </c>
      <c r="I2">
        <f t="shared" ref="H2:O2" si="0">COUNTA(I4:I42)</f>
        <v>10</v>
      </c>
      <c r="J2">
        <f t="shared" si="0"/>
        <v>0</v>
      </c>
      <c r="K2">
        <f t="shared" si="0"/>
        <v>10</v>
      </c>
      <c r="L2">
        <f t="shared" si="0"/>
        <v>10</v>
      </c>
      <c r="M2">
        <f t="shared" si="0"/>
        <v>10</v>
      </c>
      <c r="N2">
        <f t="shared" si="0"/>
        <v>10</v>
      </c>
      <c r="O2">
        <f t="shared" si="0"/>
        <v>10</v>
      </c>
    </row>
    <row r="3" spans="1:1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185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</row>
    <row r="4" spans="1:15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s="3">
        <f>COUNTA(G4:O4)</f>
        <v>7</v>
      </c>
      <c r="G4" s="1">
        <v>8.7400000000000005E-2</v>
      </c>
      <c r="H4" s="1">
        <v>0.1009</v>
      </c>
      <c r="I4" s="1">
        <v>0.14180000000000001</v>
      </c>
      <c r="K4" s="1">
        <v>0.2266</v>
      </c>
      <c r="L4" s="1">
        <v>5.28E-2</v>
      </c>
      <c r="M4" s="1">
        <v>6.9099999999999995E-2</v>
      </c>
      <c r="O4" s="1">
        <v>9.3600000000000003E-2</v>
      </c>
    </row>
    <row r="5" spans="1:1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s="3">
        <f t="shared" ref="F5:F42" si="1">COUNTA(G5:O5)</f>
        <v>6</v>
      </c>
      <c r="H5" s="1">
        <v>4.3200000000000002E-2</v>
      </c>
      <c r="I5" s="1">
        <v>4.9399999999999999E-2</v>
      </c>
      <c r="K5" s="1">
        <v>6.1699999999999998E-2</v>
      </c>
      <c r="L5" s="1">
        <v>7.8299999999999995E-2</v>
      </c>
      <c r="M5" s="1">
        <v>4.7300000000000002E-2</v>
      </c>
      <c r="O5" s="1">
        <v>6.2799999999999995E-2</v>
      </c>
    </row>
    <row r="6" spans="1:15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s="3">
        <f t="shared" si="1"/>
        <v>6</v>
      </c>
      <c r="H6" s="1">
        <v>4.9200000000000001E-2</v>
      </c>
      <c r="I6" s="1">
        <v>5.7700000000000001E-2</v>
      </c>
      <c r="K6" s="1">
        <v>0.1197</v>
      </c>
      <c r="L6" s="1">
        <v>8.3500000000000005E-2</v>
      </c>
      <c r="M6" s="1">
        <v>6.7500000000000004E-2</v>
      </c>
      <c r="O6" s="1">
        <v>9.4399999999999998E-2</v>
      </c>
    </row>
    <row r="7" spans="1:15" x14ac:dyDescent="0.25">
      <c r="A7" t="s">
        <v>38</v>
      </c>
      <c r="B7" t="s">
        <v>39</v>
      </c>
      <c r="C7" t="s">
        <v>25</v>
      </c>
      <c r="D7" t="s">
        <v>40</v>
      </c>
      <c r="E7" t="s">
        <v>41</v>
      </c>
      <c r="F7" s="3">
        <f t="shared" si="1"/>
        <v>5</v>
      </c>
      <c r="G7" s="1">
        <v>4.0500000000000001E-2</v>
      </c>
      <c r="K7" s="1">
        <v>5.6899999999999999E-2</v>
      </c>
      <c r="L7" s="1">
        <v>5.8000000000000003E-2</v>
      </c>
      <c r="M7" s="1">
        <v>4.7199999999999999E-2</v>
      </c>
      <c r="O7" s="1">
        <v>5.4100000000000002E-2</v>
      </c>
    </row>
    <row r="8" spans="1:15" x14ac:dyDescent="0.25">
      <c r="A8" t="s">
        <v>42</v>
      </c>
      <c r="B8" t="s">
        <v>43</v>
      </c>
      <c r="C8" t="s">
        <v>25</v>
      </c>
      <c r="D8" t="s">
        <v>44</v>
      </c>
      <c r="E8" t="s">
        <v>45</v>
      </c>
      <c r="F8" s="3">
        <f t="shared" si="1"/>
        <v>5</v>
      </c>
      <c r="H8" s="1">
        <v>5.45E-2</v>
      </c>
      <c r="I8" s="1">
        <v>8.7999999999999995E-2</v>
      </c>
      <c r="K8" s="1">
        <v>7.9100000000000004E-2</v>
      </c>
      <c r="M8" s="1">
        <v>4.2900000000000001E-2</v>
      </c>
      <c r="O8" s="1">
        <v>6.0499999999999998E-2</v>
      </c>
    </row>
    <row r="9" spans="1:15" x14ac:dyDescent="0.25">
      <c r="A9" t="s">
        <v>46</v>
      </c>
      <c r="B9" t="s">
        <v>47</v>
      </c>
      <c r="C9" t="s">
        <v>25</v>
      </c>
      <c r="D9" t="s">
        <v>48</v>
      </c>
      <c r="E9" t="s">
        <v>49</v>
      </c>
      <c r="F9" s="3">
        <f t="shared" si="1"/>
        <v>5</v>
      </c>
      <c r="H9" s="1">
        <v>4.1200000000000001E-2</v>
      </c>
      <c r="I9" s="1">
        <v>4.2999999999999997E-2</v>
      </c>
      <c r="K9" s="1">
        <v>4.36E-2</v>
      </c>
      <c r="M9" s="1">
        <v>5.7099999999999998E-2</v>
      </c>
      <c r="O9" s="1">
        <v>7.0699999999999999E-2</v>
      </c>
    </row>
    <row r="10" spans="1:15" x14ac:dyDescent="0.25">
      <c r="A10" t="s">
        <v>50</v>
      </c>
      <c r="B10" t="s">
        <v>51</v>
      </c>
      <c r="C10" t="s">
        <v>35</v>
      </c>
      <c r="D10" t="s">
        <v>52</v>
      </c>
      <c r="E10" t="s">
        <v>53</v>
      </c>
      <c r="F10" s="3">
        <f t="shared" si="1"/>
        <v>5</v>
      </c>
      <c r="H10" s="1">
        <v>5.16E-2</v>
      </c>
      <c r="I10" s="1">
        <v>4.0800000000000003E-2</v>
      </c>
      <c r="K10" s="1">
        <v>4.0899999999999999E-2</v>
      </c>
      <c r="L10" s="1">
        <v>6.9400000000000003E-2</v>
      </c>
      <c r="O10" s="1">
        <v>5.8599999999999999E-2</v>
      </c>
    </row>
    <row r="11" spans="1:15" x14ac:dyDescent="0.25">
      <c r="A11" t="s">
        <v>54</v>
      </c>
      <c r="B11" t="s">
        <v>55</v>
      </c>
      <c r="C11" t="s">
        <v>25</v>
      </c>
      <c r="D11" t="s">
        <v>56</v>
      </c>
      <c r="E11" t="s">
        <v>57</v>
      </c>
      <c r="F11" s="3">
        <f t="shared" si="1"/>
        <v>3</v>
      </c>
      <c r="H11" s="1">
        <v>4.0399999999999998E-2</v>
      </c>
      <c r="I11" s="1">
        <v>7.22E-2</v>
      </c>
      <c r="O11" s="1">
        <v>5.4100000000000002E-2</v>
      </c>
    </row>
    <row r="12" spans="1:15" x14ac:dyDescent="0.25">
      <c r="A12" t="s">
        <v>58</v>
      </c>
      <c r="B12" t="s">
        <v>59</v>
      </c>
      <c r="C12" t="s">
        <v>60</v>
      </c>
      <c r="D12" t="s">
        <v>61</v>
      </c>
      <c r="E12" t="s">
        <v>62</v>
      </c>
      <c r="F12" s="3">
        <f t="shared" si="1"/>
        <v>3</v>
      </c>
      <c r="H12" s="1">
        <v>3.7400000000000003E-2</v>
      </c>
      <c r="K12" s="1">
        <v>3.8800000000000001E-2</v>
      </c>
      <c r="M12" s="1">
        <v>4.7500000000000001E-2</v>
      </c>
    </row>
    <row r="13" spans="1:15" x14ac:dyDescent="0.25">
      <c r="A13" t="s">
        <v>63</v>
      </c>
      <c r="B13" t="s">
        <v>64</v>
      </c>
      <c r="C13" t="s">
        <v>25</v>
      </c>
      <c r="D13" t="s">
        <v>65</v>
      </c>
      <c r="E13" t="s">
        <v>66</v>
      </c>
      <c r="F13" s="3">
        <f t="shared" si="1"/>
        <v>2</v>
      </c>
      <c r="I13" s="1">
        <v>3.9100000000000003E-2</v>
      </c>
      <c r="M13" s="1">
        <v>4.2799999999999998E-2</v>
      </c>
    </row>
    <row r="14" spans="1:15" x14ac:dyDescent="0.25">
      <c r="A14" t="s">
        <v>67</v>
      </c>
      <c r="B14" t="s">
        <v>68</v>
      </c>
      <c r="C14" t="s">
        <v>30</v>
      </c>
      <c r="D14" t="s">
        <v>69</v>
      </c>
      <c r="E14" t="s">
        <v>70</v>
      </c>
      <c r="F14" s="3">
        <f t="shared" si="1"/>
        <v>2</v>
      </c>
      <c r="K14" s="1">
        <v>5.8599999999999999E-2</v>
      </c>
      <c r="O14" s="1">
        <v>5.96E-2</v>
      </c>
    </row>
    <row r="15" spans="1:15" x14ac:dyDescent="0.25">
      <c r="A15" t="s">
        <v>71</v>
      </c>
      <c r="B15" t="s">
        <v>72</v>
      </c>
      <c r="C15" t="s">
        <v>25</v>
      </c>
      <c r="D15" t="s">
        <v>73</v>
      </c>
      <c r="E15" t="s">
        <v>74</v>
      </c>
      <c r="F15" s="3">
        <f t="shared" si="1"/>
        <v>2</v>
      </c>
      <c r="G15" s="1">
        <v>4.9200000000000001E-2</v>
      </c>
      <c r="N15" s="1">
        <v>4.1200000000000001E-2</v>
      </c>
    </row>
    <row r="16" spans="1:15" x14ac:dyDescent="0.25">
      <c r="A16" t="s">
        <v>75</v>
      </c>
      <c r="B16" t="s">
        <v>76</v>
      </c>
      <c r="C16" t="s">
        <v>25</v>
      </c>
      <c r="D16" t="s">
        <v>77</v>
      </c>
      <c r="E16" t="s">
        <v>78</v>
      </c>
      <c r="F16" s="3">
        <f t="shared" si="1"/>
        <v>2</v>
      </c>
      <c r="G16" s="1">
        <v>7.8700000000000006E-2</v>
      </c>
      <c r="N16" s="1">
        <v>7.3200000000000001E-2</v>
      </c>
    </row>
    <row r="17" spans="1:15" x14ac:dyDescent="0.25">
      <c r="A17" t="s">
        <v>79</v>
      </c>
      <c r="B17" t="s">
        <v>80</v>
      </c>
      <c r="C17" t="s">
        <v>81</v>
      </c>
      <c r="D17" t="s">
        <v>82</v>
      </c>
      <c r="E17" t="s">
        <v>82</v>
      </c>
      <c r="F17" s="3">
        <f t="shared" si="1"/>
        <v>2</v>
      </c>
      <c r="K17" s="1">
        <v>3.6700000000000003E-2</v>
      </c>
      <c r="M17" s="1">
        <v>4.2200000000000001E-2</v>
      </c>
    </row>
    <row r="18" spans="1:15" x14ac:dyDescent="0.25">
      <c r="A18" t="s">
        <v>83</v>
      </c>
      <c r="B18" t="s">
        <v>84</v>
      </c>
      <c r="C18" t="s">
        <v>25</v>
      </c>
      <c r="D18" t="s">
        <v>85</v>
      </c>
      <c r="E18" t="s">
        <v>86</v>
      </c>
      <c r="F18" s="3">
        <f t="shared" si="1"/>
        <v>1</v>
      </c>
      <c r="G18" s="1">
        <v>3.9899999999999998E-2</v>
      </c>
    </row>
    <row r="19" spans="1:15" x14ac:dyDescent="0.25">
      <c r="A19" t="s">
        <v>87</v>
      </c>
      <c r="B19" t="s">
        <v>88</v>
      </c>
      <c r="C19" t="s">
        <v>25</v>
      </c>
      <c r="D19" t="s">
        <v>89</v>
      </c>
      <c r="E19" t="s">
        <v>90</v>
      </c>
      <c r="F19" s="3">
        <f t="shared" si="1"/>
        <v>1</v>
      </c>
      <c r="N19" s="1">
        <v>9.9000000000000005E-2</v>
      </c>
    </row>
    <row r="20" spans="1:15" x14ac:dyDescent="0.25">
      <c r="A20" t="s">
        <v>91</v>
      </c>
      <c r="B20" t="s">
        <v>92</v>
      </c>
      <c r="C20" t="s">
        <v>35</v>
      </c>
      <c r="D20" t="s">
        <v>93</v>
      </c>
      <c r="E20" t="s">
        <v>94</v>
      </c>
      <c r="F20" s="3">
        <f t="shared" si="1"/>
        <v>1</v>
      </c>
      <c r="G20" s="1">
        <v>4.0800000000000003E-2</v>
      </c>
    </row>
    <row r="21" spans="1:15" x14ac:dyDescent="0.25">
      <c r="A21" t="s">
        <v>95</v>
      </c>
      <c r="B21" t="s">
        <v>96</v>
      </c>
      <c r="C21" t="s">
        <v>35</v>
      </c>
      <c r="D21" t="s">
        <v>97</v>
      </c>
      <c r="E21" t="s">
        <v>98</v>
      </c>
      <c r="F21" s="3">
        <f t="shared" si="1"/>
        <v>1</v>
      </c>
      <c r="N21" s="1">
        <v>6.2399999999999997E-2</v>
      </c>
    </row>
    <row r="22" spans="1:15" x14ac:dyDescent="0.25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s="3">
        <f t="shared" si="1"/>
        <v>1</v>
      </c>
      <c r="N22" s="1">
        <v>4.9599999999999998E-2</v>
      </c>
    </row>
    <row r="23" spans="1:15" x14ac:dyDescent="0.25">
      <c r="A23" t="s">
        <v>104</v>
      </c>
      <c r="B23" t="s">
        <v>105</v>
      </c>
      <c r="C23" t="s">
        <v>35</v>
      </c>
      <c r="D23" t="s">
        <v>106</v>
      </c>
      <c r="E23" t="s">
        <v>107</v>
      </c>
      <c r="F23" s="3">
        <f t="shared" si="1"/>
        <v>1</v>
      </c>
      <c r="L23" s="1">
        <v>3.04E-2</v>
      </c>
    </row>
    <row r="24" spans="1:15" x14ac:dyDescent="0.25">
      <c r="A24" t="s">
        <v>108</v>
      </c>
      <c r="B24" t="s">
        <v>109</v>
      </c>
      <c r="C24" t="s">
        <v>35</v>
      </c>
      <c r="D24" t="s">
        <v>110</v>
      </c>
      <c r="E24" t="s">
        <v>111</v>
      </c>
      <c r="F24" s="3">
        <f t="shared" si="1"/>
        <v>1</v>
      </c>
      <c r="G24" s="1">
        <v>4.7399999999999998E-2</v>
      </c>
    </row>
    <row r="25" spans="1:15" x14ac:dyDescent="0.25">
      <c r="A25" t="s">
        <v>112</v>
      </c>
      <c r="B25" t="s">
        <v>113</v>
      </c>
      <c r="C25" t="s">
        <v>35</v>
      </c>
      <c r="D25" t="s">
        <v>114</v>
      </c>
      <c r="E25" t="s">
        <v>115</v>
      </c>
      <c r="F25" s="3">
        <f t="shared" si="1"/>
        <v>1</v>
      </c>
      <c r="L25" s="1">
        <v>3.1399999999999997E-2</v>
      </c>
    </row>
    <row r="26" spans="1:15" x14ac:dyDescent="0.25">
      <c r="A26" t="s">
        <v>116</v>
      </c>
      <c r="B26" t="s">
        <v>117</v>
      </c>
      <c r="C26" t="s">
        <v>118</v>
      </c>
      <c r="D26" t="s">
        <v>119</v>
      </c>
      <c r="E26" t="s">
        <v>120</v>
      </c>
      <c r="F26" s="3">
        <f t="shared" si="1"/>
        <v>1</v>
      </c>
      <c r="O26" s="1">
        <v>5.6500000000000002E-2</v>
      </c>
    </row>
    <row r="27" spans="1:15" x14ac:dyDescent="0.25">
      <c r="A27" t="s">
        <v>121</v>
      </c>
      <c r="B27" t="s">
        <v>122</v>
      </c>
      <c r="C27" t="s">
        <v>25</v>
      </c>
      <c r="D27" t="s">
        <v>123</v>
      </c>
      <c r="E27" t="s">
        <v>124</v>
      </c>
      <c r="F27" s="3">
        <f t="shared" si="1"/>
        <v>1</v>
      </c>
      <c r="H27" s="1">
        <v>4.0300000000000002E-2</v>
      </c>
    </row>
    <row r="28" spans="1:15" x14ac:dyDescent="0.25">
      <c r="A28" t="s">
        <v>125</v>
      </c>
      <c r="B28" t="s">
        <v>126</v>
      </c>
      <c r="C28" t="s">
        <v>25</v>
      </c>
      <c r="D28" t="s">
        <v>127</v>
      </c>
      <c r="E28" t="s">
        <v>128</v>
      </c>
      <c r="F28" s="3">
        <f t="shared" si="1"/>
        <v>1</v>
      </c>
      <c r="N28" s="1">
        <v>7.3099999999999998E-2</v>
      </c>
    </row>
    <row r="29" spans="1:15" x14ac:dyDescent="0.25">
      <c r="A29" t="s">
        <v>129</v>
      </c>
      <c r="B29" t="s">
        <v>130</v>
      </c>
      <c r="C29" t="s">
        <v>35</v>
      </c>
      <c r="D29" t="s">
        <v>131</v>
      </c>
      <c r="E29" t="s">
        <v>132</v>
      </c>
      <c r="F29" s="3">
        <f t="shared" si="1"/>
        <v>1</v>
      </c>
      <c r="H29" s="1">
        <v>8.9300000000000004E-2</v>
      </c>
    </row>
    <row r="30" spans="1:15" x14ac:dyDescent="0.25">
      <c r="A30" t="s">
        <v>133</v>
      </c>
      <c r="B30" t="s">
        <v>134</v>
      </c>
      <c r="C30" t="s">
        <v>35</v>
      </c>
      <c r="D30" t="s">
        <v>135</v>
      </c>
      <c r="E30" t="s">
        <v>136</v>
      </c>
      <c r="F30" s="3">
        <f t="shared" si="1"/>
        <v>1</v>
      </c>
      <c r="G30" s="1">
        <v>7.1099999999999997E-2</v>
      </c>
    </row>
    <row r="31" spans="1:15" x14ac:dyDescent="0.25">
      <c r="A31" t="s">
        <v>137</v>
      </c>
      <c r="B31" t="s">
        <v>138</v>
      </c>
      <c r="C31" t="s">
        <v>25</v>
      </c>
      <c r="D31" t="s">
        <v>65</v>
      </c>
      <c r="E31" t="s">
        <v>139</v>
      </c>
      <c r="F31" s="3">
        <f t="shared" si="1"/>
        <v>1</v>
      </c>
      <c r="G31" s="1">
        <v>6.13E-2</v>
      </c>
    </row>
    <row r="32" spans="1:15" x14ac:dyDescent="0.25">
      <c r="A32" t="s">
        <v>140</v>
      </c>
      <c r="B32" t="s">
        <v>141</v>
      </c>
      <c r="C32" t="s">
        <v>25</v>
      </c>
      <c r="D32" t="s">
        <v>142</v>
      </c>
      <c r="E32" t="s">
        <v>143</v>
      </c>
      <c r="F32" s="3">
        <f t="shared" si="1"/>
        <v>1</v>
      </c>
      <c r="N32" s="1">
        <v>3.1399999999999997E-2</v>
      </c>
    </row>
    <row r="33" spans="1:14" x14ac:dyDescent="0.25">
      <c r="A33" t="s">
        <v>144</v>
      </c>
      <c r="B33" t="s">
        <v>145</v>
      </c>
      <c r="C33" t="s">
        <v>25</v>
      </c>
      <c r="D33" t="s">
        <v>146</v>
      </c>
      <c r="E33" t="s">
        <v>147</v>
      </c>
      <c r="F33" s="3">
        <f t="shared" si="1"/>
        <v>1</v>
      </c>
      <c r="N33" s="1">
        <v>0.1085</v>
      </c>
    </row>
    <row r="34" spans="1:14" x14ac:dyDescent="0.25">
      <c r="A34" t="s">
        <v>148</v>
      </c>
      <c r="B34" t="s">
        <v>149</v>
      </c>
      <c r="C34" t="s">
        <v>150</v>
      </c>
      <c r="D34" t="s">
        <v>151</v>
      </c>
      <c r="E34" t="s">
        <v>152</v>
      </c>
      <c r="F34" s="3">
        <f t="shared" si="1"/>
        <v>1</v>
      </c>
      <c r="N34" s="1">
        <v>6.1800000000000001E-2</v>
      </c>
    </row>
    <row r="35" spans="1:14" x14ac:dyDescent="0.25">
      <c r="A35" t="s">
        <v>153</v>
      </c>
      <c r="B35" t="s">
        <v>154</v>
      </c>
      <c r="C35" t="s">
        <v>155</v>
      </c>
      <c r="D35" t="s">
        <v>156</v>
      </c>
      <c r="E35" s="2">
        <v>399</v>
      </c>
      <c r="F35" s="3">
        <f t="shared" si="1"/>
        <v>1</v>
      </c>
      <c r="I35" s="1">
        <v>4.2000000000000003E-2</v>
      </c>
    </row>
    <row r="36" spans="1:14" x14ac:dyDescent="0.25">
      <c r="A36" t="s">
        <v>157</v>
      </c>
      <c r="B36" t="s">
        <v>158</v>
      </c>
      <c r="C36" t="s">
        <v>25</v>
      </c>
      <c r="D36" t="s">
        <v>159</v>
      </c>
      <c r="E36" t="s">
        <v>160</v>
      </c>
      <c r="F36" s="3">
        <f t="shared" si="1"/>
        <v>1</v>
      </c>
      <c r="N36" s="1">
        <v>3.3300000000000003E-2</v>
      </c>
    </row>
    <row r="37" spans="1:14" x14ac:dyDescent="0.25">
      <c r="A37" t="s">
        <v>161</v>
      </c>
      <c r="B37" t="s">
        <v>162</v>
      </c>
      <c r="C37" t="s">
        <v>35</v>
      </c>
      <c r="D37" t="s">
        <v>163</v>
      </c>
      <c r="E37" t="s">
        <v>164</v>
      </c>
      <c r="F37" s="3">
        <f t="shared" si="1"/>
        <v>1</v>
      </c>
      <c r="L37" s="1">
        <v>3.1899999999999998E-2</v>
      </c>
    </row>
    <row r="38" spans="1:14" x14ac:dyDescent="0.25">
      <c r="A38" t="s">
        <v>165</v>
      </c>
      <c r="B38" t="s">
        <v>166</v>
      </c>
      <c r="C38" t="s">
        <v>118</v>
      </c>
      <c r="D38" t="s">
        <v>167</v>
      </c>
      <c r="E38" t="s">
        <v>168</v>
      </c>
      <c r="F38" s="3">
        <f t="shared" si="1"/>
        <v>1</v>
      </c>
      <c r="I38" s="1">
        <v>3.85E-2</v>
      </c>
    </row>
    <row r="39" spans="1:14" x14ac:dyDescent="0.25">
      <c r="A39" t="s">
        <v>169</v>
      </c>
      <c r="B39" t="s">
        <v>170</v>
      </c>
      <c r="C39" t="s">
        <v>25</v>
      </c>
      <c r="D39" t="s">
        <v>171</v>
      </c>
      <c r="E39" t="s">
        <v>172</v>
      </c>
      <c r="F39" s="3">
        <f t="shared" si="1"/>
        <v>1</v>
      </c>
      <c r="M39" s="1">
        <v>4.3700000000000003E-2</v>
      </c>
    </row>
    <row r="40" spans="1:14" x14ac:dyDescent="0.25">
      <c r="A40" t="s">
        <v>173</v>
      </c>
      <c r="B40" t="s">
        <v>174</v>
      </c>
      <c r="C40" t="s">
        <v>25</v>
      </c>
      <c r="D40" t="s">
        <v>175</v>
      </c>
      <c r="E40" t="s">
        <v>176</v>
      </c>
      <c r="F40" s="3">
        <f t="shared" si="1"/>
        <v>1</v>
      </c>
      <c r="L40" s="1">
        <v>3.1399999999999997E-2</v>
      </c>
    </row>
    <row r="41" spans="1:14" x14ac:dyDescent="0.25">
      <c r="A41" t="s">
        <v>177</v>
      </c>
      <c r="B41" t="s">
        <v>178</v>
      </c>
      <c r="C41" t="s">
        <v>25</v>
      </c>
      <c r="D41" t="s">
        <v>179</v>
      </c>
      <c r="E41" t="s">
        <v>180</v>
      </c>
      <c r="F41" s="3">
        <f t="shared" si="1"/>
        <v>1</v>
      </c>
      <c r="G41" s="1">
        <v>6.1899999999999997E-2</v>
      </c>
    </row>
    <row r="42" spans="1:14" x14ac:dyDescent="0.25">
      <c r="A42" t="s">
        <v>181</v>
      </c>
      <c r="B42" t="s">
        <v>182</v>
      </c>
      <c r="C42" t="s">
        <v>35</v>
      </c>
      <c r="D42" t="s">
        <v>183</v>
      </c>
      <c r="E42" t="s">
        <v>184</v>
      </c>
      <c r="F42" s="3">
        <f t="shared" si="1"/>
        <v>1</v>
      </c>
      <c r="L42" s="1">
        <v>3.8199999999999998E-2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ETF_Portfolio-20260611_201432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Sinha</cp:lastModifiedBy>
  <dcterms:created xsi:type="dcterms:W3CDTF">2026-06-11T14:47:54Z</dcterms:created>
  <dcterms:modified xsi:type="dcterms:W3CDTF">2026-06-11T14:47:54Z</dcterms:modified>
</cp:coreProperties>
</file>